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32850" yWindow="0" windowWidth="22260" windowHeight="12645" tabRatio="888" activeTab="2"/>
  </bookViews>
  <sheets>
    <sheet name="req" sheetId="4" r:id="rId1"/>
    <sheet name="rtn" sheetId="6" r:id="rId2"/>
    <sheet name="casedescription" sheetId="15" r:id="rId3"/>
    <sheet name="NewOrderSingle" sheetId="2" r:id="rId4"/>
    <sheet name="OrderCancelRequest" sheetId="3" r:id="rId5"/>
    <sheet name="OrderCancelReplaceRequest" sheetId="5" r:id="rId6"/>
    <sheet name="ExecutionReporttest" sheetId="9" r:id="rId7"/>
    <sheet name="ExecutionReport" sheetId="10" r:id="rId8"/>
    <sheet name="MassQuote" sheetId="14" state="hidden" r:id="rId9"/>
    <sheet name="MassQuoteAcknowledgement" sheetId="16" state="hidden" r:id="rId10"/>
    <sheet name="OrderStatusRequest" sheetId="18" state="hidden" r:id="rId11"/>
    <sheet name="SecurityDefinitionRequest" sheetId="19" state="hidden" r:id="rId12"/>
    <sheet name="SecurityDefinition" sheetId="20" state="hidden" r:id="rId13"/>
    <sheet name="QuoteCancel" sheetId="17" state="hidden" r:id="rId14"/>
    <sheet name="Reject" sheetId="21" state="hidden" r:id="rId15"/>
    <sheet name="BusinessMessageReject" sheetId="12" state="hidden" r:id="rId16"/>
    <sheet name="OnRspUserLogin" sheetId="8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D8" i="15"/>
  <c r="B8" i="15"/>
  <c r="D8" i="4"/>
  <c r="B8" i="4"/>
  <c r="D7" i="4"/>
  <c r="B7" i="4"/>
  <c r="F9" i="2"/>
  <c r="D7" i="15"/>
  <c r="B7" i="15"/>
  <c r="F10" i="10"/>
  <c r="F9" i="10"/>
  <c r="F8" i="10"/>
  <c r="F7" i="10"/>
  <c r="F7" i="2"/>
  <c r="F6" i="2"/>
  <c r="D6" i="15"/>
  <c r="B6" i="15"/>
  <c r="D5" i="15"/>
  <c r="B5" i="15"/>
  <c r="D4" i="15"/>
  <c r="B4" i="15"/>
  <c r="D3" i="15"/>
  <c r="B3" i="15"/>
  <c r="D2" i="15"/>
  <c r="B2" i="15"/>
  <c r="F16" i="10"/>
  <c r="F15" i="10"/>
  <c r="F8" i="2"/>
  <c r="D6" i="4"/>
  <c r="B6" i="4"/>
  <c r="F14" i="10"/>
  <c r="F13" i="10"/>
  <c r="F12" i="10"/>
  <c r="F11" i="10"/>
  <c r="D5" i="4"/>
  <c r="B5" i="4"/>
  <c r="F4" i="21"/>
  <c r="F4" i="20"/>
  <c r="F4" i="19"/>
  <c r="F4" i="18"/>
  <c r="D12" i="6"/>
  <c r="B12" i="6"/>
  <c r="D10" i="6"/>
  <c r="B10" i="6"/>
  <c r="F7" i="16"/>
  <c r="F6" i="16"/>
  <c r="F4" i="17"/>
  <c r="F5" i="9"/>
  <c r="F4" i="9"/>
  <c r="F5" i="16"/>
  <c r="F4" i="16"/>
  <c r="F4" i="14"/>
  <c r="F6" i="10"/>
  <c r="F5" i="10"/>
  <c r="F4" i="10"/>
  <c r="D14" i="6"/>
  <c r="B14" i="6"/>
  <c r="D15" i="6"/>
  <c r="B15" i="6"/>
  <c r="D11" i="6"/>
  <c r="B11" i="6"/>
  <c r="D13" i="6"/>
  <c r="B13" i="6"/>
  <c r="D4" i="4"/>
  <c r="B4" i="4"/>
  <c r="D3" i="6"/>
  <c r="B3" i="6"/>
  <c r="D4" i="6"/>
  <c r="B4" i="6"/>
  <c r="D5" i="6"/>
  <c r="B5" i="6"/>
  <c r="D6" i="6"/>
  <c r="B6" i="6"/>
  <c r="D7" i="6"/>
  <c r="B7" i="6"/>
  <c r="D8" i="6"/>
  <c r="B8" i="6"/>
  <c r="D9" i="6"/>
  <c r="B9" i="6"/>
  <c r="D2" i="6"/>
  <c r="B2" i="6"/>
  <c r="D2" i="4"/>
  <c r="D3" i="4"/>
  <c r="B3" i="4"/>
  <c r="F4" i="12"/>
  <c r="F4" i="8"/>
  <c r="F4" i="5"/>
  <c r="F5" i="3"/>
  <c r="F4" i="3"/>
  <c r="F5" i="2"/>
  <c r="F4" i="2"/>
  <c r="B2" i="4"/>
</calcChain>
</file>

<file path=xl/comments1.xml><?xml version="1.0" encoding="utf-8"?>
<comments xmlns="http://schemas.openxmlformats.org/spreadsheetml/2006/main">
  <authors>
    <author>作者</author>
  </authors>
  <commentList>
    <comment ref="A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N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O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Q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R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C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python字典key值重复时默认取最后一次的值，现在消息里面会有两个77和20001，所以判断后面的77和20001</t>
        </r>
      </text>
    </comment>
  </commentList>
</comments>
</file>

<file path=xl/sharedStrings.xml><?xml version="1.0" encoding="utf-8"?>
<sst xmlns="http://schemas.openxmlformats.org/spreadsheetml/2006/main" count="2149" uniqueCount="530">
  <si>
    <t>BeginString</t>
  </si>
  <si>
    <t xml:space="preserve">String </t>
  </si>
  <si>
    <t>BodyLength</t>
  </si>
  <si>
    <t>Length</t>
  </si>
  <si>
    <t>MsgType</t>
  </si>
  <si>
    <t>SenderCompID</t>
  </si>
  <si>
    <t>TargetCompID</t>
  </si>
  <si>
    <t>MsgSeqNum</t>
  </si>
  <si>
    <t xml:space="preserve">Int </t>
  </si>
  <si>
    <t>Int</t>
  </si>
  <si>
    <t>String</t>
  </si>
  <si>
    <t>SendingTime</t>
  </si>
  <si>
    <t>UTCTimestamp</t>
  </si>
  <si>
    <t>int</t>
  </si>
  <si>
    <t>Boolean</t>
  </si>
  <si>
    <t>FrontID</t>
  </si>
  <si>
    <t>SessionID</t>
  </si>
  <si>
    <t>CheckSum</t>
  </si>
  <si>
    <t>8</t>
    <phoneticPr fontId="2" type="noConversion"/>
  </si>
  <si>
    <t>9</t>
    <phoneticPr fontId="2" type="noConversion"/>
  </si>
  <si>
    <t>35</t>
    <phoneticPr fontId="2" type="noConversion"/>
  </si>
  <si>
    <t>49</t>
    <phoneticPr fontId="2" type="noConversion"/>
  </si>
  <si>
    <t>56</t>
    <phoneticPr fontId="2" type="noConversion"/>
  </si>
  <si>
    <t>34</t>
    <phoneticPr fontId="2" type="noConversion"/>
  </si>
  <si>
    <t>52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</si>
  <si>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</si>
  <si>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</si>
  <si>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</si>
  <si>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4444</t>
    <phoneticPr fontId="2" type="noConversion"/>
  </si>
  <si>
    <t>1</t>
    <phoneticPr fontId="2" type="noConversion"/>
  </si>
  <si>
    <t>135</t>
    <phoneticPr fontId="2" type="noConversion"/>
  </si>
  <si>
    <t>00001</t>
    <phoneticPr fontId="2" type="noConversion"/>
  </si>
  <si>
    <t>Account</t>
  </si>
  <si>
    <t>Symbol</t>
  </si>
  <si>
    <t>ClOrdID</t>
  </si>
  <si>
    <t>OrdType</t>
  </si>
  <si>
    <t>char</t>
  </si>
  <si>
    <t>Side</t>
  </si>
  <si>
    <t>OpenClose</t>
  </si>
  <si>
    <t>Price</t>
  </si>
  <si>
    <t>OrderQty</t>
  </si>
  <si>
    <t>Qty</t>
  </si>
  <si>
    <t>TimeInForce</t>
  </si>
  <si>
    <t>MinQty</t>
  </si>
  <si>
    <t>StopPx</t>
  </si>
  <si>
    <t>SecurityExchange</t>
  </si>
  <si>
    <t>Exchange</t>
  </si>
  <si>
    <t xml:space="preserve">UTCTimestamp </t>
  </si>
  <si>
    <t>TransactTime</t>
  </si>
  <si>
    <t>NoPartyIDs</t>
  </si>
  <si>
    <t>NumInGroup</t>
  </si>
  <si>
    <t>PartyID</t>
  </si>
  <si>
    <t>PartyRole</t>
  </si>
  <si>
    <t>IsSwapOrder</t>
  </si>
  <si>
    <t>ExecTransType</t>
  </si>
  <si>
    <t>AvgPx</t>
  </si>
  <si>
    <t>HedgeFlag</t>
  </si>
  <si>
    <t>Char</t>
  </si>
  <si>
    <t>ContingentCondition</t>
  </si>
  <si>
    <t>1</t>
    <phoneticPr fontId="2" type="noConversion"/>
  </si>
  <si>
    <t>O</t>
    <phoneticPr fontId="2" type="noConversion"/>
  </si>
  <si>
    <t>SHFE</t>
    <phoneticPr fontId="2" type="noConversion"/>
  </si>
  <si>
    <t>0</t>
    <phoneticPr fontId="2" type="noConversion"/>
  </si>
  <si>
    <t>1</t>
    <phoneticPr fontId="2" type="noConversion"/>
  </si>
  <si>
    <t>2</t>
    <phoneticPr fontId="2" type="noConversion"/>
  </si>
  <si>
    <t>1</t>
    <phoneticPr fontId="2" type="noConversion"/>
  </si>
  <si>
    <t>SheetName</t>
    <phoneticPr fontId="2" type="noConversion"/>
  </si>
  <si>
    <t>RowNum</t>
    <phoneticPr fontId="2" type="noConversion"/>
  </si>
  <si>
    <t>CaseNo</t>
    <phoneticPr fontId="2" type="noConversion"/>
  </si>
  <si>
    <t>6</t>
    <phoneticPr fontId="2" type="noConversion"/>
  </si>
  <si>
    <t>11</t>
    <phoneticPr fontId="2" type="noConversion"/>
  </si>
  <si>
    <t>20</t>
    <phoneticPr fontId="2" type="noConversion"/>
  </si>
  <si>
    <t>38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</si>
  <si>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</si>
  <si>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</si>
  <si>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</si>
  <si>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</si>
  <si>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59</t>
    <phoneticPr fontId="2" type="noConversion"/>
  </si>
  <si>
    <t>60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</si>
  <si>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</si>
  <si>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</si>
  <si>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</si>
  <si>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207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</si>
  <si>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</si>
  <si>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</si>
  <si>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</si>
  <si>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</si>
  <si>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D</t>
    <phoneticPr fontId="2" type="noConversion"/>
  </si>
  <si>
    <t>D</t>
    <phoneticPr fontId="2" type="noConversion"/>
  </si>
  <si>
    <t>1</t>
    <phoneticPr fontId="2" type="noConversion"/>
  </si>
  <si>
    <t>2</t>
    <phoneticPr fontId="2" type="noConversion"/>
  </si>
  <si>
    <t>HandlInst</t>
  </si>
  <si>
    <t>21</t>
    <phoneticPr fontId="2" type="noConversion"/>
  </si>
  <si>
    <t>3</t>
    <phoneticPr fontId="2" type="noConversion"/>
  </si>
  <si>
    <t>0</t>
    <phoneticPr fontId="2" type="noConversion"/>
  </si>
  <si>
    <t>OrigClOrdID</t>
  </si>
  <si>
    <t>OrderID</t>
  </si>
  <si>
    <t>F</t>
    <phoneticPr fontId="2" type="noConversion"/>
  </si>
  <si>
    <t>1</t>
    <phoneticPr fontId="2" type="noConversion"/>
  </si>
  <si>
    <t>0</t>
    <phoneticPr fontId="2" type="noConversion"/>
  </si>
  <si>
    <t>1</t>
    <phoneticPr fontId="2" type="noConversion"/>
  </si>
  <si>
    <t>11</t>
    <phoneticPr fontId="2" type="noConversion"/>
  </si>
  <si>
    <t>37</t>
    <phoneticPr fontId="2" type="noConversion"/>
  </si>
  <si>
    <t>38</t>
    <phoneticPr fontId="2" type="noConversion"/>
  </si>
  <si>
    <t>41</t>
    <phoneticPr fontId="2" type="noConversion"/>
  </si>
  <si>
    <t>54</t>
    <phoneticPr fontId="2" type="noConversion"/>
  </si>
  <si>
    <t>55</t>
    <phoneticPr fontId="2" type="noConversion"/>
  </si>
  <si>
    <t>60</t>
    <phoneticPr fontId="2" type="noConversion"/>
  </si>
  <si>
    <t>207</t>
    <phoneticPr fontId="2" type="noConversion"/>
  </si>
  <si>
    <t>20004</t>
    <phoneticPr fontId="2" type="noConversion"/>
  </si>
  <si>
    <t>20005</t>
    <phoneticPr fontId="2" type="noConversion"/>
  </si>
  <si>
    <t xml:space="preserve">          14</t>
    <phoneticPr fontId="2" type="noConversion"/>
  </si>
  <si>
    <t xml:space="preserve">          15</t>
    <phoneticPr fontId="2" type="noConversion"/>
  </si>
  <si>
    <t>G</t>
    <phoneticPr fontId="2" type="noConversion"/>
  </si>
  <si>
    <t>452</t>
    <phoneticPr fontId="2" type="noConversion"/>
  </si>
  <si>
    <t>448</t>
    <phoneticPr fontId="2" type="noConversion"/>
  </si>
  <si>
    <t>ExpireDate</t>
  </si>
  <si>
    <t>LocalMktDate</t>
  </si>
  <si>
    <t>65000</t>
    <phoneticPr fontId="2" type="noConversion"/>
  </si>
  <si>
    <t>2</t>
    <phoneticPr fontId="2" type="noConversion"/>
  </si>
  <si>
    <t xml:space="preserve">          18</t>
    <phoneticPr fontId="2" type="noConversion"/>
  </si>
  <si>
    <t>TargetSubID</t>
  </si>
  <si>
    <t>OnBehalfOfSubID</t>
  </si>
  <si>
    <t>EncryptMethod</t>
    <phoneticPr fontId="2" type="noConversion"/>
  </si>
  <si>
    <t>HeartBtInt</t>
  </si>
  <si>
    <t>ResetSeqNumFlag</t>
  </si>
  <si>
    <t>keylist</t>
    <phoneticPr fontId="2" type="noConversion"/>
  </si>
  <si>
    <t>String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</si>
  <si>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</si>
  <si>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</si>
  <si>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</si>
  <si>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</si>
  <si>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</si>
  <si>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57</t>
    <phoneticPr fontId="2" type="noConversion"/>
  </si>
  <si>
    <t>116</t>
    <phoneticPr fontId="2" type="noConversion"/>
  </si>
  <si>
    <t>98</t>
    <phoneticPr fontId="2" type="noConversion"/>
  </si>
  <si>
    <t>108</t>
    <phoneticPr fontId="2" type="noConversion"/>
  </si>
  <si>
    <t>141</t>
    <phoneticPr fontId="2" type="noConversion"/>
  </si>
  <si>
    <t>20004</t>
    <phoneticPr fontId="2" type="noConversion"/>
  </si>
  <si>
    <t>20005</t>
    <phoneticPr fontId="2" type="noConversion"/>
  </si>
  <si>
    <t>10</t>
    <phoneticPr fontId="2" type="noConversion"/>
  </si>
  <si>
    <t>keylist</t>
    <phoneticPr fontId="2" type="noConversion"/>
  </si>
  <si>
    <t>FIX.4.2</t>
    <phoneticPr fontId="2" type="noConversion"/>
  </si>
  <si>
    <t>111</t>
    <phoneticPr fontId="2" type="noConversion"/>
  </si>
  <si>
    <t>A</t>
    <phoneticPr fontId="2" type="noConversion"/>
  </si>
  <si>
    <t>4444</t>
    <phoneticPr fontId="2" type="noConversion"/>
  </si>
  <si>
    <t>00001</t>
    <phoneticPr fontId="2" type="noConversion"/>
  </si>
  <si>
    <t>12289</t>
    <phoneticPr fontId="2" type="noConversion"/>
  </si>
  <si>
    <t>60</t>
    <phoneticPr fontId="2" type="noConversion"/>
  </si>
  <si>
    <t>N</t>
    <phoneticPr fontId="2" type="noConversion"/>
  </si>
  <si>
    <t>100</t>
    <phoneticPr fontId="2" type="noConversion"/>
  </si>
  <si>
    <t>22222</t>
    <phoneticPr fontId="2" type="noConversion"/>
  </si>
  <si>
    <t>135</t>
    <phoneticPr fontId="2" type="noConversion"/>
  </si>
  <si>
    <t>['35','116','56']</t>
    <phoneticPr fontId="2" type="noConversion"/>
  </si>
  <si>
    <t>CumQty</t>
  </si>
  <si>
    <t>Currency</t>
  </si>
  <si>
    <t>ExecID</t>
  </si>
  <si>
    <t>OrdStatus</t>
  </si>
  <si>
    <t>Text</t>
  </si>
  <si>
    <t>TradeDate</t>
  </si>
  <si>
    <t>ExecType</t>
  </si>
  <si>
    <t>LeavesQty</t>
  </si>
  <si>
    <t>EffectiveTime</t>
  </si>
  <si>
    <t>SecondaryOrderID</t>
  </si>
  <si>
    <t>MultiLegReportingType</t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</si>
  <si>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</si>
  <si>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</si>
  <si>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</si>
  <si>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</si>
  <si>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1</t>
    <phoneticPr fontId="2" type="noConversion"/>
  </si>
  <si>
    <t>6</t>
    <phoneticPr fontId="2" type="noConversion"/>
  </si>
  <si>
    <t>11</t>
    <phoneticPr fontId="2" type="noConversion"/>
  </si>
  <si>
    <t>14</t>
    <phoneticPr fontId="2" type="noConversion"/>
  </si>
  <si>
    <t>15</t>
    <phoneticPr fontId="2" type="noConversion"/>
  </si>
  <si>
    <t>17</t>
    <phoneticPr fontId="2" type="noConversion"/>
  </si>
  <si>
    <t>20</t>
    <phoneticPr fontId="2" type="noConversion"/>
  </si>
  <si>
    <t>37</t>
    <phoneticPr fontId="2" type="noConversion"/>
  </si>
  <si>
    <t>38</t>
    <phoneticPr fontId="2" type="noConversion"/>
  </si>
  <si>
    <t>39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</si>
  <si>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</si>
  <si>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</si>
  <si>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</si>
  <si>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</si>
  <si>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58</t>
    <phoneticPr fontId="2" type="noConversion"/>
  </si>
  <si>
    <t>59</t>
    <phoneticPr fontId="2" type="noConversion"/>
  </si>
  <si>
    <t>75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</si>
  <si>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</si>
  <si>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</si>
  <si>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</si>
  <si>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150</t>
    <phoneticPr fontId="2" type="noConversion"/>
  </si>
  <si>
    <t>151</t>
    <phoneticPr fontId="2" type="noConversion"/>
  </si>
  <si>
    <t>168</t>
    <phoneticPr fontId="2" type="noConversion"/>
  </si>
  <si>
    <t>198</t>
    <phoneticPr fontId="2" type="noConversion"/>
  </si>
  <si>
    <t>207</t>
    <phoneticPr fontId="2" type="noConversion"/>
  </si>
  <si>
    <t>432</t>
    <phoneticPr fontId="2" type="noConversion"/>
  </si>
  <si>
    <t>442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</si>
  <si>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</si>
  <si>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</si>
  <si>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</si>
  <si>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</si>
  <si>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00001</t>
    <phoneticPr fontId="2" type="noConversion"/>
  </si>
  <si>
    <t>61441</t>
    <phoneticPr fontId="2" type="noConversion"/>
  </si>
  <si>
    <t>00001</t>
    <phoneticPr fontId="2" type="noConversion"/>
  </si>
  <si>
    <t>0</t>
    <phoneticPr fontId="2" type="noConversion"/>
  </si>
  <si>
    <t>A</t>
    <phoneticPr fontId="2" type="noConversion"/>
  </si>
  <si>
    <t>2</t>
    <phoneticPr fontId="2" type="noConversion"/>
  </si>
  <si>
    <t>cu1202</t>
    <phoneticPr fontId="2" type="noConversion"/>
  </si>
  <si>
    <t>O</t>
    <phoneticPr fontId="2" type="noConversion"/>
  </si>
  <si>
    <t>['35','40','54','77','44','38','39','150','20001','59','55','1','56','116']</t>
    <phoneticPr fontId="2" type="noConversion"/>
  </si>
  <si>
    <t>6</t>
    <phoneticPr fontId="2" type="noConversion"/>
  </si>
  <si>
    <t>RefSeqNum</t>
  </si>
  <si>
    <t>RefMsgType</t>
  </si>
  <si>
    <t>SessionRejectReason</t>
  </si>
  <si>
    <t>45</t>
    <phoneticPr fontId="2" type="noConversion"/>
  </si>
  <si>
    <t>372</t>
    <phoneticPr fontId="2" type="noConversion"/>
  </si>
  <si>
    <t>1</t>
    <phoneticPr fontId="2" type="noConversion"/>
  </si>
  <si>
    <t>BusinessRejectReason</t>
  </si>
  <si>
    <t>380</t>
    <phoneticPr fontId="2" type="noConversion"/>
  </si>
  <si>
    <t>j</t>
    <phoneticPr fontId="2" type="noConversion"/>
  </si>
  <si>
    <t>['35','372','380']</t>
    <phoneticPr fontId="2" type="noConversion"/>
  </si>
  <si>
    <t>OnRspUserLogin</t>
  </si>
  <si>
    <t>ExecutionReport</t>
  </si>
  <si>
    <t>FunctionName</t>
    <phoneticPr fontId="2" type="noConversion"/>
  </si>
  <si>
    <t>NewOrderSingle</t>
  </si>
  <si>
    <t>2</t>
    <phoneticPr fontId="2" type="noConversion"/>
  </si>
  <si>
    <t>3</t>
    <phoneticPr fontId="2" type="noConversion"/>
  </si>
  <si>
    <t>116</t>
    <phoneticPr fontId="2" type="noConversion"/>
  </si>
  <si>
    <t>4481</t>
    <phoneticPr fontId="2" type="noConversion"/>
  </si>
  <si>
    <t>4521</t>
    <phoneticPr fontId="2" type="noConversion"/>
  </si>
  <si>
    <t>15</t>
    <phoneticPr fontId="2" type="noConversion"/>
  </si>
  <si>
    <t>20009</t>
    <phoneticPr fontId="2" type="noConversion"/>
  </si>
  <si>
    <t>OptSelfCloseFlag</t>
  </si>
  <si>
    <t>QuoteID</t>
  </si>
  <si>
    <t>QuoteReqID</t>
  </si>
  <si>
    <t>string</t>
  </si>
  <si>
    <t>NoQuoteSets</t>
  </si>
  <si>
    <t>QuoteSetID</t>
  </si>
  <si>
    <t>TotNoQuoteEntries</t>
  </si>
  <si>
    <t>NoQuoteEntries</t>
  </si>
  <si>
    <t>QuoteEntryID</t>
  </si>
  <si>
    <t>BidPx</t>
  </si>
  <si>
    <t>BidSize</t>
  </si>
  <si>
    <t>117</t>
    <phoneticPr fontId="2" type="noConversion"/>
  </si>
  <si>
    <t>131</t>
    <phoneticPr fontId="2" type="noConversion"/>
  </si>
  <si>
    <t>296</t>
    <phoneticPr fontId="2" type="noConversion"/>
  </si>
  <si>
    <t>2</t>
    <phoneticPr fontId="2" type="noConversion"/>
  </si>
  <si>
    <t>1</t>
    <phoneticPr fontId="2" type="noConversion"/>
  </si>
  <si>
    <t>302</t>
    <phoneticPr fontId="2" type="noConversion"/>
  </si>
  <si>
    <t>304</t>
    <phoneticPr fontId="2" type="noConversion"/>
  </si>
  <si>
    <t>295</t>
    <phoneticPr fontId="2" type="noConversion"/>
  </si>
  <si>
    <t>299</t>
    <phoneticPr fontId="2" type="noConversion"/>
  </si>
  <si>
    <t>1</t>
    <phoneticPr fontId="2" type="noConversion"/>
  </si>
  <si>
    <t>55</t>
    <phoneticPr fontId="2" type="noConversion"/>
  </si>
  <si>
    <t>207</t>
    <phoneticPr fontId="2" type="noConversion"/>
  </si>
  <si>
    <t>0</t>
    <phoneticPr fontId="2" type="noConversion"/>
  </si>
  <si>
    <t>133</t>
    <phoneticPr fontId="2" type="noConversion"/>
  </si>
  <si>
    <t>135</t>
    <phoneticPr fontId="2" type="noConversion"/>
  </si>
  <si>
    <t>77</t>
    <phoneticPr fontId="2" type="noConversion"/>
  </si>
  <si>
    <t>20001</t>
    <phoneticPr fontId="2" type="noConversion"/>
  </si>
  <si>
    <t>99</t>
    <phoneticPr fontId="2" type="noConversion"/>
  </si>
  <si>
    <t>1</t>
    <phoneticPr fontId="2" type="noConversion"/>
  </si>
  <si>
    <t>0</t>
    <phoneticPr fontId="2" type="noConversion"/>
  </si>
  <si>
    <t>771</t>
    <phoneticPr fontId="2" type="noConversion"/>
  </si>
  <si>
    <t>2991</t>
    <phoneticPr fontId="2" type="noConversion"/>
  </si>
  <si>
    <t>551</t>
    <phoneticPr fontId="2" type="noConversion"/>
  </si>
  <si>
    <t>2071</t>
    <phoneticPr fontId="2" type="noConversion"/>
  </si>
  <si>
    <t>1341</t>
    <phoneticPr fontId="2" type="noConversion"/>
  </si>
  <si>
    <t>1331</t>
    <phoneticPr fontId="2" type="noConversion"/>
  </si>
  <si>
    <t>1351</t>
    <phoneticPr fontId="2" type="noConversion"/>
  </si>
  <si>
    <t>200011</t>
    <phoneticPr fontId="2" type="noConversion"/>
  </si>
  <si>
    <t>O</t>
    <phoneticPr fontId="2" type="noConversion"/>
  </si>
  <si>
    <t>O</t>
    <phoneticPr fontId="2" type="noConversion"/>
  </si>
  <si>
    <t>i</t>
    <phoneticPr fontId="2" type="noConversion"/>
  </si>
  <si>
    <t>SHFE</t>
    <phoneticPr fontId="2" type="noConversion"/>
  </si>
  <si>
    <t>1321</t>
    <phoneticPr fontId="2" type="noConversion"/>
  </si>
  <si>
    <t>0</t>
    <phoneticPr fontId="2" type="noConversion"/>
  </si>
  <si>
    <t>61461</t>
    <phoneticPr fontId="2" type="noConversion"/>
  </si>
  <si>
    <t>b</t>
    <phoneticPr fontId="2" type="noConversion"/>
  </si>
  <si>
    <t>132</t>
    <phoneticPr fontId="2" type="noConversion"/>
  </si>
  <si>
    <t>134</t>
    <phoneticPr fontId="2" type="noConversion"/>
  </si>
  <si>
    <t>QuoteAckStatus</t>
  </si>
  <si>
    <t>int</t>
    <phoneticPr fontId="2" type="noConversion"/>
  </si>
  <si>
    <t>297</t>
    <phoneticPr fontId="2" type="noConversion"/>
  </si>
  <si>
    <t>77</t>
    <phoneticPr fontId="2" type="noConversion"/>
  </si>
  <si>
    <t>20001</t>
    <phoneticPr fontId="2" type="noConversion"/>
  </si>
  <si>
    <t>5</t>
    <phoneticPr fontId="2" type="noConversion"/>
  </si>
  <si>
    <t>7</t>
    <phoneticPr fontId="2" type="noConversion"/>
  </si>
  <si>
    <t>100</t>
    <phoneticPr fontId="2" type="noConversion"/>
  </si>
  <si>
    <t>1</t>
    <phoneticPr fontId="2" type="noConversion"/>
  </si>
  <si>
    <t>1</t>
    <phoneticPr fontId="2" type="noConversion"/>
  </si>
  <si>
    <t>ExecResult</t>
  </si>
  <si>
    <t>20010</t>
    <phoneticPr fontId="2" type="noConversion"/>
  </si>
  <si>
    <t>['35','297','132','77','133','134','135','20001','55','1','56','116']</t>
    <phoneticPr fontId="2" type="noConversion"/>
  </si>
  <si>
    <t>cu1202c66000</t>
    <phoneticPr fontId="2" type="noConversion"/>
  </si>
  <si>
    <t>100.000000</t>
    <phoneticPr fontId="2" type="noConversion"/>
  </si>
  <si>
    <t>99.000000</t>
    <phoneticPr fontId="2" type="noConversion"/>
  </si>
  <si>
    <t>1</t>
    <phoneticPr fontId="2" type="noConversion"/>
  </si>
  <si>
    <t>O</t>
    <phoneticPr fontId="2" type="noConversion"/>
  </si>
  <si>
    <t>88</t>
    <phoneticPr fontId="2" type="noConversion"/>
  </si>
  <si>
    <t>2</t>
    <phoneticPr fontId="2" type="noConversion"/>
  </si>
  <si>
    <t>0</t>
    <phoneticPr fontId="2" type="noConversion"/>
  </si>
  <si>
    <t>OfferPx</t>
  </si>
  <si>
    <t>OfferSize</t>
  </si>
  <si>
    <t>QuoteMsgID</t>
  </si>
  <si>
    <t>QuoteCancelType</t>
  </si>
  <si>
    <t>SHFE</t>
    <phoneticPr fontId="2" type="noConversion"/>
  </si>
  <si>
    <t>55</t>
    <phoneticPr fontId="2" type="noConversion"/>
  </si>
  <si>
    <t>207</t>
    <phoneticPr fontId="2" type="noConversion"/>
  </si>
  <si>
    <t>20004</t>
    <phoneticPr fontId="2" type="noConversion"/>
  </si>
  <si>
    <t>20005</t>
    <phoneticPr fontId="2" type="noConversion"/>
  </si>
  <si>
    <t>295</t>
    <phoneticPr fontId="2" type="noConversion"/>
  </si>
  <si>
    <t>298</t>
    <phoneticPr fontId="2" type="noConversion"/>
  </si>
  <si>
    <t>117</t>
    <phoneticPr fontId="2" type="noConversion"/>
  </si>
  <si>
    <t>1166</t>
    <phoneticPr fontId="2" type="noConversion"/>
  </si>
  <si>
    <t>Z</t>
    <phoneticPr fontId="2" type="noConversion"/>
  </si>
  <si>
    <t>1</t>
    <phoneticPr fontId="2" type="noConversion"/>
  </si>
  <si>
    <t>5</t>
    <phoneticPr fontId="2" type="noConversion"/>
  </si>
  <si>
    <t>6</t>
    <phoneticPr fontId="2" type="noConversion"/>
  </si>
  <si>
    <t>6</t>
    <phoneticPr fontId="2" type="noConversion"/>
  </si>
  <si>
    <t>11</t>
    <phoneticPr fontId="2" type="noConversion"/>
  </si>
  <si>
    <t>22</t>
    <phoneticPr fontId="2" type="noConversion"/>
  </si>
  <si>
    <t>0</t>
  </si>
  <si>
    <t>0</t>
    <phoneticPr fontId="2" type="noConversion"/>
  </si>
  <si>
    <t>N</t>
    <phoneticPr fontId="2" type="noConversion"/>
  </si>
  <si>
    <t>8</t>
    <phoneticPr fontId="2" type="noConversion"/>
  </si>
  <si>
    <t>9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</si>
  <si>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</si>
  <si>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</si>
  <si>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</si>
  <si>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</si>
  <si>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</si>
  <si>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1</t>
    <phoneticPr fontId="2" type="noConversion"/>
  </si>
  <si>
    <t>55</t>
    <phoneticPr fontId="2" type="noConversion"/>
  </si>
  <si>
    <t>207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</si>
  <si>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</si>
  <si>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</si>
  <si>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</si>
  <si>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H</t>
    <phoneticPr fontId="2" type="noConversion"/>
  </si>
  <si>
    <t>00001</t>
    <phoneticPr fontId="2" type="noConversion"/>
  </si>
  <si>
    <t>4444</t>
    <phoneticPr fontId="2" type="noConversion"/>
  </si>
  <si>
    <t>cu1202</t>
    <phoneticPr fontId="2" type="noConversion"/>
  </si>
  <si>
    <t>SHFE</t>
    <phoneticPr fontId="2" type="noConversion"/>
  </si>
  <si>
    <t>135</t>
    <phoneticPr fontId="2" type="noConversion"/>
  </si>
  <si>
    <t>SecurityGroup</t>
  </si>
  <si>
    <t>SecurityReqID</t>
  </si>
  <si>
    <t>SecurityRequestType</t>
  </si>
  <si>
    <t>int</t>
    <phoneticPr fontId="2" type="noConversion"/>
  </si>
  <si>
    <t>8</t>
    <phoneticPr fontId="2" type="noConversion"/>
  </si>
  <si>
    <t>9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</si>
  <si>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</si>
  <si>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</si>
  <si>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</si>
  <si>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</si>
  <si>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55</t>
    <phoneticPr fontId="2" type="noConversion"/>
  </si>
  <si>
    <t>1151</t>
    <phoneticPr fontId="2" type="noConversion"/>
  </si>
  <si>
    <t>320</t>
    <phoneticPr fontId="2" type="noConversion"/>
  </si>
  <si>
    <t>321</t>
    <phoneticPr fontId="2" type="noConversion"/>
  </si>
  <si>
    <t>207</t>
    <phoneticPr fontId="2" type="noConversion"/>
  </si>
  <si>
    <t>FIX.4.2</t>
    <phoneticPr fontId="2" type="noConversion"/>
  </si>
  <si>
    <t>111</t>
    <phoneticPr fontId="2" type="noConversion"/>
  </si>
  <si>
    <t>c</t>
    <phoneticPr fontId="2" type="noConversion"/>
  </si>
  <si>
    <t>00001</t>
    <phoneticPr fontId="2" type="noConversion"/>
  </si>
  <si>
    <t>4444</t>
    <phoneticPr fontId="2" type="noConversion"/>
  </si>
  <si>
    <t>cu1202c63000</t>
    <phoneticPr fontId="2" type="noConversion"/>
  </si>
  <si>
    <t>0</t>
    <phoneticPr fontId="2" type="noConversion"/>
  </si>
  <si>
    <t>0</t>
    <phoneticPr fontId="2" type="noConversion"/>
  </si>
  <si>
    <t>1</t>
    <phoneticPr fontId="2" type="noConversion"/>
  </si>
  <si>
    <t>SHFE</t>
    <phoneticPr fontId="2" type="noConversion"/>
  </si>
  <si>
    <t>135</t>
    <phoneticPr fontId="2" type="noConversion"/>
  </si>
  <si>
    <t>SecurityDesc</t>
  </si>
  <si>
    <t>SecurityType</t>
  </si>
  <si>
    <t>MaturityMonthYear</t>
  </si>
  <si>
    <t>PutOrCall</t>
  </si>
  <si>
    <t>StrikePrice</t>
  </si>
  <si>
    <t>IssueDate</t>
  </si>
  <si>
    <t>ContractMultiplier</t>
  </si>
  <si>
    <t>UnderlyingSymbol</t>
  </si>
  <si>
    <t>SecurityResponseID</t>
  </si>
  <si>
    <t>TotalNumSecurities</t>
  </si>
  <si>
    <t>MaturityDate</t>
  </si>
  <si>
    <t>SecuritySubType</t>
  </si>
  <si>
    <t>NoEvents</t>
  </si>
  <si>
    <t>EventType</t>
  </si>
  <si>
    <t>EventDate</t>
  </si>
  <si>
    <t>DatedDate</t>
  </si>
  <si>
    <t>SecurityStatus</t>
  </si>
  <si>
    <t>StrikeMultiplier</t>
  </si>
  <si>
    <t>MinPriceIncrement</t>
  </si>
  <si>
    <t>NoMarketSegments</t>
  </si>
  <si>
    <t>MaxTradeVol</t>
  </si>
  <si>
    <t>MinTradeVol</t>
  </si>
  <si>
    <t>keylist</t>
    <phoneticPr fontId="2" type="noConversion"/>
  </si>
  <si>
    <t>MonthYear</t>
  </si>
  <si>
    <t>float</t>
  </si>
  <si>
    <t>String</t>
    <phoneticPr fontId="2" type="noConversion"/>
  </si>
  <si>
    <t>55</t>
    <phoneticPr fontId="2" type="noConversion"/>
  </si>
  <si>
    <t>107</t>
    <phoneticPr fontId="2" type="noConversion"/>
  </si>
  <si>
    <t>167</t>
    <phoneticPr fontId="2" type="noConversion"/>
  </si>
  <si>
    <t>200</t>
    <phoneticPr fontId="2" type="noConversion"/>
  </si>
  <si>
    <t>201</t>
    <phoneticPr fontId="2" type="noConversion"/>
  </si>
  <si>
    <t>202</t>
    <phoneticPr fontId="2" type="noConversion"/>
  </si>
  <si>
    <t>207</t>
    <phoneticPr fontId="2" type="noConversion"/>
  </si>
  <si>
    <t>225</t>
    <phoneticPr fontId="2" type="noConversion"/>
  </si>
  <si>
    <t>231</t>
    <phoneticPr fontId="2" type="noConversion"/>
  </si>
  <si>
    <t>311</t>
    <phoneticPr fontId="2" type="noConversion"/>
  </si>
  <si>
    <t>320</t>
    <phoneticPr fontId="2" type="noConversion"/>
  </si>
  <si>
    <t>322</t>
    <phoneticPr fontId="2" type="noConversion"/>
  </si>
  <si>
    <t>393</t>
    <phoneticPr fontId="2" type="noConversion"/>
  </si>
  <si>
    <t>541</t>
    <phoneticPr fontId="2" type="noConversion"/>
  </si>
  <si>
    <t>762</t>
    <phoneticPr fontId="2" type="noConversion"/>
  </si>
  <si>
    <t>864</t>
    <phoneticPr fontId="2" type="noConversion"/>
  </si>
  <si>
    <t>865</t>
    <phoneticPr fontId="2" type="noConversion"/>
  </si>
  <si>
    <t>866</t>
    <phoneticPr fontId="2" type="noConversion"/>
  </si>
  <si>
    <t>873</t>
    <phoneticPr fontId="2" type="noConversion"/>
  </si>
  <si>
    <t>965</t>
    <phoneticPr fontId="2" type="noConversion"/>
  </si>
  <si>
    <t>967</t>
    <phoneticPr fontId="2" type="noConversion"/>
  </si>
  <si>
    <t>969</t>
    <phoneticPr fontId="2" type="noConversion"/>
  </si>
  <si>
    <t>1151</t>
    <phoneticPr fontId="2" type="noConversion"/>
  </si>
  <si>
    <t>1310</t>
    <phoneticPr fontId="2" type="noConversion"/>
  </si>
  <si>
    <t>1140</t>
    <phoneticPr fontId="2" type="noConversion"/>
  </si>
  <si>
    <t>562</t>
    <phoneticPr fontId="2" type="noConversion"/>
  </si>
  <si>
    <t>keylist</t>
    <phoneticPr fontId="2" type="noConversion"/>
  </si>
  <si>
    <t>d</t>
    <phoneticPr fontId="2" type="noConversion"/>
  </si>
  <si>
    <t>4444</t>
    <phoneticPr fontId="2" type="noConversion"/>
  </si>
  <si>
    <t>00001</t>
    <phoneticPr fontId="2" type="noConversion"/>
  </si>
  <si>
    <t>OPT</t>
    <phoneticPr fontId="2" type="noConversion"/>
  </si>
  <si>
    <t>201202</t>
    <phoneticPr fontId="2" type="noConversion"/>
  </si>
  <si>
    <t>63000</t>
    <phoneticPr fontId="2" type="noConversion"/>
  </si>
  <si>
    <t>20110131</t>
    <phoneticPr fontId="2" type="noConversion"/>
  </si>
  <si>
    <t>5</t>
    <phoneticPr fontId="2" type="noConversion"/>
  </si>
  <si>
    <t>cu1202</t>
    <phoneticPr fontId="2" type="noConversion"/>
  </si>
  <si>
    <t>O</t>
    <phoneticPr fontId="2" type="noConversion"/>
  </si>
  <si>
    <t>0</t>
    <phoneticPr fontId="2" type="noConversion"/>
  </si>
  <si>
    <t>20120125</t>
    <phoneticPr fontId="2" type="noConversion"/>
  </si>
  <si>
    <t>2</t>
    <phoneticPr fontId="2" type="noConversion"/>
  </si>
  <si>
    <t>13</t>
    <phoneticPr fontId="2" type="noConversion"/>
  </si>
  <si>
    <t>1</t>
    <phoneticPr fontId="2" type="noConversion"/>
  </si>
  <si>
    <t>cu_o</t>
    <phoneticPr fontId="2" type="noConversion"/>
  </si>
  <si>
    <t>2</t>
    <phoneticPr fontId="2" type="noConversion"/>
  </si>
  <si>
    <t>30</t>
    <phoneticPr fontId="2" type="noConversion"/>
  </si>
  <si>
    <t>['35','202','167','965','207','55','56']</t>
    <phoneticPr fontId="2" type="noConversion"/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</si>
  <si>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</si>
  <si>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</si>
  <si>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</si>
  <si>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</si>
  <si>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57</t>
    <phoneticPr fontId="2" type="noConversion"/>
  </si>
  <si>
    <t>45</t>
    <phoneticPr fontId="2" type="noConversion"/>
  </si>
  <si>
    <t>372</t>
    <phoneticPr fontId="2" type="noConversion"/>
  </si>
  <si>
    <t>373</t>
    <phoneticPr fontId="2" type="noConversion"/>
  </si>
  <si>
    <t>58</t>
    <phoneticPr fontId="2" type="noConversion"/>
  </si>
  <si>
    <t>3</t>
    <phoneticPr fontId="2" type="noConversion"/>
  </si>
  <si>
    <t>1</t>
    <phoneticPr fontId="2" type="noConversion"/>
  </si>
  <si>
    <t>00001</t>
    <phoneticPr fontId="2" type="noConversion"/>
  </si>
  <si>
    <t>61441</t>
    <phoneticPr fontId="2" type="noConversion"/>
  </si>
  <si>
    <t>cu1202</t>
    <phoneticPr fontId="2" type="noConversion"/>
  </si>
  <si>
    <t>['35','372','373']</t>
    <phoneticPr fontId="2" type="noConversion"/>
  </si>
  <si>
    <t>4</t>
    <phoneticPr fontId="2" type="noConversion"/>
  </si>
  <si>
    <t>2</t>
    <phoneticPr fontId="2" type="noConversion"/>
  </si>
  <si>
    <t>2</t>
    <phoneticPr fontId="2" type="noConversion"/>
  </si>
  <si>
    <t>31</t>
    <phoneticPr fontId="2" type="noConversion"/>
  </si>
  <si>
    <t>32</t>
    <phoneticPr fontId="2" type="noConversion"/>
  </si>
  <si>
    <t>LastPx</t>
    <phoneticPr fontId="2" type="noConversion"/>
  </si>
  <si>
    <t>LastQty</t>
  </si>
  <si>
    <t>FIX.4.2</t>
    <phoneticPr fontId="2" type="noConversion"/>
  </si>
  <si>
    <t>5</t>
    <phoneticPr fontId="2" type="noConversion"/>
  </si>
  <si>
    <t>C</t>
    <phoneticPr fontId="2" type="noConversion"/>
  </si>
  <si>
    <t>['35','40','54','77','44','38','39','150','20001','59','55','1','56','116','14','151']</t>
    <phoneticPr fontId="2" type="noConversion"/>
  </si>
  <si>
    <t>['35','40','54','77','44','38','39','150','20001','59','55','1','56','116','14','151']</t>
  </si>
  <si>
    <t>0</t>
    <phoneticPr fontId="2" type="noConversion"/>
  </si>
  <si>
    <t>0</t>
    <phoneticPr fontId="2" type="noConversion"/>
  </si>
  <si>
    <t>8</t>
    <phoneticPr fontId="2" type="noConversion"/>
  </si>
  <si>
    <t>84100</t>
    <phoneticPr fontId="2" type="noConversion"/>
  </si>
  <si>
    <t>00001</t>
    <phoneticPr fontId="2" type="noConversion"/>
  </si>
  <si>
    <t>64100</t>
    <phoneticPr fontId="2" type="noConversion"/>
  </si>
  <si>
    <t>1</t>
    <phoneticPr fontId="2" type="noConversion"/>
  </si>
  <si>
    <t>3</t>
    <phoneticPr fontId="2" type="noConversion"/>
  </si>
  <si>
    <t>0</t>
    <phoneticPr fontId="2" type="noConversion"/>
  </si>
  <si>
    <t>O</t>
    <phoneticPr fontId="2" type="noConversion"/>
  </si>
  <si>
    <t>N</t>
    <phoneticPr fontId="2" type="noConversion"/>
  </si>
  <si>
    <t>135</t>
    <phoneticPr fontId="2" type="noConversion"/>
  </si>
  <si>
    <t>FIX.4.2</t>
    <phoneticPr fontId="2" type="noConversion"/>
  </si>
  <si>
    <t>111</t>
    <phoneticPr fontId="2" type="noConversion"/>
  </si>
  <si>
    <t>D</t>
    <phoneticPr fontId="2" type="noConversion"/>
  </si>
  <si>
    <t>00001</t>
    <phoneticPr fontId="2" type="noConversion"/>
  </si>
  <si>
    <t>4444</t>
    <phoneticPr fontId="2" type="noConversion"/>
  </si>
  <si>
    <t>2</t>
    <phoneticPr fontId="2" type="noConversion"/>
  </si>
  <si>
    <t>4</t>
    <phoneticPr fontId="2" type="noConversion"/>
  </si>
  <si>
    <t>135</t>
    <phoneticPr fontId="2" type="noConversion"/>
  </si>
  <si>
    <t>3</t>
    <phoneticPr fontId="2" type="noConversion"/>
  </si>
  <si>
    <t>FIX.4.2</t>
    <phoneticPr fontId="2" type="noConversion"/>
  </si>
  <si>
    <t>111</t>
    <phoneticPr fontId="2" type="noConversion"/>
  </si>
  <si>
    <t>61441</t>
    <phoneticPr fontId="2" type="noConversion"/>
  </si>
  <si>
    <t>100</t>
    <phoneticPr fontId="2" type="noConversion"/>
  </si>
  <si>
    <t>['35','40','54','77','44','38','39','150','20001','59','55','1','56','116','14','151']</t>
    <phoneticPr fontId="2" type="noConversion"/>
  </si>
  <si>
    <t>FIX.4.2</t>
    <phoneticPr fontId="2" type="noConversion"/>
  </si>
  <si>
    <t>111</t>
    <phoneticPr fontId="2" type="noConversion"/>
  </si>
  <si>
    <t>4</t>
    <phoneticPr fontId="2" type="noConversion"/>
  </si>
  <si>
    <t>4</t>
    <phoneticPr fontId="2" type="noConversion"/>
  </si>
  <si>
    <t>报单被CTP拒绝</t>
    <phoneticPr fontId="2" type="noConversion"/>
  </si>
  <si>
    <t>报单被交易所拒绝</t>
    <phoneticPr fontId="2" type="noConversion"/>
  </si>
  <si>
    <t>2</t>
    <phoneticPr fontId="2" type="noConversion"/>
  </si>
  <si>
    <t>6</t>
    <phoneticPr fontId="2" type="noConversion"/>
  </si>
  <si>
    <t>1</t>
    <phoneticPr fontId="2" type="noConversion"/>
  </si>
  <si>
    <t>A</t>
    <phoneticPr fontId="2" type="noConversion"/>
  </si>
  <si>
    <t>0</t>
    <phoneticPr fontId="2" type="noConversion"/>
  </si>
  <si>
    <t>6</t>
    <phoneticPr fontId="2" type="noConversion"/>
  </si>
  <si>
    <t>6</t>
    <phoneticPr fontId="2" type="noConversion"/>
  </si>
  <si>
    <t>1</t>
    <phoneticPr fontId="2" type="noConversion"/>
  </si>
  <si>
    <t>1</t>
    <phoneticPr fontId="2" type="noConversion"/>
  </si>
  <si>
    <t>65000</t>
    <phoneticPr fontId="2" type="noConversion"/>
  </si>
  <si>
    <t>1</t>
    <phoneticPr fontId="2" type="noConversion"/>
  </si>
  <si>
    <t>7</t>
    <phoneticPr fontId="2" type="noConversion"/>
  </si>
  <si>
    <t>8</t>
    <phoneticPr fontId="2" type="noConversion"/>
  </si>
  <si>
    <t>2</t>
    <phoneticPr fontId="2" type="noConversion"/>
  </si>
  <si>
    <t>3</t>
    <phoneticPr fontId="2" type="noConversion"/>
  </si>
  <si>
    <t>3</t>
    <phoneticPr fontId="2" type="noConversion"/>
  </si>
  <si>
    <t>2</t>
    <phoneticPr fontId="2" type="noConversion"/>
  </si>
  <si>
    <t>F</t>
    <phoneticPr fontId="2" type="noConversion"/>
  </si>
  <si>
    <t>INE</t>
  </si>
  <si>
    <t>ss1205TAS</t>
  </si>
  <si>
    <t>ss1205TASc67000</t>
  </si>
  <si>
    <t>ss1205</t>
    <phoneticPr fontId="2" type="noConversion"/>
  </si>
  <si>
    <t>TAS报单买开0-两手</t>
    <phoneticPr fontId="2" type="noConversion"/>
  </si>
  <si>
    <t>普通报单卖65000-一手（昨仓有两手）--不填开平</t>
    <phoneticPr fontId="2" type="noConversion"/>
  </si>
  <si>
    <t>8</t>
    <phoneticPr fontId="2" type="noConversion"/>
  </si>
  <si>
    <t>8</t>
    <phoneticPr fontId="2" type="noConversion"/>
  </si>
  <si>
    <t>8</t>
    <phoneticPr fontId="2" type="noConversion"/>
  </si>
  <si>
    <t>8</t>
    <phoneticPr fontId="2" type="noConversion"/>
  </si>
  <si>
    <t>FAK报单买开不支持的报单类型</t>
    <phoneticPr fontId="2" type="noConversion"/>
  </si>
  <si>
    <t>FOK报单卖平昨不支持的报单类型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</si>
</sst>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等线"/>
      <family val="2"/>
      <scheme val="minor"/>
    </font>
    <font>
      <sz val="8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TimesNewRoman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49" fontId="0" fillId="0" borderId="0" xfId="0" quotePrefix="1" applyNumberFormat="1"/>
    <xf numFmtId="0" fontId="0" fillId="0" borderId="0" xfId="0" quotePrefix="1"/>
    <xf numFmtId="22" fontId="0" fillId="0" borderId="0" xfId="0" applyNumberFormat="1"/>
    <xf numFmtId="0" fontId="4" fillId="0" borderId="0" xfId="0" applyFont="1" applyAlignment="1"/>
    <xf numFmtId="0" fontId="3" fillId="0" borderId="0" xfId="1"/>
    <xf numFmtId="49" fontId="0" fillId="0" borderId="0" xfId="0" applyNumberFormat="1"/>
    <xf numFmtId="22" fontId="0" fillId="0" borderId="0" xfId="0" quotePrefix="1" applyNumberFormat="1"/>
    <xf numFmtId="0" fontId="0" fillId="0" borderId="0" xfId="0" quotePrefix="1" applyAlignment="1">
      <alignment horizontal="left"/>
    </xf>
    <xf numFmtId="0" fontId="0" fillId="2" borderId="0" xfId="0" quotePrefix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B7" sqref="B7"/>
    </sheetView>
  </sheetViews>
  <sheetFormatPr defaultRowHeight="14.25"/>
  <cols>
    <col min="2" max="2" width="21.375" customWidth="1"/>
    <col min="3" max="3" width="18.125" customWidth="1"/>
  </cols>
  <sheetData>
    <row r="1" spans="1:4">
      <c r="A1" t="s">
        <v>68</v>
      </c>
      <c r="B1" s="5" t="s">
        <v>66</v>
      </c>
      <c r="C1" s="5" t="s">
        <v>222</v>
      </c>
      <c r="D1" s="5" t="s">
        <v>67</v>
      </c>
    </row>
    <row r="2" spans="1:4">
      <c r="A2">
        <v>1</v>
      </c>
      <c r="B2" s="6" t="str">
        <f t="shared" ref="B2:B8" si="0">HYPERLINK("#"&amp;C2&amp;"!A"&amp;(D2+3),C2)</f>
        <v>NewOrderSingle</v>
      </c>
      <c r="C2" t="s">
        <v>223</v>
      </c>
      <c r="D2">
        <f>COUNTIF(C$2:C2,C2)</f>
        <v>1</v>
      </c>
    </row>
    <row r="3" spans="1:4">
      <c r="A3">
        <v>2</v>
      </c>
      <c r="B3" s="6" t="str">
        <f t="shared" si="0"/>
        <v>NewOrderSingle</v>
      </c>
      <c r="C3" t="s">
        <v>223</v>
      </c>
      <c r="D3">
        <f>COUNTIF(C$2:C3,C3)</f>
        <v>2</v>
      </c>
    </row>
    <row r="4" spans="1:4">
      <c r="A4">
        <v>3</v>
      </c>
      <c r="B4" s="6" t="str">
        <f t="shared" si="0"/>
        <v>NewOrderSingle</v>
      </c>
      <c r="C4" t="s">
        <v>223</v>
      </c>
      <c r="D4">
        <f>COUNTIF(C$2:C4,C4)</f>
        <v>3</v>
      </c>
    </row>
    <row r="5" spans="1:4">
      <c r="A5">
        <v>4</v>
      </c>
      <c r="B5" s="6" t="str">
        <f t="shared" si="0"/>
        <v>NewOrderSingle</v>
      </c>
      <c r="C5" t="s">
        <v>223</v>
      </c>
      <c r="D5">
        <f>COUNTIF(C$2:C5,C5)</f>
        <v>4</v>
      </c>
    </row>
    <row r="6" spans="1:4">
      <c r="A6">
        <v>5</v>
      </c>
      <c r="B6" s="6" t="str">
        <f t="shared" si="0"/>
        <v>NewOrderSingle</v>
      </c>
      <c r="C6" t="s">
        <v>223</v>
      </c>
      <c r="D6">
        <f>COUNTIF(C$2:C6,C6)</f>
        <v>5</v>
      </c>
    </row>
    <row r="7" spans="1:4">
      <c r="A7">
        <v>6</v>
      </c>
      <c r="B7" s="6" t="str">
        <f t="shared" si="0"/>
        <v>NewOrderSingle</v>
      </c>
      <c r="C7" t="s">
        <v>223</v>
      </c>
      <c r="D7">
        <f>COUNTIF(C$2:C7,C7)</f>
        <v>6</v>
      </c>
    </row>
    <row r="8" spans="1:4">
      <c r="A8">
        <v>7</v>
      </c>
      <c r="B8" s="6" t="str">
        <f t="shared" si="0"/>
        <v>NewOrderSingle</v>
      </c>
      <c r="C8" t="s">
        <v>223</v>
      </c>
      <c r="D8">
        <f>COUNTIF(C$2:C8,C8)</f>
        <v>7</v>
      </c>
    </row>
    <row r="9" spans="1:4">
      <c r="B9" s="6"/>
    </row>
    <row r="10" spans="1:4">
      <c r="B10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B9" sqref="B9"/>
    </sheetView>
  </sheetViews>
  <sheetFormatPr defaultRowHeight="14.25"/>
  <cols>
    <col min="2" max="2" width="16.25" customWidth="1"/>
    <col min="3" max="3" width="14.875" customWidth="1"/>
  </cols>
  <sheetData>
    <row r="1" spans="1:4">
      <c r="A1" t="s">
        <v>68</v>
      </c>
      <c r="B1" s="5" t="s">
        <v>66</v>
      </c>
      <c r="C1" s="5" t="s">
        <v>222</v>
      </c>
      <c r="D1" s="5" t="s">
        <v>67</v>
      </c>
    </row>
    <row r="2" spans="1:4">
      <c r="A2">
        <v>0</v>
      </c>
      <c r="B2" s="6" t="str">
        <f>HYPERLINK("#"&amp;C2&amp;"!A"&amp;(D2+3),C2)</f>
        <v>OnRspUserLogin</v>
      </c>
      <c r="C2" t="s">
        <v>220</v>
      </c>
      <c r="D2">
        <f>COUNTIF(C$2:C2,C2)</f>
        <v>1</v>
      </c>
    </row>
    <row r="3" spans="1:4" ht="18.75" customHeight="1">
      <c r="A3">
        <v>1</v>
      </c>
      <c r="B3" s="6" t="str">
        <f t="shared" ref="B3:B9" si="0">HYPERLINK("#"&amp;C3&amp;"!A"&amp;(D3+3),C3)</f>
        <v>ExecutionReport</v>
      </c>
      <c r="C3" t="s">
        <v>221</v>
      </c>
      <c r="D3">
        <f>COUNTIF(C$2:C3,C3)</f>
        <v>1</v>
      </c>
    </row>
    <row r="4" spans="1:4">
      <c r="A4">
        <v>2</v>
      </c>
      <c r="B4" s="6" t="str">
        <f t="shared" si="0"/>
        <v>ExecutionReport</v>
      </c>
      <c r="C4" t="s">
        <v>221</v>
      </c>
      <c r="D4">
        <f>COUNTIF(C$2:C4,C4)</f>
        <v>2</v>
      </c>
    </row>
    <row r="5" spans="1:4">
      <c r="A5">
        <v>2</v>
      </c>
      <c r="B5" s="6" t="str">
        <f t="shared" si="0"/>
        <v>ExecutionReport</v>
      </c>
      <c r="C5" t="s">
        <v>221</v>
      </c>
      <c r="D5">
        <f>COUNTIF(C$2:C5,C5)</f>
        <v>3</v>
      </c>
    </row>
    <row r="6" spans="1:4">
      <c r="A6">
        <v>3</v>
      </c>
      <c r="B6" s="6" t="str">
        <f t="shared" si="0"/>
        <v>ExecutionReport</v>
      </c>
      <c r="C6" t="s">
        <v>221</v>
      </c>
      <c r="D6">
        <f>COUNTIF(C$2:C6,C6)</f>
        <v>4</v>
      </c>
    </row>
    <row r="7" spans="1:4">
      <c r="A7">
        <v>3</v>
      </c>
      <c r="B7" s="6" t="str">
        <f t="shared" si="0"/>
        <v>ExecutionReport</v>
      </c>
      <c r="C7" t="s">
        <v>221</v>
      </c>
      <c r="D7">
        <f>COUNTIF(C$2:C7,C7)</f>
        <v>5</v>
      </c>
    </row>
    <row r="8" spans="1:4">
      <c r="A8">
        <v>4</v>
      </c>
      <c r="B8" s="6" t="str">
        <f t="shared" si="0"/>
        <v>ExecutionReport</v>
      </c>
      <c r="C8" t="s">
        <v>221</v>
      </c>
      <c r="D8">
        <f>COUNTIF(C$2:C8,C8)</f>
        <v>6</v>
      </c>
    </row>
    <row r="9" spans="1:4">
      <c r="A9">
        <v>4</v>
      </c>
      <c r="B9" s="6" t="str">
        <f t="shared" si="0"/>
        <v>ExecutionReport</v>
      </c>
      <c r="C9" t="s">
        <v>221</v>
      </c>
      <c r="D9">
        <f>COUNTIF(C$2:C9,C9)</f>
        <v>7</v>
      </c>
    </row>
    <row r="10" spans="1:4">
      <c r="A10">
        <v>5</v>
      </c>
      <c r="B10" s="6" t="str">
        <f t="shared" ref="B10" si="1">HYPERLINK("#"&amp;C10&amp;"!A"&amp;(D10+3),C10)</f>
        <v>ExecutionReport</v>
      </c>
      <c r="C10" t="s">
        <v>221</v>
      </c>
      <c r="D10">
        <f>COUNTIF(C$2:C10,C10)</f>
        <v>8</v>
      </c>
    </row>
    <row r="11" spans="1:4">
      <c r="A11">
        <v>5</v>
      </c>
      <c r="B11" s="6" t="str">
        <f t="shared" ref="B11:B13" si="2">HYPERLINK("#"&amp;C11&amp;"!A"&amp;(D11+3),C11)</f>
        <v>ExecutionReport</v>
      </c>
      <c r="C11" t="s">
        <v>221</v>
      </c>
      <c r="D11">
        <f>COUNTIF(C$2:C11,C11)</f>
        <v>9</v>
      </c>
    </row>
    <row r="12" spans="1:4">
      <c r="A12">
        <v>6</v>
      </c>
      <c r="B12" s="6" t="str">
        <f t="shared" ref="B12" si="3">HYPERLINK("#"&amp;C12&amp;"!A"&amp;(D12+3),C12)</f>
        <v>ExecutionReport</v>
      </c>
      <c r="C12" t="s">
        <v>221</v>
      </c>
      <c r="D12">
        <f>COUNTIF(C$2:C12,C12)</f>
        <v>10</v>
      </c>
    </row>
    <row r="13" spans="1:4">
      <c r="A13">
        <v>6</v>
      </c>
      <c r="B13" s="6" t="str">
        <f t="shared" si="2"/>
        <v>ExecutionReport</v>
      </c>
      <c r="C13" t="s">
        <v>221</v>
      </c>
      <c r="D13">
        <f>COUNTIF(C$2:C13,C13)</f>
        <v>11</v>
      </c>
    </row>
    <row r="14" spans="1:4">
      <c r="A14">
        <v>7</v>
      </c>
      <c r="B14" s="6" t="str">
        <f t="shared" ref="B14:B15" si="4">HYPERLINK("#"&amp;C14&amp;"!A"&amp;(D14+3),C14)</f>
        <v>ExecutionReport</v>
      </c>
      <c r="C14" t="s">
        <v>221</v>
      </c>
      <c r="D14">
        <f>COUNTIF(C$2:C14,C14)</f>
        <v>12</v>
      </c>
    </row>
    <row r="15" spans="1:4">
      <c r="A15">
        <v>7</v>
      </c>
      <c r="B15" s="6" t="str">
        <f t="shared" si="4"/>
        <v>ExecutionReport</v>
      </c>
      <c r="C15" t="s">
        <v>221</v>
      </c>
      <c r="D15">
        <f>COUNTIF(C$2:C15,C15)</f>
        <v>13</v>
      </c>
    </row>
    <row r="16" spans="1:4">
      <c r="B16" s="6"/>
    </row>
    <row r="17" spans="2:2">
      <c r="B17" s="6"/>
    </row>
    <row r="18" spans="2:2">
      <c r="B18" s="6"/>
    </row>
    <row r="19" spans="2:2">
      <c r="B19" s="6"/>
    </row>
    <row r="20" spans="2:2">
      <c r="B20" s="6"/>
    </row>
    <row r="21" spans="2:2">
      <c r="B21" s="6"/>
    </row>
    <row r="22" spans="2:2">
      <c r="B22" s="6"/>
    </row>
    <row r="23" spans="2:2">
      <c r="B23" s="6"/>
    </row>
    <row r="24" spans="2:2">
      <c r="B24" s="6"/>
    </row>
    <row r="25" spans="2:2">
      <c r="B25" s="6"/>
    </row>
    <row r="26" spans="2:2">
      <c r="B26" s="6"/>
    </row>
    <row r="27" spans="2:2">
      <c r="B27" s="6"/>
    </row>
    <row r="28" spans="2:2">
      <c r="B28" s="6"/>
    </row>
    <row r="29" spans="2:2">
      <c r="B29" s="6"/>
    </row>
    <row r="30" spans="2:2">
      <c r="B30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03"/>
  <sheetViews>
    <sheetView tabSelected="1" workbookViewId="0">
      <selection activeCell="G13" sqref="G13"/>
    </sheetView>
  </sheetViews>
  <sheetFormatPr defaultRowHeight="14.25"/>
  <cols>
    <col min="2" max="2" width="16.5" customWidth="1"/>
    <col min="3" max="3" width="15.75" customWidth="1"/>
    <col min="6" max="6" width="17.75" customWidth="1"/>
    <col min="11" max="11" width="14.5" customWidth="1"/>
    <col min="19" max="19" width="14.375" customWidth="1"/>
  </cols>
  <sheetData>
    <row r="1" spans="1:36" ht="15.75">
      <c r="A1" t="s">
        <v>68</v>
      </c>
      <c r="B1" s="5" t="s">
        <v>66</v>
      </c>
      <c r="C1" s="5" t="s">
        <v>222</v>
      </c>
      <c r="D1" s="5" t="s">
        <v>67</v>
      </c>
      <c r="AJ1" s="1"/>
    </row>
    <row r="2" spans="1:36">
      <c r="A2">
        <v>1</v>
      </c>
      <c r="B2" s="6" t="str">
        <f t="shared" ref="B2:B7" si="0">HYPERLINK("#"&amp;C2&amp;"!A"&amp;(D2+3),C2)</f>
        <v>NewOrderSingle</v>
      </c>
      <c r="C2" t="s">
        <v>223</v>
      </c>
      <c r="D2">
        <f>COUNTIF(C$2:C2,C2)</f>
        <v>1</v>
      </c>
      <c r="E2" t="s">
        <v>498</v>
      </c>
    </row>
    <row r="3" spans="1:36">
      <c r="A3">
        <v>2</v>
      </c>
      <c r="B3" s="6" t="str">
        <f t="shared" si="0"/>
        <v>NewOrderSingle</v>
      </c>
      <c r="C3" t="s">
        <v>223</v>
      </c>
      <c r="D3">
        <f>COUNTIF(C$2:C3,C3)</f>
        <v>2</v>
      </c>
      <c r="E3" s="2" t="s">
        <v>499</v>
      </c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AA3" s="3"/>
      <c r="AB3" s="3"/>
      <c r="AC3" s="3"/>
      <c r="AD3" s="3"/>
      <c r="AE3" s="3"/>
      <c r="AF3" s="3"/>
      <c r="AG3" s="3"/>
      <c r="AH3" s="3"/>
      <c r="AI3" s="3"/>
      <c r="AJ3" s="2"/>
    </row>
    <row r="4" spans="1:36">
      <c r="A4">
        <v>3</v>
      </c>
      <c r="B4" s="6" t="str">
        <f t="shared" si="0"/>
        <v>NewOrderSingle</v>
      </c>
      <c r="C4" t="s">
        <v>223</v>
      </c>
      <c r="D4">
        <f>COUNTIF(C$2:C4,C4)</f>
        <v>3</v>
      </c>
      <c r="E4" s="2" t="s">
        <v>528</v>
      </c>
      <c r="F4" s="4"/>
      <c r="G4" s="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T4" s="3"/>
      <c r="U4" s="3"/>
      <c r="AA4" s="3"/>
      <c r="AB4" s="3"/>
      <c r="AC4" s="3"/>
      <c r="AD4" s="3"/>
      <c r="AE4" s="3"/>
      <c r="AF4" s="3"/>
      <c r="AI4" s="3"/>
      <c r="AJ4" s="3"/>
    </row>
    <row r="5" spans="1:36">
      <c r="A5">
        <v>4</v>
      </c>
      <c r="B5" s="6" t="str">
        <f t="shared" si="0"/>
        <v>NewOrderSingle</v>
      </c>
      <c r="C5" t="s">
        <v>223</v>
      </c>
      <c r="D5">
        <f>COUNTIF(C$2:C5,C5)</f>
        <v>4</v>
      </c>
      <c r="E5" s="3" t="s">
        <v>529</v>
      </c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T5" s="3"/>
      <c r="U5" s="3"/>
      <c r="Z5" s="3"/>
      <c r="AF5" s="3"/>
      <c r="AJ5" s="3"/>
    </row>
    <row r="6" spans="1:36">
      <c r="A6">
        <v>5</v>
      </c>
      <c r="B6" s="6" t="str">
        <f t="shared" si="0"/>
        <v>NewOrderSingle</v>
      </c>
      <c r="C6" t="s">
        <v>223</v>
      </c>
      <c r="D6">
        <f>COUNTIF(C$2:C6,C6)</f>
        <v>5</v>
      </c>
      <c r="E6" s="3" t="s">
        <v>522</v>
      </c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T6" s="3"/>
      <c r="U6" s="3"/>
      <c r="Z6" s="3"/>
      <c r="AF6" s="3"/>
      <c r="AJ6" s="3"/>
    </row>
    <row r="7" spans="1:36">
      <c r="A7">
        <v>6</v>
      </c>
      <c r="B7" s="6" t="str">
        <f t="shared" si="0"/>
        <v>NewOrderSingle</v>
      </c>
      <c r="C7" t="s">
        <v>223</v>
      </c>
      <c r="D7">
        <f>COUNTIF(C$2:C7,C7)</f>
        <v>6</v>
      </c>
      <c r="E7" s="10" t="s">
        <v>523</v>
      </c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T7" s="3"/>
      <c r="U7" s="3"/>
      <c r="Z7" s="3"/>
      <c r="AF7" s="3"/>
      <c r="AJ7" s="3"/>
    </row>
    <row r="8" spans="1:36">
      <c r="A8">
        <v>7</v>
      </c>
      <c r="B8" s="6" t="str">
        <f t="shared" ref="B8" si="1">HYPERLINK("#"&amp;C8&amp;"!A"&amp;(D8+3),C8)</f>
        <v>NewOrderSingle</v>
      </c>
      <c r="C8" t="s">
        <v>223</v>
      </c>
      <c r="D8">
        <f>COUNTIF(C$2:C8,C8)</f>
        <v>7</v>
      </c>
      <c r="E8" s="3" t="s">
        <v>522</v>
      </c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T8" s="3"/>
      <c r="U8" s="3"/>
      <c r="Z8" s="3"/>
      <c r="AF8" s="3"/>
      <c r="AJ8" s="3"/>
    </row>
    <row r="9" spans="1:36">
      <c r="A9" s="3"/>
      <c r="B9" s="3"/>
      <c r="C9" s="3"/>
      <c r="D9" s="3"/>
      <c r="E9" s="3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s="3"/>
      <c r="U9" s="3"/>
      <c r="Z9" s="3"/>
      <c r="AF9" s="3"/>
      <c r="AJ9" s="3"/>
    </row>
    <row r="10" spans="1:36">
      <c r="A10" s="3"/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3"/>
      <c r="U10" s="3"/>
      <c r="Z10" s="3"/>
      <c r="AF10" s="3"/>
      <c r="AJ10" s="3"/>
    </row>
    <row r="11" spans="1:36">
      <c r="A11" s="3"/>
      <c r="B11" s="3"/>
      <c r="C11" s="3"/>
      <c r="D11" s="3"/>
      <c r="E11" s="3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s="3"/>
      <c r="U11" s="3"/>
      <c r="Z11" s="3"/>
      <c r="AF11" s="3"/>
      <c r="AJ11" s="3"/>
    </row>
    <row r="12" spans="1:36">
      <c r="A12" s="3"/>
      <c r="B12" s="3"/>
      <c r="C12" s="3"/>
      <c r="D12" s="3"/>
      <c r="E12" s="3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s="3"/>
      <c r="U12" s="3"/>
      <c r="Z12" s="3"/>
      <c r="AF12" s="3"/>
      <c r="AJ12" s="3"/>
    </row>
    <row r="13" spans="1:36">
      <c r="A13" s="3"/>
      <c r="B13" s="3"/>
      <c r="C13" s="3"/>
      <c r="D13" s="3"/>
      <c r="E13" s="3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s="3"/>
      <c r="U13" s="3"/>
      <c r="Z13" s="3"/>
      <c r="AF13" s="3"/>
      <c r="AJ13" s="3"/>
    </row>
    <row r="14" spans="1:36">
      <c r="A14" s="3"/>
      <c r="B14" s="3"/>
      <c r="C14" s="3"/>
      <c r="D14" s="3"/>
      <c r="E14" s="3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s="3"/>
      <c r="U14" s="3"/>
      <c r="Z14" s="3"/>
      <c r="AF14" s="3"/>
      <c r="AJ14" s="3"/>
    </row>
    <row r="15" spans="1:36">
      <c r="A15" s="3"/>
      <c r="B15" s="3"/>
      <c r="C15" s="3"/>
      <c r="D15" s="3"/>
      <c r="E15" s="3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s="3"/>
      <c r="U15" s="3"/>
      <c r="Z15" s="3"/>
      <c r="AF15" s="3"/>
      <c r="AJ15" s="3"/>
    </row>
    <row r="16" spans="1:36">
      <c r="A16" s="3"/>
      <c r="B16" s="3"/>
      <c r="C16" s="3"/>
      <c r="D16" s="3"/>
      <c r="E16" s="3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s="3"/>
      <c r="U16" s="3"/>
      <c r="Z16" s="3"/>
      <c r="AF16" s="3"/>
      <c r="AJ16" s="3"/>
    </row>
    <row r="17" spans="1:36">
      <c r="A17" s="3"/>
      <c r="B17" s="3"/>
      <c r="C17" s="3"/>
      <c r="D17" s="3"/>
      <c r="E17" s="3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3"/>
      <c r="U17" s="3"/>
      <c r="Z17" s="3"/>
      <c r="AF17" s="3"/>
      <c r="AJ17" s="3"/>
    </row>
    <row r="18" spans="1:36">
      <c r="A18" s="3"/>
      <c r="B18" s="3"/>
      <c r="C18" s="3"/>
      <c r="D18" s="3"/>
      <c r="E18" s="3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3"/>
      <c r="U18" s="3"/>
      <c r="Z18" s="3"/>
      <c r="AF18" s="3"/>
      <c r="AJ18" s="3"/>
    </row>
    <row r="19" spans="1:36">
      <c r="A19" s="3"/>
      <c r="B19" s="3"/>
      <c r="C19" s="3"/>
      <c r="D19" s="3"/>
      <c r="E19" s="3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T19" s="3"/>
      <c r="U19" s="3"/>
      <c r="Z19" s="3"/>
      <c r="AF19" s="3"/>
      <c r="AJ19" s="3"/>
    </row>
    <row r="20" spans="1:36">
      <c r="A20" s="3"/>
      <c r="B20" s="3"/>
      <c r="C20" s="3"/>
      <c r="D20" s="3"/>
      <c r="E20" s="3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3"/>
      <c r="U20" s="3"/>
      <c r="Z20" s="3"/>
      <c r="AF20" s="3"/>
      <c r="AJ20" s="3"/>
    </row>
    <row r="21" spans="1:36">
      <c r="A21" s="3"/>
      <c r="B21" s="3"/>
      <c r="C21" s="3"/>
      <c r="D21" s="3"/>
      <c r="E21" s="3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T21" s="3"/>
      <c r="U21" s="3"/>
      <c r="Z21" s="3"/>
      <c r="AF21" s="3"/>
      <c r="AJ21" s="3"/>
    </row>
    <row r="22" spans="1:36">
      <c r="A22" s="3"/>
      <c r="B22" s="3"/>
      <c r="C22" s="3"/>
      <c r="D22" s="3"/>
      <c r="E22" s="3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T22" s="3"/>
      <c r="U22" s="3"/>
      <c r="Z22" s="3"/>
      <c r="AF22" s="3"/>
      <c r="AJ22" s="3"/>
    </row>
    <row r="23" spans="1:36">
      <c r="A23" s="3"/>
      <c r="B23" s="3"/>
      <c r="C23" s="3"/>
      <c r="D23" s="3"/>
      <c r="E23" s="3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T23" s="3"/>
      <c r="U23" s="3"/>
      <c r="Z23" s="3"/>
      <c r="AF23" s="3"/>
      <c r="AJ23" s="3"/>
    </row>
    <row r="24" spans="1:36">
      <c r="A24" s="3"/>
      <c r="B24" s="3"/>
      <c r="C24" s="3"/>
      <c r="D24" s="3"/>
      <c r="E24" s="3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T24" s="3"/>
      <c r="U24" s="3"/>
      <c r="Z24" s="3"/>
      <c r="AF24" s="3"/>
      <c r="AJ24" s="3"/>
    </row>
    <row r="25" spans="1:36">
      <c r="A25" s="3"/>
      <c r="B25" s="3"/>
      <c r="C25" s="3"/>
      <c r="D25" s="3"/>
      <c r="E25" s="3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T25" s="3"/>
      <c r="U25" s="3"/>
      <c r="Z25" s="3"/>
      <c r="AF25" s="3"/>
      <c r="AJ25" s="3"/>
    </row>
    <row r="26" spans="1:36">
      <c r="A26" s="3"/>
      <c r="B26" s="3"/>
      <c r="C26" s="3"/>
      <c r="D26" s="3"/>
      <c r="E26" s="3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T26" s="3"/>
      <c r="U26" s="3"/>
      <c r="Z26" s="3"/>
      <c r="AF26" s="3"/>
      <c r="AJ26" s="3"/>
    </row>
    <row r="27" spans="1:36">
      <c r="A27" s="3"/>
      <c r="B27" s="3"/>
      <c r="C27" s="3"/>
      <c r="D27" s="3"/>
      <c r="E27" s="3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T27" s="3"/>
      <c r="U27" s="3"/>
      <c r="Z27" s="3"/>
      <c r="AF27" s="3"/>
      <c r="AJ27" s="3"/>
    </row>
    <row r="28" spans="1:36">
      <c r="A28" s="3"/>
      <c r="B28" s="3"/>
      <c r="C28" s="3"/>
      <c r="D28" s="3"/>
      <c r="E28" s="3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T28" s="3"/>
      <c r="U28" s="3"/>
      <c r="Z28" s="3"/>
      <c r="AF28" s="3"/>
      <c r="AJ28" s="3"/>
    </row>
    <row r="29" spans="1:36">
      <c r="A29" s="3"/>
      <c r="B29" s="3"/>
      <c r="C29" s="3"/>
      <c r="D29" s="3"/>
      <c r="E29" s="3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T29" s="3"/>
      <c r="U29" s="3"/>
      <c r="Z29" s="3"/>
      <c r="AF29" s="3"/>
      <c r="AJ29" s="3"/>
    </row>
    <row r="30" spans="1:36">
      <c r="A30" s="3"/>
      <c r="B30" s="3"/>
      <c r="C30" s="3"/>
      <c r="D30" s="3"/>
      <c r="E30" s="3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T30" s="3"/>
      <c r="U30" s="3"/>
      <c r="Z30" s="3"/>
      <c r="AF30" s="3"/>
      <c r="AJ30" s="3"/>
    </row>
    <row r="31" spans="1:36">
      <c r="A31" s="3"/>
      <c r="B31" s="3"/>
      <c r="C31" s="3"/>
      <c r="D31" s="3"/>
      <c r="E31" s="3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T31" s="3"/>
      <c r="U31" s="3"/>
      <c r="Z31" s="3"/>
      <c r="AF31" s="3"/>
      <c r="AJ31" s="3"/>
    </row>
    <row r="32" spans="1:36">
      <c r="A32" s="3"/>
      <c r="B32" s="3"/>
      <c r="C32" s="3"/>
      <c r="D32" s="3"/>
      <c r="E32" s="3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T32" s="3"/>
      <c r="U32" s="3"/>
      <c r="Z32" s="3"/>
      <c r="AF32" s="3"/>
      <c r="AJ32" s="3"/>
    </row>
    <row r="33" spans="1:36">
      <c r="A33" s="3"/>
      <c r="B33" s="3"/>
      <c r="C33" s="3"/>
      <c r="D33" s="3"/>
      <c r="E33" s="3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T33" s="3"/>
      <c r="U33" s="3"/>
      <c r="Z33" s="3"/>
      <c r="AF33" s="3"/>
      <c r="AJ33" s="3"/>
    </row>
    <row r="34" spans="1:36">
      <c r="A34" s="3"/>
      <c r="B34" s="3"/>
      <c r="C34" s="3"/>
      <c r="D34" s="3"/>
      <c r="E34" s="3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T34" s="3"/>
      <c r="U34" s="3"/>
      <c r="Z34" s="3"/>
      <c r="AF34" s="3"/>
      <c r="AJ34" s="3"/>
    </row>
    <row r="35" spans="1:36">
      <c r="A35" s="3"/>
      <c r="B35" s="3"/>
      <c r="C35" s="3"/>
      <c r="D35" s="3"/>
      <c r="E35" s="3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T35" s="3"/>
      <c r="U35" s="3"/>
      <c r="Z35" s="3"/>
      <c r="AF35" s="3"/>
      <c r="AJ35" s="3"/>
    </row>
    <row r="36" spans="1:36">
      <c r="A36" s="3"/>
      <c r="B36" s="3"/>
      <c r="C36" s="3"/>
      <c r="D36" s="3"/>
      <c r="E36" s="3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T36" s="3"/>
      <c r="U36" s="3"/>
      <c r="Z36" s="3"/>
      <c r="AF36" s="3"/>
      <c r="AJ36" s="3"/>
    </row>
    <row r="37" spans="1:36">
      <c r="A37" s="3"/>
      <c r="B37" s="3"/>
      <c r="C37" s="3"/>
      <c r="D37" s="3"/>
      <c r="E37" s="3"/>
      <c r="F37" s="4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T37" s="3"/>
      <c r="U37" s="3"/>
      <c r="Z37" s="3"/>
      <c r="AF37" s="3"/>
      <c r="AJ37" s="3"/>
    </row>
    <row r="38" spans="1:36">
      <c r="A38" s="3"/>
      <c r="B38" s="3"/>
      <c r="C38" s="3"/>
      <c r="D38" s="3"/>
      <c r="E38" s="3"/>
      <c r="F38" s="4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T38" s="3"/>
      <c r="U38" s="3"/>
      <c r="Z38" s="3"/>
      <c r="AF38" s="3"/>
      <c r="AJ38" s="3"/>
    </row>
    <row r="39" spans="1:36">
      <c r="A39" s="3"/>
      <c r="B39" s="3"/>
      <c r="C39" s="3"/>
      <c r="D39" s="3"/>
      <c r="E39" s="3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T39" s="3"/>
      <c r="U39" s="3"/>
      <c r="Z39" s="3"/>
      <c r="AF39" s="3"/>
      <c r="AJ39" s="3"/>
    </row>
    <row r="40" spans="1:36">
      <c r="A40" s="3"/>
      <c r="B40" s="3"/>
      <c r="C40" s="3"/>
      <c r="D40" s="3"/>
      <c r="E40" s="3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T40" s="3"/>
      <c r="U40" s="3"/>
      <c r="Z40" s="3"/>
      <c r="AF40" s="3"/>
      <c r="AJ40" s="3"/>
    </row>
    <row r="41" spans="1:36">
      <c r="A41" s="3"/>
      <c r="B41" s="3"/>
      <c r="C41" s="3"/>
      <c r="D41" s="3"/>
      <c r="E41" s="3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T41" s="3"/>
      <c r="U41" s="3"/>
      <c r="Z41" s="3"/>
      <c r="AF41" s="3"/>
      <c r="AJ41" s="3"/>
    </row>
    <row r="42" spans="1:36">
      <c r="A42" s="3"/>
      <c r="B42" s="3"/>
      <c r="C42" s="3"/>
      <c r="D42" s="3"/>
      <c r="E42" s="3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T42" s="3"/>
      <c r="U42" s="3"/>
      <c r="Z42" s="3"/>
      <c r="AF42" s="3"/>
      <c r="AJ42" s="3"/>
    </row>
    <row r="43" spans="1:36">
      <c r="A43" s="3"/>
      <c r="B43" s="3"/>
      <c r="C43" s="3"/>
      <c r="D43" s="3"/>
      <c r="E43" s="3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T43" s="3"/>
      <c r="U43" s="3"/>
      <c r="Z43" s="3"/>
      <c r="AF43" s="3"/>
      <c r="AJ43" s="3"/>
    </row>
    <row r="44" spans="1:36">
      <c r="A44" s="3"/>
      <c r="B44" s="3"/>
      <c r="C44" s="3"/>
      <c r="D44" s="3"/>
      <c r="E44" s="3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T44" s="3"/>
      <c r="U44" s="3"/>
      <c r="Z44" s="3"/>
      <c r="AF44" s="3"/>
      <c r="AJ44" s="3"/>
    </row>
    <row r="45" spans="1:36">
      <c r="A45" s="3"/>
      <c r="B45" s="3"/>
      <c r="C45" s="3"/>
      <c r="D45" s="3"/>
      <c r="E45" s="3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T45" s="3"/>
      <c r="U45" s="3"/>
      <c r="Z45" s="3"/>
      <c r="AF45" s="3"/>
      <c r="AJ45" s="3"/>
    </row>
    <row r="46" spans="1:36">
      <c r="A46" s="3"/>
      <c r="B46" s="3"/>
      <c r="C46" s="3"/>
      <c r="D46" s="3"/>
      <c r="E46" s="3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T46" s="3"/>
      <c r="U46" s="3"/>
      <c r="Z46" s="3"/>
      <c r="AF46" s="3"/>
      <c r="AJ46" s="3"/>
    </row>
    <row r="47" spans="1:36">
      <c r="A47" s="3"/>
      <c r="B47" s="3"/>
      <c r="C47" s="3"/>
      <c r="D47" s="3"/>
      <c r="E47" s="3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T47" s="3"/>
      <c r="U47" s="3"/>
      <c r="Z47" s="3"/>
      <c r="AF47" s="3"/>
      <c r="AJ47" s="3"/>
    </row>
    <row r="48" spans="1:36">
      <c r="A48" s="3"/>
      <c r="B48" s="3"/>
      <c r="C48" s="3"/>
      <c r="D48" s="3"/>
      <c r="E48" s="3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T48" s="3"/>
      <c r="U48" s="3"/>
      <c r="Z48" s="3"/>
      <c r="AF48" s="3"/>
      <c r="AJ48" s="3"/>
    </row>
    <row r="49" spans="1:36">
      <c r="A49" s="3"/>
      <c r="B49" s="3"/>
      <c r="C49" s="3"/>
      <c r="D49" s="3"/>
      <c r="E49" s="3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T49" s="3"/>
      <c r="U49" s="3"/>
      <c r="Z49" s="3"/>
      <c r="AF49" s="3"/>
      <c r="AJ49" s="3"/>
    </row>
    <row r="50" spans="1:36">
      <c r="A50" s="3"/>
      <c r="B50" s="3"/>
      <c r="C50" s="3"/>
      <c r="D50" s="3"/>
      <c r="E50" s="3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T50" s="3"/>
      <c r="U50" s="3"/>
      <c r="Z50" s="3"/>
      <c r="AF50" s="3"/>
      <c r="AJ50" s="3"/>
    </row>
    <row r="51" spans="1:36">
      <c r="A51" s="3"/>
      <c r="B51" s="3"/>
      <c r="C51" s="3"/>
      <c r="D51" s="3"/>
      <c r="E51" s="3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T51" s="3"/>
      <c r="U51" s="3"/>
      <c r="Z51" s="3"/>
      <c r="AF51" s="3"/>
      <c r="AJ51" s="3"/>
    </row>
    <row r="52" spans="1:36">
      <c r="A52" s="3"/>
      <c r="B52" s="3"/>
      <c r="C52" s="3"/>
      <c r="D52" s="3"/>
      <c r="E52" s="3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T52" s="3"/>
      <c r="U52" s="3"/>
      <c r="Z52" s="3"/>
      <c r="AF52" s="3"/>
      <c r="AJ52" s="3"/>
    </row>
    <row r="53" spans="1:36">
      <c r="A53" s="3"/>
      <c r="B53" s="3"/>
      <c r="C53" s="3"/>
      <c r="D53" s="3"/>
      <c r="E53" s="3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T53" s="3"/>
      <c r="U53" s="3"/>
      <c r="Z53" s="3"/>
      <c r="AF53" s="3"/>
      <c r="AJ53" s="3"/>
    </row>
    <row r="54" spans="1:36">
      <c r="A54" s="3"/>
      <c r="B54" s="3"/>
      <c r="C54" s="3"/>
      <c r="D54" s="3"/>
      <c r="E54" s="3"/>
      <c r="F54" s="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  <c r="U54" s="3"/>
      <c r="Z54" s="3"/>
      <c r="AF54" s="3"/>
      <c r="AJ54" s="3"/>
    </row>
    <row r="55" spans="1:36">
      <c r="A55" s="3"/>
      <c r="B55" s="3"/>
      <c r="C55" s="3"/>
      <c r="D55" s="3"/>
      <c r="E55" s="3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T55" s="3"/>
      <c r="U55" s="3"/>
      <c r="Z55" s="3"/>
      <c r="AF55" s="3"/>
      <c r="AJ55" s="3"/>
    </row>
    <row r="56" spans="1:36">
      <c r="A56" s="3"/>
      <c r="B56" s="3"/>
      <c r="C56" s="3"/>
      <c r="D56" s="3"/>
      <c r="E56" s="3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T56" s="3"/>
      <c r="U56" s="3"/>
      <c r="Z56" s="3"/>
      <c r="AF56" s="3"/>
      <c r="AJ56" s="3"/>
    </row>
    <row r="57" spans="1:36">
      <c r="A57" s="3"/>
      <c r="B57" s="3"/>
      <c r="C57" s="3"/>
      <c r="D57" s="3"/>
      <c r="E57" s="3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T57" s="3"/>
      <c r="U57" s="3"/>
      <c r="Z57" s="3"/>
      <c r="AF57" s="3"/>
      <c r="AJ57" s="3"/>
    </row>
    <row r="58" spans="1:36">
      <c r="A58" s="3"/>
      <c r="B58" s="3"/>
      <c r="C58" s="3"/>
      <c r="D58" s="3"/>
      <c r="E58" s="3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T58" s="3"/>
      <c r="U58" s="3"/>
      <c r="Z58" s="3"/>
      <c r="AF58" s="3"/>
      <c r="AJ58" s="3"/>
    </row>
    <row r="59" spans="1:36">
      <c r="A59" s="3"/>
      <c r="B59" s="3"/>
      <c r="C59" s="3"/>
      <c r="D59" s="3"/>
      <c r="E59" s="3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T59" s="3"/>
      <c r="U59" s="3"/>
      <c r="Z59" s="3"/>
      <c r="AF59" s="3"/>
      <c r="AJ59" s="3"/>
    </row>
    <row r="60" spans="1:36">
      <c r="A60" s="3"/>
      <c r="B60" s="3"/>
      <c r="C60" s="3"/>
      <c r="D60" s="3"/>
      <c r="E60" s="3"/>
      <c r="F60" s="4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T60" s="3"/>
      <c r="U60" s="3"/>
      <c r="Z60" s="3"/>
      <c r="AF60" s="3"/>
      <c r="AJ60" s="3"/>
    </row>
    <row r="61" spans="1:36">
      <c r="A61" s="3"/>
      <c r="B61" s="3"/>
      <c r="C61" s="3"/>
      <c r="D61" s="3"/>
      <c r="E61" s="3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T61" s="3"/>
      <c r="U61" s="3"/>
      <c r="Z61" s="3"/>
      <c r="AF61" s="3"/>
      <c r="AJ61" s="3"/>
    </row>
    <row r="62" spans="1:36">
      <c r="A62" s="3"/>
      <c r="B62" s="3"/>
      <c r="C62" s="3"/>
      <c r="D62" s="3"/>
      <c r="E62" s="3"/>
      <c r="F62" s="4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T62" s="3"/>
      <c r="U62" s="3"/>
      <c r="Z62" s="3"/>
      <c r="AF62" s="3"/>
      <c r="AJ62" s="3"/>
    </row>
    <row r="63" spans="1:36">
      <c r="A63" s="3"/>
      <c r="B63" s="3"/>
      <c r="C63" s="3"/>
      <c r="D63" s="3"/>
      <c r="E63" s="3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T63" s="3"/>
      <c r="U63" s="3"/>
      <c r="Z63" s="3"/>
      <c r="AF63" s="3"/>
      <c r="AJ63" s="3"/>
    </row>
    <row r="64" spans="1:36">
      <c r="A64" s="3"/>
      <c r="B64" s="3"/>
      <c r="C64" s="3"/>
      <c r="D64" s="3"/>
      <c r="E64" s="3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T64" s="3"/>
      <c r="U64" s="3"/>
      <c r="Z64" s="3"/>
      <c r="AF64" s="3"/>
      <c r="AJ64" s="3"/>
    </row>
    <row r="65" spans="1:36">
      <c r="A65" s="3"/>
      <c r="B65" s="3"/>
      <c r="C65" s="3"/>
      <c r="D65" s="3"/>
      <c r="E65" s="3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T65" s="3"/>
      <c r="U65" s="3"/>
      <c r="Z65" s="3"/>
      <c r="AF65" s="3"/>
      <c r="AJ65" s="3"/>
    </row>
    <row r="66" spans="1:36">
      <c r="A66" s="3"/>
      <c r="B66" s="3"/>
      <c r="C66" s="3"/>
      <c r="D66" s="3"/>
      <c r="E66" s="3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T66" s="3"/>
      <c r="U66" s="3"/>
      <c r="Z66" s="3"/>
      <c r="AF66" s="3"/>
      <c r="AJ66" s="3"/>
    </row>
    <row r="67" spans="1:36">
      <c r="A67" s="3"/>
      <c r="B67" s="3"/>
      <c r="C67" s="3"/>
      <c r="D67" s="3"/>
      <c r="E67" s="3"/>
      <c r="F67" s="4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T67" s="3"/>
      <c r="U67" s="3"/>
      <c r="Z67" s="3"/>
      <c r="AF67" s="3"/>
      <c r="AJ67" s="3"/>
    </row>
    <row r="68" spans="1:36">
      <c r="A68" s="3"/>
      <c r="B68" s="3"/>
      <c r="C68" s="3"/>
      <c r="D68" s="3"/>
      <c r="E68" s="3"/>
      <c r="F68" s="4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T68" s="3"/>
      <c r="U68" s="3"/>
      <c r="Z68" s="3"/>
      <c r="AF68" s="3"/>
      <c r="AJ68" s="3"/>
    </row>
    <row r="69" spans="1:36">
      <c r="A69" s="3"/>
      <c r="B69" s="3"/>
      <c r="C69" s="3"/>
      <c r="D69" s="3"/>
      <c r="E69" s="3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T69" s="3"/>
      <c r="U69" s="3"/>
      <c r="Z69" s="3"/>
      <c r="AF69" s="3"/>
      <c r="AJ69" s="3"/>
    </row>
    <row r="70" spans="1:36">
      <c r="A70" s="3"/>
      <c r="B70" s="3"/>
      <c r="C70" s="3"/>
      <c r="D70" s="3"/>
      <c r="E70" s="3"/>
      <c r="F70" s="4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T70" s="3"/>
      <c r="U70" s="3"/>
      <c r="Z70" s="3"/>
      <c r="AF70" s="3"/>
      <c r="AJ70" s="3"/>
    </row>
    <row r="71" spans="1:36">
      <c r="A71" s="3"/>
      <c r="B71" s="3"/>
      <c r="C71" s="3"/>
      <c r="D71" s="3"/>
      <c r="E71" s="3"/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T71" s="3"/>
      <c r="U71" s="3"/>
      <c r="Z71" s="3"/>
      <c r="AF71" s="3"/>
      <c r="AJ71" s="3"/>
    </row>
    <row r="72" spans="1:36">
      <c r="A72" s="3"/>
      <c r="B72" s="3"/>
      <c r="C72" s="3"/>
      <c r="D72" s="3"/>
      <c r="E72" s="3"/>
      <c r="F72" s="4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T72" s="3"/>
      <c r="U72" s="3"/>
      <c r="Z72" s="3"/>
      <c r="AF72" s="3"/>
      <c r="AJ72" s="3"/>
    </row>
    <row r="73" spans="1:36">
      <c r="A73" s="3"/>
      <c r="B73" s="3"/>
      <c r="C73" s="3"/>
      <c r="D73" s="3"/>
      <c r="E73" s="3"/>
      <c r="F73" s="4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T73" s="3"/>
      <c r="U73" s="3"/>
      <c r="Z73" s="3"/>
      <c r="AF73" s="3"/>
      <c r="AJ73" s="3"/>
    </row>
    <row r="74" spans="1:36">
      <c r="A74" s="3"/>
      <c r="B74" s="3"/>
      <c r="C74" s="3"/>
      <c r="D74" s="3"/>
      <c r="E74" s="3"/>
      <c r="F74" s="4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T74" s="3"/>
      <c r="U74" s="3"/>
      <c r="Z74" s="3"/>
      <c r="AF74" s="3"/>
      <c r="AJ74" s="3"/>
    </row>
    <row r="75" spans="1:36">
      <c r="A75" s="3"/>
      <c r="B75" s="3"/>
      <c r="C75" s="3"/>
      <c r="D75" s="3"/>
      <c r="E75" s="3"/>
      <c r="F75" s="4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T75" s="3"/>
      <c r="U75" s="3"/>
      <c r="Z75" s="3"/>
      <c r="AF75" s="3"/>
      <c r="AJ75" s="3"/>
    </row>
    <row r="76" spans="1:36">
      <c r="A76" s="3"/>
      <c r="B76" s="3"/>
      <c r="C76" s="3"/>
      <c r="D76" s="3"/>
      <c r="E76" s="3"/>
      <c r="F76" s="4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T76" s="3"/>
      <c r="U76" s="3"/>
      <c r="Z76" s="3"/>
      <c r="AF76" s="3"/>
      <c r="AJ76" s="3"/>
    </row>
    <row r="77" spans="1:36">
      <c r="A77" s="3"/>
      <c r="B77" s="3"/>
      <c r="C77" s="3"/>
      <c r="D77" s="3"/>
      <c r="E77" s="3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T77" s="3"/>
      <c r="U77" s="3"/>
      <c r="Z77" s="3"/>
      <c r="AF77" s="3"/>
      <c r="AJ77" s="3"/>
    </row>
    <row r="78" spans="1:36">
      <c r="A78" s="3"/>
      <c r="B78" s="3"/>
      <c r="C78" s="3"/>
      <c r="D78" s="3"/>
      <c r="E78" s="3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T78" s="3"/>
      <c r="U78" s="3"/>
      <c r="Z78" s="3"/>
      <c r="AF78" s="3"/>
      <c r="AJ78" s="3"/>
    </row>
    <row r="79" spans="1:36">
      <c r="A79" s="3"/>
      <c r="B79" s="3"/>
      <c r="C79" s="3"/>
      <c r="D79" s="3"/>
      <c r="E79" s="3"/>
      <c r="F79" s="4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T79" s="3"/>
      <c r="U79" s="3"/>
      <c r="Z79" s="3"/>
      <c r="AF79" s="3"/>
      <c r="AJ79" s="3"/>
    </row>
    <row r="80" spans="1:36">
      <c r="A80" s="3"/>
      <c r="B80" s="3"/>
      <c r="C80" s="3"/>
      <c r="D80" s="3"/>
      <c r="E80" s="3"/>
      <c r="F80" s="4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T80" s="3"/>
      <c r="U80" s="3"/>
      <c r="Z80" s="3"/>
      <c r="AF80" s="3"/>
      <c r="AJ80" s="3"/>
    </row>
    <row r="81" spans="1:36">
      <c r="A81" s="3"/>
      <c r="B81" s="3"/>
      <c r="C81" s="3"/>
      <c r="D81" s="3"/>
      <c r="E81" s="3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T81" s="3"/>
      <c r="U81" s="3"/>
      <c r="Z81" s="3"/>
      <c r="AF81" s="3"/>
      <c r="AJ81" s="3"/>
    </row>
    <row r="82" spans="1:36">
      <c r="A82" s="3"/>
      <c r="B82" s="3"/>
      <c r="C82" s="3"/>
      <c r="D82" s="3"/>
      <c r="E82" s="3"/>
      <c r="F82" s="4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T82" s="3"/>
      <c r="U82" s="3"/>
      <c r="Z82" s="3"/>
      <c r="AF82" s="3"/>
      <c r="AJ82" s="3"/>
    </row>
    <row r="83" spans="1:36">
      <c r="A83" s="3"/>
      <c r="B83" s="3"/>
      <c r="C83" s="3"/>
      <c r="D83" s="3"/>
      <c r="E83" s="3"/>
      <c r="F83" s="4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T83" s="3"/>
      <c r="U83" s="3"/>
      <c r="Z83" s="3"/>
      <c r="AF83" s="3"/>
      <c r="AJ83" s="3"/>
    </row>
    <row r="84" spans="1:36">
      <c r="A84" s="3"/>
      <c r="B84" s="3"/>
      <c r="C84" s="3"/>
      <c r="D84" s="3"/>
      <c r="E84" s="3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T84" s="3"/>
      <c r="U84" s="3"/>
      <c r="Z84" s="3"/>
      <c r="AF84" s="3"/>
      <c r="AJ84" s="3"/>
    </row>
    <row r="85" spans="1:36">
      <c r="A85" s="3"/>
      <c r="B85" s="3"/>
      <c r="C85" s="3"/>
      <c r="D85" s="3"/>
      <c r="E85" s="3"/>
      <c r="F85" s="4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T85" s="3"/>
      <c r="U85" s="3"/>
      <c r="Z85" s="3"/>
      <c r="AF85" s="3"/>
      <c r="AJ85" s="3"/>
    </row>
    <row r="86" spans="1:36">
      <c r="A86" s="3"/>
      <c r="B86" s="3"/>
      <c r="C86" s="3"/>
      <c r="D86" s="3"/>
      <c r="E86" s="3"/>
      <c r="F86" s="4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T86" s="3"/>
      <c r="U86" s="3"/>
      <c r="Z86" s="3"/>
      <c r="AF86" s="3"/>
      <c r="AJ86" s="3"/>
    </row>
    <row r="87" spans="1:36">
      <c r="A87" s="3"/>
      <c r="B87" s="3"/>
      <c r="C87" s="3"/>
      <c r="D87" s="3"/>
      <c r="E87" s="3"/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T87" s="3"/>
      <c r="U87" s="3"/>
      <c r="Z87" s="3"/>
      <c r="AF87" s="3"/>
      <c r="AJ87" s="3"/>
    </row>
    <row r="88" spans="1:36">
      <c r="A88" s="3"/>
      <c r="B88" s="3"/>
      <c r="C88" s="3"/>
      <c r="D88" s="3"/>
      <c r="E88" s="3"/>
      <c r="F88" s="4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T88" s="3"/>
      <c r="U88" s="3"/>
      <c r="Z88" s="3"/>
      <c r="AF88" s="3"/>
      <c r="AJ88" s="3"/>
    </row>
    <row r="89" spans="1:36">
      <c r="A89" s="3"/>
      <c r="B89" s="3"/>
      <c r="C89" s="3"/>
      <c r="D89" s="3"/>
      <c r="E89" s="3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T89" s="3"/>
      <c r="U89" s="3"/>
      <c r="Z89" s="3"/>
      <c r="AF89" s="3"/>
      <c r="AJ89" s="3"/>
    </row>
    <row r="90" spans="1:36">
      <c r="A90" s="3"/>
      <c r="B90" s="3"/>
      <c r="C90" s="3"/>
      <c r="D90" s="3"/>
      <c r="E90" s="3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T90" s="3"/>
      <c r="U90" s="3"/>
      <c r="Z90" s="3"/>
      <c r="AF90" s="3"/>
      <c r="AJ90" s="3"/>
    </row>
    <row r="91" spans="1:36">
      <c r="A91" s="3"/>
      <c r="B91" s="3"/>
      <c r="C91" s="3"/>
      <c r="D91" s="3"/>
      <c r="E91" s="3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T91" s="3"/>
      <c r="U91" s="3"/>
      <c r="Z91" s="3"/>
      <c r="AF91" s="3"/>
      <c r="AJ91" s="3"/>
    </row>
    <row r="92" spans="1:36">
      <c r="A92" s="3"/>
      <c r="B92" s="3"/>
      <c r="C92" s="3"/>
      <c r="D92" s="3"/>
      <c r="E92" s="3"/>
      <c r="F92" s="4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T92" s="3"/>
      <c r="U92" s="3"/>
      <c r="Z92" s="3"/>
      <c r="AF92" s="3"/>
      <c r="AJ92" s="3"/>
    </row>
    <row r="93" spans="1:36">
      <c r="A93" s="3"/>
      <c r="B93" s="3"/>
      <c r="C93" s="3"/>
      <c r="D93" s="3"/>
      <c r="E93" s="3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T93" s="3"/>
      <c r="U93" s="3"/>
      <c r="Z93" s="3"/>
      <c r="AF93" s="3"/>
      <c r="AJ93" s="3"/>
    </row>
    <row r="94" spans="1:36">
      <c r="A94" s="3"/>
      <c r="B94" s="3"/>
      <c r="C94" s="3"/>
      <c r="D94" s="3"/>
      <c r="E94" s="3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T94" s="3"/>
      <c r="U94" s="3"/>
      <c r="Z94" s="3"/>
      <c r="AF94" s="3"/>
      <c r="AJ94" s="3"/>
    </row>
    <row r="95" spans="1:36">
      <c r="A95" s="3"/>
      <c r="B95" s="3"/>
      <c r="C95" s="3"/>
      <c r="D95" s="3"/>
      <c r="E95" s="3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T95" s="3"/>
      <c r="U95" s="3"/>
      <c r="Z95" s="3"/>
      <c r="AF95" s="3"/>
      <c r="AJ95" s="3"/>
    </row>
    <row r="96" spans="1:36">
      <c r="A96" s="3"/>
      <c r="B96" s="3"/>
      <c r="C96" s="3"/>
      <c r="D96" s="3"/>
      <c r="E96" s="3"/>
      <c r="F96" s="4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T96" s="3"/>
      <c r="U96" s="3"/>
      <c r="Z96" s="3"/>
      <c r="AF96" s="3"/>
      <c r="AJ96" s="3"/>
    </row>
    <row r="97" spans="1:36">
      <c r="A97" s="3"/>
      <c r="B97" s="3"/>
      <c r="C97" s="3"/>
      <c r="D97" s="3"/>
      <c r="E97" s="3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T97" s="3"/>
      <c r="U97" s="3"/>
      <c r="Z97" s="3"/>
      <c r="AF97" s="3"/>
      <c r="AJ97" s="3"/>
    </row>
    <row r="98" spans="1:36">
      <c r="A98" s="3"/>
      <c r="B98" s="3"/>
      <c r="C98" s="3"/>
      <c r="D98" s="3"/>
      <c r="E98" s="3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T98" s="3"/>
      <c r="U98" s="3"/>
      <c r="Z98" s="3"/>
      <c r="AF98" s="3"/>
      <c r="AJ98" s="3"/>
    </row>
    <row r="99" spans="1:36">
      <c r="A99" s="3"/>
      <c r="B99" s="3"/>
      <c r="C99" s="3"/>
      <c r="D99" s="3"/>
      <c r="E99" s="3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T99" s="3"/>
      <c r="U99" s="3"/>
      <c r="Z99" s="3"/>
      <c r="AF99" s="3"/>
      <c r="AJ99" s="3"/>
    </row>
    <row r="100" spans="1:36">
      <c r="A100" s="3"/>
      <c r="B100" s="3"/>
      <c r="C100" s="3"/>
      <c r="D100" s="3"/>
      <c r="E100" s="3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T100" s="3"/>
      <c r="U100" s="3"/>
      <c r="Z100" s="3"/>
      <c r="AF100" s="3"/>
      <c r="AJ100" s="3"/>
    </row>
    <row r="101" spans="1:36">
      <c r="A101" s="3"/>
      <c r="B101" s="3"/>
      <c r="C101" s="3"/>
      <c r="D101" s="3"/>
      <c r="E101" s="3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T101" s="3"/>
      <c r="U101" s="3"/>
      <c r="Z101" s="3"/>
      <c r="AF101" s="3"/>
      <c r="AJ101" s="3"/>
    </row>
    <row r="102" spans="1:36">
      <c r="A102" s="3"/>
      <c r="B102" s="3"/>
      <c r="C102" s="3"/>
      <c r="D102" s="3"/>
      <c r="E102" s="3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T102" s="3"/>
      <c r="U102" s="3"/>
      <c r="Z102" s="3"/>
      <c r="AF102" s="3"/>
      <c r="AJ102" s="3"/>
    </row>
    <row r="103" spans="1:36">
      <c r="A103" s="3"/>
      <c r="B103" s="3"/>
      <c r="C103" s="3"/>
      <c r="D103" s="3"/>
      <c r="E103" s="3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T103" s="3"/>
      <c r="U103" s="3"/>
      <c r="Z103" s="3"/>
      <c r="AF103" s="3"/>
      <c r="AJ103" s="3"/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0"/>
  <sheetViews>
    <sheetView workbookViewId="0">
      <selection activeCell="R18" sqref="R18"/>
    </sheetView>
  </sheetViews>
  <sheetFormatPr defaultRowHeight="14.25"/>
  <cols>
    <col min="6" max="6" width="15.75" customWidth="1"/>
    <col min="7" max="7" width="14.625" customWidth="1"/>
    <col min="19" max="19" width="13.25" customWidth="1"/>
    <col min="35" max="35" width="14.75" customWidth="1"/>
  </cols>
  <sheetData>
    <row r="1" spans="1:3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122</v>
      </c>
      <c r="H1" t="s">
        <v>6</v>
      </c>
      <c r="I1" t="s">
        <v>32</v>
      </c>
      <c r="J1" t="s">
        <v>55</v>
      </c>
      <c r="K1" t="s">
        <v>34</v>
      </c>
      <c r="L1" t="s">
        <v>155</v>
      </c>
      <c r="M1" t="s">
        <v>54</v>
      </c>
      <c r="N1" t="s">
        <v>91</v>
      </c>
      <c r="O1" t="s">
        <v>40</v>
      </c>
      <c r="P1" t="s">
        <v>35</v>
      </c>
      <c r="Q1" t="s">
        <v>39</v>
      </c>
      <c r="R1" t="s">
        <v>37</v>
      </c>
      <c r="S1" t="s">
        <v>33</v>
      </c>
      <c r="T1" t="s">
        <v>42</v>
      </c>
      <c r="U1" t="s">
        <v>48</v>
      </c>
      <c r="V1" t="s">
        <v>38</v>
      </c>
      <c r="W1" t="s">
        <v>44</v>
      </c>
      <c r="X1" t="s">
        <v>43</v>
      </c>
      <c r="Y1" t="s">
        <v>45</v>
      </c>
      <c r="Z1" t="s">
        <v>116</v>
      </c>
      <c r="AA1" t="s">
        <v>49</v>
      </c>
      <c r="AB1" t="s">
        <v>51</v>
      </c>
      <c r="AC1" t="s">
        <v>52</v>
      </c>
      <c r="AD1" t="s">
        <v>51</v>
      </c>
      <c r="AE1" t="s">
        <v>52</v>
      </c>
      <c r="AF1" t="s">
        <v>56</v>
      </c>
      <c r="AG1" t="s">
        <v>53</v>
      </c>
      <c r="AH1" t="s">
        <v>58</v>
      </c>
      <c r="AI1" t="s">
        <v>231</v>
      </c>
      <c r="AJ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10</v>
      </c>
      <c r="H2" t="s">
        <v>1</v>
      </c>
      <c r="I2" t="s">
        <v>10</v>
      </c>
      <c r="J2" t="s">
        <v>39</v>
      </c>
      <c r="K2" t="s">
        <v>13</v>
      </c>
      <c r="L2" t="s">
        <v>155</v>
      </c>
      <c r="M2" t="s">
        <v>36</v>
      </c>
      <c r="N2" t="s">
        <v>36</v>
      </c>
      <c r="O2" t="s">
        <v>41</v>
      </c>
      <c r="P2" t="s">
        <v>36</v>
      </c>
      <c r="Q2" t="s">
        <v>39</v>
      </c>
      <c r="R2" t="s">
        <v>36</v>
      </c>
      <c r="S2" t="s">
        <v>10</v>
      </c>
      <c r="T2" t="s">
        <v>36</v>
      </c>
      <c r="U2" t="s">
        <v>47</v>
      </c>
      <c r="V2" t="s">
        <v>36</v>
      </c>
      <c r="W2" t="s">
        <v>39</v>
      </c>
      <c r="X2" t="s">
        <v>41</v>
      </c>
      <c r="Y2" t="s">
        <v>46</v>
      </c>
      <c r="Z2" t="s">
        <v>117</v>
      </c>
      <c r="AA2" t="s">
        <v>50</v>
      </c>
      <c r="AB2" t="s">
        <v>10</v>
      </c>
      <c r="AC2" t="s">
        <v>13</v>
      </c>
      <c r="AD2" t="s">
        <v>10</v>
      </c>
      <c r="AE2" t="s">
        <v>13</v>
      </c>
      <c r="AF2" t="s">
        <v>57</v>
      </c>
      <c r="AG2" t="s">
        <v>14</v>
      </c>
      <c r="AH2" t="s">
        <v>57</v>
      </c>
      <c r="AI2" t="s">
        <v>57</v>
      </c>
      <c r="AJ2" t="s">
        <v>10</v>
      </c>
    </row>
    <row r="3" spans="1:36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226</v>
      </c>
      <c r="H3" s="2" t="s">
        <v>22</v>
      </c>
      <c r="I3" s="3" t="s">
        <v>65</v>
      </c>
      <c r="J3" s="3" t="s">
        <v>69</v>
      </c>
      <c r="K3" s="3" t="s">
        <v>70</v>
      </c>
      <c r="L3" s="3" t="s">
        <v>229</v>
      </c>
      <c r="M3" s="3" t="s">
        <v>71</v>
      </c>
      <c r="N3" s="3" t="s">
        <v>92</v>
      </c>
      <c r="O3" s="3" t="s">
        <v>72</v>
      </c>
      <c r="P3" s="3" t="s">
        <v>73</v>
      </c>
      <c r="Q3" s="3" t="s">
        <v>74</v>
      </c>
      <c r="R3" s="3" t="s">
        <v>75</v>
      </c>
      <c r="S3" s="3" t="s">
        <v>76</v>
      </c>
      <c r="T3" s="3" t="s">
        <v>77</v>
      </c>
      <c r="U3" s="3" t="s">
        <v>78</v>
      </c>
      <c r="V3" s="3" t="s">
        <v>79</v>
      </c>
      <c r="W3" s="3" t="s">
        <v>80</v>
      </c>
      <c r="X3" s="3" t="s">
        <v>81</v>
      </c>
      <c r="Y3" s="3" t="s">
        <v>82</v>
      </c>
      <c r="Z3">
        <v>432</v>
      </c>
      <c r="AA3" s="3" t="s">
        <v>83</v>
      </c>
      <c r="AB3" s="3" t="s">
        <v>115</v>
      </c>
      <c r="AC3" s="3" t="s">
        <v>114</v>
      </c>
      <c r="AD3" s="3" t="s">
        <v>227</v>
      </c>
      <c r="AE3" s="3" t="s">
        <v>228</v>
      </c>
      <c r="AF3" s="3" t="s">
        <v>84</v>
      </c>
      <c r="AG3" s="3" t="s">
        <v>85</v>
      </c>
      <c r="AH3" s="3" t="s">
        <v>86</v>
      </c>
      <c r="AI3" s="3" t="s">
        <v>230</v>
      </c>
      <c r="AJ3" s="2" t="s">
        <v>25</v>
      </c>
    </row>
    <row r="4" spans="1:36">
      <c r="A4" s="3" t="s">
        <v>26</v>
      </c>
      <c r="B4" s="3" t="s">
        <v>27</v>
      </c>
      <c r="C4" s="3" t="s">
        <v>87</v>
      </c>
      <c r="D4" s="3"/>
      <c r="E4" s="3" t="s">
        <v>31</v>
      </c>
      <c r="F4" s="4">
        <f t="shared" ref="F4:F10" ca="1" si="0">NOW()</f>
        <v>43894.587103819445</v>
      </c>
      <c r="G4" s="4"/>
      <c r="H4" s="3" t="s">
        <v>28</v>
      </c>
      <c r="I4" s="3" t="s">
        <v>31</v>
      </c>
      <c r="J4" s="3" t="s">
        <v>62</v>
      </c>
      <c r="K4" s="3" t="s">
        <v>89</v>
      </c>
      <c r="L4" s="3"/>
      <c r="M4" s="3" t="s">
        <v>62</v>
      </c>
      <c r="N4" s="3" t="s">
        <v>93</v>
      </c>
      <c r="O4" s="3" t="s">
        <v>514</v>
      </c>
      <c r="P4" s="3" t="s">
        <v>64</v>
      </c>
      <c r="Q4" s="3" t="s">
        <v>321</v>
      </c>
      <c r="R4" s="3" t="s">
        <v>65</v>
      </c>
      <c r="S4" t="s">
        <v>519</v>
      </c>
      <c r="T4" s="3" t="s">
        <v>62</v>
      </c>
      <c r="U4" s="3" t="s">
        <v>94</v>
      </c>
      <c r="V4" t="s">
        <v>465</v>
      </c>
      <c r="W4">
        <v>0</v>
      </c>
      <c r="X4">
        <v>0</v>
      </c>
      <c r="Y4" t="s">
        <v>518</v>
      </c>
      <c r="AF4" s="3" t="s">
        <v>63</v>
      </c>
      <c r="AG4" t="s">
        <v>323</v>
      </c>
      <c r="AJ4" s="3" t="s">
        <v>30</v>
      </c>
    </row>
    <row r="5" spans="1:36">
      <c r="A5" s="3" t="s">
        <v>26</v>
      </c>
      <c r="B5" s="3" t="s">
        <v>27</v>
      </c>
      <c r="C5" s="3" t="s">
        <v>88</v>
      </c>
      <c r="D5" s="3"/>
      <c r="E5" s="3" t="s">
        <v>31</v>
      </c>
      <c r="F5" s="4">
        <f t="shared" ca="1" si="0"/>
        <v>43894.587103819445</v>
      </c>
      <c r="G5" s="4"/>
      <c r="H5" s="3" t="s">
        <v>28</v>
      </c>
      <c r="I5" s="3" t="s">
        <v>31</v>
      </c>
      <c r="J5" s="3" t="s">
        <v>62</v>
      </c>
      <c r="K5" s="3" t="s">
        <v>90</v>
      </c>
      <c r="L5" s="3"/>
      <c r="M5" s="3" t="s">
        <v>62</v>
      </c>
      <c r="N5" s="3" t="s">
        <v>93</v>
      </c>
      <c r="O5" s="3" t="s">
        <v>59</v>
      </c>
      <c r="P5" s="3" t="s">
        <v>64</v>
      </c>
      <c r="Q5" s="3" t="s">
        <v>471</v>
      </c>
      <c r="R5" s="3" t="s">
        <v>59</v>
      </c>
      <c r="S5" t="s">
        <v>519</v>
      </c>
      <c r="T5" s="3" t="s">
        <v>62</v>
      </c>
      <c r="U5" s="3" t="s">
        <v>94</v>
      </c>
      <c r="V5" t="s">
        <v>60</v>
      </c>
      <c r="W5">
        <v>0</v>
      </c>
      <c r="X5">
        <v>0</v>
      </c>
      <c r="Y5" t="s">
        <v>518</v>
      </c>
      <c r="AF5" s="3" t="s">
        <v>59</v>
      </c>
      <c r="AG5" t="s">
        <v>323</v>
      </c>
      <c r="AJ5" s="3" t="s">
        <v>30</v>
      </c>
    </row>
    <row r="6" spans="1:36">
      <c r="A6" s="3" t="s">
        <v>26</v>
      </c>
      <c r="B6" s="3" t="s">
        <v>27</v>
      </c>
      <c r="C6" s="3" t="s">
        <v>87</v>
      </c>
      <c r="D6" s="3"/>
      <c r="E6" s="3" t="s">
        <v>472</v>
      </c>
      <c r="F6" s="4">
        <f t="shared" ca="1" si="0"/>
        <v>43894.587103819445</v>
      </c>
      <c r="G6" s="4"/>
      <c r="H6" s="3" t="s">
        <v>28</v>
      </c>
      <c r="I6" s="3" t="s">
        <v>31</v>
      </c>
      <c r="J6" s="3" t="s">
        <v>62</v>
      </c>
      <c r="K6" s="3" t="s">
        <v>488</v>
      </c>
      <c r="L6" s="3"/>
      <c r="M6" s="3" t="s">
        <v>62</v>
      </c>
      <c r="N6" s="3" t="s">
        <v>93</v>
      </c>
      <c r="O6" s="3" t="s">
        <v>29</v>
      </c>
      <c r="P6" s="3" t="s">
        <v>64</v>
      </c>
      <c r="Q6" s="3" t="s">
        <v>473</v>
      </c>
      <c r="R6" s="3" t="s">
        <v>474</v>
      </c>
      <c r="S6" t="s">
        <v>519</v>
      </c>
      <c r="T6" s="3" t="s">
        <v>475</v>
      </c>
      <c r="U6" s="3" t="s">
        <v>476</v>
      </c>
      <c r="V6" t="s">
        <v>477</v>
      </c>
      <c r="W6">
        <v>0</v>
      </c>
      <c r="X6">
        <v>0</v>
      </c>
      <c r="Y6" t="s">
        <v>518</v>
      </c>
      <c r="AF6" s="3" t="s">
        <v>474</v>
      </c>
      <c r="AG6" t="s">
        <v>478</v>
      </c>
      <c r="AJ6" s="3" t="s">
        <v>479</v>
      </c>
    </row>
    <row r="7" spans="1:36">
      <c r="A7" s="3" t="s">
        <v>480</v>
      </c>
      <c r="B7" s="3" t="s">
        <v>481</v>
      </c>
      <c r="C7" s="3" t="s">
        <v>482</v>
      </c>
      <c r="D7" s="3"/>
      <c r="E7" s="3" t="s">
        <v>483</v>
      </c>
      <c r="F7" s="4">
        <f t="shared" ca="1" si="0"/>
        <v>43894.587103819445</v>
      </c>
      <c r="G7" s="4"/>
      <c r="H7" s="3" t="s">
        <v>484</v>
      </c>
      <c r="I7" s="3" t="s">
        <v>483</v>
      </c>
      <c r="J7" s="3" t="s">
        <v>476</v>
      </c>
      <c r="K7" s="3" t="s">
        <v>456</v>
      </c>
      <c r="L7" s="3"/>
      <c r="M7" s="3" t="s">
        <v>476</v>
      </c>
      <c r="N7" s="3" t="s">
        <v>475</v>
      </c>
      <c r="O7" s="3" t="s">
        <v>474</v>
      </c>
      <c r="P7" s="3" t="s">
        <v>485</v>
      </c>
      <c r="Q7" s="3" t="s">
        <v>473</v>
      </c>
      <c r="R7" s="3" t="s">
        <v>513</v>
      </c>
      <c r="S7" t="s">
        <v>519</v>
      </c>
      <c r="T7" s="3" t="s">
        <v>486</v>
      </c>
      <c r="U7" s="3" t="s">
        <v>476</v>
      </c>
      <c r="V7" t="s">
        <v>97</v>
      </c>
      <c r="W7">
        <v>0</v>
      </c>
      <c r="X7">
        <v>0</v>
      </c>
      <c r="Y7" t="s">
        <v>518</v>
      </c>
      <c r="AF7" s="3" t="s">
        <v>474</v>
      </c>
      <c r="AG7" t="s">
        <v>478</v>
      </c>
      <c r="AJ7" s="3" t="s">
        <v>487</v>
      </c>
    </row>
    <row r="8" spans="1:36">
      <c r="A8" s="3" t="s">
        <v>26</v>
      </c>
      <c r="B8" s="3" t="s">
        <v>27</v>
      </c>
      <c r="C8" s="3" t="s">
        <v>87</v>
      </c>
      <c r="D8" s="3"/>
      <c r="E8" s="3" t="s">
        <v>31</v>
      </c>
      <c r="F8" s="4">
        <f t="shared" ca="1" si="0"/>
        <v>43894.587103819445</v>
      </c>
      <c r="G8" s="4"/>
      <c r="H8" s="3" t="s">
        <v>28</v>
      </c>
      <c r="I8" s="3" t="s">
        <v>31</v>
      </c>
      <c r="J8" s="3" t="s">
        <v>62</v>
      </c>
      <c r="K8" s="3" t="s">
        <v>464</v>
      </c>
      <c r="L8" s="3"/>
      <c r="M8" s="3" t="s">
        <v>62</v>
      </c>
      <c r="N8" s="3" t="s">
        <v>93</v>
      </c>
      <c r="O8" s="3" t="s">
        <v>500</v>
      </c>
      <c r="P8" s="3" t="s">
        <v>64</v>
      </c>
      <c r="Q8" s="3" t="s">
        <v>321</v>
      </c>
      <c r="R8" s="3" t="s">
        <v>65</v>
      </c>
      <c r="S8" t="s">
        <v>519</v>
      </c>
      <c r="T8" s="3" t="s">
        <v>62</v>
      </c>
      <c r="U8" s="3" t="s">
        <v>94</v>
      </c>
      <c r="V8" t="s">
        <v>60</v>
      </c>
      <c r="W8">
        <v>0</v>
      </c>
      <c r="X8">
        <v>0</v>
      </c>
      <c r="Y8" t="s">
        <v>518</v>
      </c>
      <c r="AF8" s="3" t="s">
        <v>63</v>
      </c>
      <c r="AG8" t="s">
        <v>149</v>
      </c>
      <c r="AJ8" s="3" t="s">
        <v>30</v>
      </c>
    </row>
    <row r="9" spans="1:36">
      <c r="A9" s="3" t="s">
        <v>26</v>
      </c>
      <c r="B9" s="3" t="s">
        <v>27</v>
      </c>
      <c r="C9" s="3" t="s">
        <v>87</v>
      </c>
      <c r="D9" s="3"/>
      <c r="E9" s="3" t="s">
        <v>31</v>
      </c>
      <c r="F9" s="4">
        <f t="shared" ca="1" si="0"/>
        <v>43894.587103819445</v>
      </c>
      <c r="G9" s="4"/>
      <c r="H9" s="3" t="s">
        <v>28</v>
      </c>
      <c r="I9" s="3" t="s">
        <v>31</v>
      </c>
      <c r="J9" s="3" t="s">
        <v>62</v>
      </c>
      <c r="K9" s="3" t="s">
        <v>501</v>
      </c>
      <c r="L9" s="3"/>
      <c r="M9" s="3" t="s">
        <v>62</v>
      </c>
      <c r="N9" s="3" t="s">
        <v>93</v>
      </c>
      <c r="O9" s="3" t="s">
        <v>502</v>
      </c>
      <c r="P9" s="3" t="s">
        <v>64</v>
      </c>
      <c r="Q9" s="3" t="s">
        <v>509</v>
      </c>
      <c r="R9" s="3" t="s">
        <v>500</v>
      </c>
      <c r="S9" t="s">
        <v>521</v>
      </c>
      <c r="T9" s="3" t="s">
        <v>62</v>
      </c>
      <c r="U9" s="3" t="s">
        <v>62</v>
      </c>
      <c r="W9">
        <v>0</v>
      </c>
      <c r="X9">
        <v>0</v>
      </c>
      <c r="Y9" t="s">
        <v>518</v>
      </c>
      <c r="AF9" s="3" t="s">
        <v>29</v>
      </c>
      <c r="AG9" t="s">
        <v>149</v>
      </c>
      <c r="AJ9" s="3" t="s">
        <v>30</v>
      </c>
    </row>
    <row r="10" spans="1:36">
      <c r="A10" s="3" t="s">
        <v>26</v>
      </c>
      <c r="B10" s="3" t="s">
        <v>27</v>
      </c>
      <c r="C10" s="3" t="s">
        <v>87</v>
      </c>
      <c r="D10" s="3"/>
      <c r="E10" s="3" t="s">
        <v>31</v>
      </c>
      <c r="F10" s="4">
        <f t="shared" ca="1" si="0"/>
        <v>43894.587103819445</v>
      </c>
      <c r="G10" s="4"/>
      <c r="H10" s="3" t="s">
        <v>28</v>
      </c>
      <c r="I10" s="3" t="s">
        <v>31</v>
      </c>
      <c r="J10" s="3" t="s">
        <v>62</v>
      </c>
      <c r="K10" s="3" t="s">
        <v>511</v>
      </c>
      <c r="L10" s="3"/>
      <c r="M10" s="3" t="s">
        <v>62</v>
      </c>
      <c r="N10" s="3" t="s">
        <v>93</v>
      </c>
      <c r="O10" s="3" t="s">
        <v>500</v>
      </c>
      <c r="P10" s="3" t="s">
        <v>64</v>
      </c>
      <c r="Q10" s="3" t="s">
        <v>321</v>
      </c>
      <c r="R10" s="3" t="s">
        <v>29</v>
      </c>
      <c r="S10" t="s">
        <v>519</v>
      </c>
      <c r="T10" s="3" t="s">
        <v>62</v>
      </c>
      <c r="U10" s="3" t="s">
        <v>62</v>
      </c>
      <c r="V10" t="s">
        <v>60</v>
      </c>
      <c r="W10">
        <v>0</v>
      </c>
      <c r="X10">
        <v>0</v>
      </c>
      <c r="Y10" t="s">
        <v>518</v>
      </c>
      <c r="AF10" s="3" t="s">
        <v>29</v>
      </c>
      <c r="AG10" t="s">
        <v>149</v>
      </c>
      <c r="AJ10" s="3" t="s">
        <v>30</v>
      </c>
    </row>
  </sheetData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selection activeCell="K27" sqref="K27"/>
    </sheetView>
  </sheetViews>
  <sheetFormatPr defaultRowHeight="14.25"/>
  <cols>
    <col min="6" max="6" width="16.125" customWidth="1"/>
    <col min="16" max="16" width="14.875" customWidth="1"/>
  </cols>
  <sheetData>
    <row r="1" spans="1:18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34</v>
      </c>
      <c r="J1" t="s">
        <v>96</v>
      </c>
      <c r="K1" t="s">
        <v>40</v>
      </c>
      <c r="L1" t="s">
        <v>95</v>
      </c>
      <c r="M1" t="s">
        <v>37</v>
      </c>
      <c r="N1" t="s">
        <v>33</v>
      </c>
      <c r="O1" t="s">
        <v>48</v>
      </c>
      <c r="P1" t="s">
        <v>45</v>
      </c>
      <c r="Q1" t="s">
        <v>15</v>
      </c>
      <c r="R1" t="s">
        <v>16</v>
      </c>
    </row>
    <row r="2" spans="1:18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10</v>
      </c>
      <c r="K2" t="s">
        <v>41</v>
      </c>
      <c r="L2" t="s">
        <v>10</v>
      </c>
      <c r="M2" t="s">
        <v>36</v>
      </c>
      <c r="N2" t="s">
        <v>10</v>
      </c>
      <c r="O2" t="s">
        <v>12</v>
      </c>
      <c r="P2" t="s">
        <v>46</v>
      </c>
      <c r="Q2" t="s">
        <v>13</v>
      </c>
      <c r="R2" t="s">
        <v>13</v>
      </c>
    </row>
    <row r="3" spans="1:18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100</v>
      </c>
      <c r="I3" s="3" t="s">
        <v>101</v>
      </c>
      <c r="J3" s="3" t="s">
        <v>102</v>
      </c>
      <c r="K3" s="3" t="s">
        <v>103</v>
      </c>
      <c r="L3" s="3" t="s">
        <v>104</v>
      </c>
      <c r="M3" s="3" t="s">
        <v>105</v>
      </c>
      <c r="N3" s="3" t="s">
        <v>106</v>
      </c>
      <c r="O3" s="3" t="s">
        <v>107</v>
      </c>
      <c r="P3" s="3" t="s">
        <v>108</v>
      </c>
      <c r="Q3" s="3" t="s">
        <v>109</v>
      </c>
      <c r="R3" s="3" t="s">
        <v>110</v>
      </c>
    </row>
    <row r="4" spans="1:18">
      <c r="A4" s="3" t="s">
        <v>26</v>
      </c>
      <c r="B4" s="3" t="s">
        <v>27</v>
      </c>
      <c r="C4" s="3" t="s">
        <v>97</v>
      </c>
      <c r="D4" s="3"/>
      <c r="E4" s="3" t="s">
        <v>31</v>
      </c>
      <c r="F4" s="4">
        <f ca="1">NOW()</f>
        <v>43894.587103819445</v>
      </c>
      <c r="G4" s="3" t="s">
        <v>28</v>
      </c>
      <c r="H4" s="3" t="s">
        <v>31</v>
      </c>
      <c r="I4" s="3" t="s">
        <v>319</v>
      </c>
      <c r="J4" s="3" t="s">
        <v>111</v>
      </c>
      <c r="K4" s="3" t="s">
        <v>98</v>
      </c>
      <c r="L4" s="3" t="s">
        <v>98</v>
      </c>
      <c r="M4" s="3" t="s">
        <v>98</v>
      </c>
      <c r="N4" t="s">
        <v>519</v>
      </c>
      <c r="P4" t="s">
        <v>518</v>
      </c>
      <c r="Q4" s="3" t="s">
        <v>99</v>
      </c>
      <c r="R4" s="3" t="s">
        <v>99</v>
      </c>
    </row>
    <row r="5" spans="1:18">
      <c r="A5" s="3" t="s">
        <v>26</v>
      </c>
      <c r="B5" s="3" t="s">
        <v>27</v>
      </c>
      <c r="C5" s="3" t="s">
        <v>97</v>
      </c>
      <c r="D5" s="3"/>
      <c r="E5" s="3" t="s">
        <v>31</v>
      </c>
      <c r="F5" s="4">
        <f ca="1">NOW()</f>
        <v>43894.587103819445</v>
      </c>
      <c r="G5" s="3" t="s">
        <v>28</v>
      </c>
      <c r="H5" s="3" t="s">
        <v>31</v>
      </c>
      <c r="I5" s="3" t="s">
        <v>320</v>
      </c>
      <c r="J5" s="3" t="s">
        <v>112</v>
      </c>
      <c r="K5" s="3" t="s">
        <v>98</v>
      </c>
      <c r="L5" s="3" t="s">
        <v>224</v>
      </c>
      <c r="M5" s="3" t="s">
        <v>98</v>
      </c>
      <c r="N5" t="s">
        <v>519</v>
      </c>
      <c r="P5" t="s">
        <v>518</v>
      </c>
      <c r="Q5" s="3" t="s">
        <v>99</v>
      </c>
      <c r="R5" s="3" t="s">
        <v>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>
      <selection activeCell="A4" sqref="A4"/>
    </sheetView>
  </sheetViews>
  <sheetFormatPr defaultRowHeight="14.25"/>
  <cols>
    <col min="6" max="6" width="17" customWidth="1"/>
  </cols>
  <sheetData>
    <row r="1" spans="1:24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34</v>
      </c>
      <c r="J1" t="s">
        <v>91</v>
      </c>
      <c r="K1" t="s">
        <v>96</v>
      </c>
      <c r="L1" t="s">
        <v>40</v>
      </c>
      <c r="M1" t="s">
        <v>95</v>
      </c>
      <c r="N1" t="s">
        <v>39</v>
      </c>
      <c r="O1" t="s">
        <v>37</v>
      </c>
      <c r="P1" t="s">
        <v>33</v>
      </c>
      <c r="Q1" t="s">
        <v>48</v>
      </c>
      <c r="R1" t="s">
        <v>38</v>
      </c>
      <c r="S1" t="s">
        <v>45</v>
      </c>
      <c r="T1" t="s">
        <v>116</v>
      </c>
      <c r="U1" t="s">
        <v>49</v>
      </c>
      <c r="V1" t="s">
        <v>51</v>
      </c>
      <c r="W1" t="s">
        <v>15</v>
      </c>
      <c r="X1" t="s">
        <v>16</v>
      </c>
    </row>
    <row r="2" spans="1:2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36</v>
      </c>
      <c r="K2" t="s">
        <v>10</v>
      </c>
      <c r="L2" t="s">
        <v>41</v>
      </c>
      <c r="M2" t="s">
        <v>10</v>
      </c>
      <c r="N2" t="s">
        <v>39</v>
      </c>
      <c r="O2" t="s">
        <v>36</v>
      </c>
      <c r="P2" t="s">
        <v>10</v>
      </c>
      <c r="Q2" t="s">
        <v>12</v>
      </c>
      <c r="R2" t="s">
        <v>36</v>
      </c>
      <c r="S2" t="s">
        <v>46</v>
      </c>
      <c r="T2" t="s">
        <v>117</v>
      </c>
      <c r="U2" t="s">
        <v>50</v>
      </c>
      <c r="V2" t="s">
        <v>10</v>
      </c>
      <c r="W2" t="s">
        <v>13</v>
      </c>
      <c r="X2" t="s">
        <v>13</v>
      </c>
    </row>
    <row r="3" spans="1:24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100</v>
      </c>
      <c r="I3" s="3" t="s">
        <v>101</v>
      </c>
      <c r="J3" s="3" t="s">
        <v>92</v>
      </c>
      <c r="K3" s="3" t="s">
        <v>102</v>
      </c>
      <c r="L3" s="3" t="s">
        <v>103</v>
      </c>
      <c r="M3" s="3" t="s">
        <v>104</v>
      </c>
      <c r="N3" s="3" t="s">
        <v>74</v>
      </c>
      <c r="O3" s="3" t="s">
        <v>105</v>
      </c>
      <c r="P3" s="3" t="s">
        <v>106</v>
      </c>
      <c r="Q3" s="3" t="s">
        <v>107</v>
      </c>
      <c r="R3" s="3" t="s">
        <v>79</v>
      </c>
      <c r="S3" s="3" t="s">
        <v>108</v>
      </c>
      <c r="T3">
        <v>432</v>
      </c>
      <c r="U3" s="3" t="s">
        <v>83</v>
      </c>
      <c r="V3" s="3" t="s">
        <v>115</v>
      </c>
      <c r="W3" s="3" t="s">
        <v>109</v>
      </c>
      <c r="X3" s="3" t="s">
        <v>110</v>
      </c>
    </row>
    <row r="4" spans="1:24">
      <c r="A4" s="3" t="s">
        <v>26</v>
      </c>
      <c r="B4" s="3" t="s">
        <v>27</v>
      </c>
      <c r="C4" s="3" t="s">
        <v>113</v>
      </c>
      <c r="D4" s="3"/>
      <c r="E4" s="3" t="s">
        <v>31</v>
      </c>
      <c r="F4" s="4">
        <f ca="1">NOW()</f>
        <v>43894.587103819445</v>
      </c>
      <c r="G4" s="3" t="s">
        <v>28</v>
      </c>
      <c r="H4" s="3" t="s">
        <v>31</v>
      </c>
      <c r="I4" s="3" t="s">
        <v>65</v>
      </c>
      <c r="J4" s="3" t="s">
        <v>93</v>
      </c>
      <c r="K4" s="3" t="s">
        <v>120</v>
      </c>
      <c r="L4" s="3" t="s">
        <v>119</v>
      </c>
      <c r="M4" s="3" t="s">
        <v>225</v>
      </c>
      <c r="N4" s="3" t="s">
        <v>118</v>
      </c>
      <c r="O4" s="3" t="s">
        <v>65</v>
      </c>
      <c r="P4" t="s">
        <v>519</v>
      </c>
      <c r="R4" t="s">
        <v>60</v>
      </c>
      <c r="S4" t="s">
        <v>518</v>
      </c>
      <c r="W4" s="3" t="s">
        <v>99</v>
      </c>
      <c r="X4" s="3" t="s">
        <v>99</v>
      </c>
    </row>
    <row r="5" spans="1:24">
      <c r="J5" s="3"/>
      <c r="N5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18"/>
  <sheetViews>
    <sheetView workbookViewId="0">
      <selection activeCell="M32" sqref="M32"/>
    </sheetView>
  </sheetViews>
  <sheetFormatPr defaultRowHeight="14.25"/>
  <cols>
    <col min="2" max="2" width="11.125" customWidth="1"/>
    <col min="6" max="6" width="15.125" customWidth="1"/>
    <col min="12" max="12" width="14" customWidth="1"/>
    <col min="45" max="45" width="9" customWidth="1"/>
  </cols>
  <sheetData>
    <row r="1" spans="1:47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121</v>
      </c>
      <c r="I1" t="s">
        <v>122</v>
      </c>
      <c r="J1" t="s">
        <v>32</v>
      </c>
      <c r="K1" t="s">
        <v>55</v>
      </c>
      <c r="L1" t="s">
        <v>34</v>
      </c>
      <c r="M1" t="s">
        <v>154</v>
      </c>
      <c r="N1" t="s">
        <v>155</v>
      </c>
      <c r="O1" t="s">
        <v>156</v>
      </c>
      <c r="P1" t="s">
        <v>54</v>
      </c>
      <c r="Q1" t="s">
        <v>96</v>
      </c>
      <c r="R1" t="s">
        <v>40</v>
      </c>
      <c r="S1" t="s">
        <v>157</v>
      </c>
      <c r="T1" t="s">
        <v>35</v>
      </c>
      <c r="U1" t="s">
        <v>39</v>
      </c>
      <c r="V1" t="s">
        <v>37</v>
      </c>
      <c r="W1" t="s">
        <v>33</v>
      </c>
      <c r="X1" t="s">
        <v>158</v>
      </c>
      <c r="Y1" t="s">
        <v>42</v>
      </c>
      <c r="Z1" t="s">
        <v>48</v>
      </c>
      <c r="AA1" t="s">
        <v>159</v>
      </c>
      <c r="AB1" t="s">
        <v>38</v>
      </c>
      <c r="AC1" t="s">
        <v>44</v>
      </c>
      <c r="AD1" t="s">
        <v>43</v>
      </c>
      <c r="AE1" t="s">
        <v>160</v>
      </c>
      <c r="AF1" t="s">
        <v>161</v>
      </c>
      <c r="AG1" t="s">
        <v>162</v>
      </c>
      <c r="AH1" t="s">
        <v>163</v>
      </c>
      <c r="AI1" t="s">
        <v>45</v>
      </c>
      <c r="AJ1" t="s">
        <v>116</v>
      </c>
      <c r="AK1" t="s">
        <v>164</v>
      </c>
      <c r="AL1" t="s">
        <v>49</v>
      </c>
      <c r="AM1" t="s">
        <v>56</v>
      </c>
      <c r="AN1" t="s">
        <v>53</v>
      </c>
      <c r="AO1" t="s">
        <v>15</v>
      </c>
      <c r="AP1" t="s">
        <v>16</v>
      </c>
      <c r="AQ1" t="s">
        <v>58</v>
      </c>
      <c r="AR1" t="s">
        <v>231</v>
      </c>
      <c r="AS1" t="s">
        <v>290</v>
      </c>
      <c r="AT1" s="1" t="s">
        <v>17</v>
      </c>
      <c r="AU1" t="s">
        <v>165</v>
      </c>
    </row>
    <row r="2" spans="1:4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39</v>
      </c>
      <c r="L2" t="s">
        <v>13</v>
      </c>
      <c r="M2" t="s">
        <v>41</v>
      </c>
      <c r="N2" t="s">
        <v>155</v>
      </c>
      <c r="O2" t="s">
        <v>10</v>
      </c>
      <c r="P2" t="s">
        <v>36</v>
      </c>
      <c r="Q2" t="s">
        <v>10</v>
      </c>
      <c r="R2" t="s">
        <v>41</v>
      </c>
      <c r="S2" t="s">
        <v>36</v>
      </c>
      <c r="T2" t="s">
        <v>36</v>
      </c>
      <c r="U2" t="s">
        <v>39</v>
      </c>
      <c r="V2" t="s">
        <v>36</v>
      </c>
      <c r="W2" t="s">
        <v>10</v>
      </c>
      <c r="X2" t="s">
        <v>10</v>
      </c>
      <c r="Y2" t="s">
        <v>36</v>
      </c>
      <c r="Z2" t="s">
        <v>47</v>
      </c>
      <c r="AA2" t="s">
        <v>117</v>
      </c>
      <c r="AB2" t="s">
        <v>36</v>
      </c>
      <c r="AC2" t="s">
        <v>39</v>
      </c>
      <c r="AD2" t="s">
        <v>41</v>
      </c>
      <c r="AE2" t="s">
        <v>36</v>
      </c>
      <c r="AF2" t="s">
        <v>41</v>
      </c>
      <c r="AG2" t="s">
        <v>47</v>
      </c>
      <c r="AH2" t="s">
        <v>10</v>
      </c>
      <c r="AI2" t="s">
        <v>46</v>
      </c>
      <c r="AJ2" t="s">
        <v>117</v>
      </c>
      <c r="AK2" t="s">
        <v>36</v>
      </c>
      <c r="AL2" t="s">
        <v>50</v>
      </c>
      <c r="AM2" t="s">
        <v>57</v>
      </c>
      <c r="AN2" t="s">
        <v>14</v>
      </c>
      <c r="AO2" t="s">
        <v>13</v>
      </c>
      <c r="AP2" t="s">
        <v>13</v>
      </c>
      <c r="AQ2" t="s">
        <v>57</v>
      </c>
      <c r="AR2" t="s">
        <v>57</v>
      </c>
      <c r="AS2" t="s">
        <v>57</v>
      </c>
      <c r="AT2" t="s">
        <v>10</v>
      </c>
      <c r="AU2" t="s">
        <v>166</v>
      </c>
    </row>
    <row r="3" spans="1:47">
      <c r="A3" s="2" t="s">
        <v>167</v>
      </c>
      <c r="B3" s="2" t="s">
        <v>168</v>
      </c>
      <c r="C3" s="2" t="s">
        <v>128</v>
      </c>
      <c r="D3" s="2" t="s">
        <v>129</v>
      </c>
      <c r="E3" s="2" t="s">
        <v>130</v>
      </c>
      <c r="F3" s="2" t="s">
        <v>131</v>
      </c>
      <c r="G3" s="2" t="s">
        <v>132</v>
      </c>
      <c r="H3" s="2" t="s">
        <v>133</v>
      </c>
      <c r="I3" s="2" t="s">
        <v>134</v>
      </c>
      <c r="J3" s="3" t="s">
        <v>169</v>
      </c>
      <c r="K3" s="3" t="s">
        <v>170</v>
      </c>
      <c r="L3" s="3" t="s">
        <v>171</v>
      </c>
      <c r="M3" s="3" t="s">
        <v>172</v>
      </c>
      <c r="N3" s="3" t="s">
        <v>173</v>
      </c>
      <c r="O3" s="3" t="s">
        <v>174</v>
      </c>
      <c r="P3" s="3" t="s">
        <v>175</v>
      </c>
      <c r="Q3" s="3" t="s">
        <v>176</v>
      </c>
      <c r="R3" s="3" t="s">
        <v>177</v>
      </c>
      <c r="S3" s="3" t="s">
        <v>178</v>
      </c>
      <c r="T3" s="3" t="s">
        <v>179</v>
      </c>
      <c r="U3" s="3" t="s">
        <v>180</v>
      </c>
      <c r="V3" s="3" t="s">
        <v>181</v>
      </c>
      <c r="W3" s="3" t="s">
        <v>182</v>
      </c>
      <c r="X3" s="3" t="s">
        <v>183</v>
      </c>
      <c r="Y3" s="3" t="s">
        <v>184</v>
      </c>
      <c r="Z3" s="3" t="s">
        <v>148</v>
      </c>
      <c r="AA3" s="3" t="s">
        <v>185</v>
      </c>
      <c r="AB3" s="3" t="s">
        <v>186</v>
      </c>
      <c r="AC3" s="3" t="s">
        <v>187</v>
      </c>
      <c r="AD3" s="3" t="s">
        <v>188</v>
      </c>
      <c r="AE3" s="3" t="s">
        <v>189</v>
      </c>
      <c r="AF3" s="3" t="s">
        <v>190</v>
      </c>
      <c r="AG3" s="3" t="s">
        <v>191</v>
      </c>
      <c r="AH3" s="3" t="s">
        <v>192</v>
      </c>
      <c r="AI3" s="3" t="s">
        <v>193</v>
      </c>
      <c r="AJ3" s="3" t="s">
        <v>194</v>
      </c>
      <c r="AK3" s="3" t="s">
        <v>195</v>
      </c>
      <c r="AL3" s="3" t="s">
        <v>196</v>
      </c>
      <c r="AM3" s="3" t="s">
        <v>197</v>
      </c>
      <c r="AN3" s="3" t="s">
        <v>198</v>
      </c>
      <c r="AO3" s="3" t="s">
        <v>138</v>
      </c>
      <c r="AP3" s="3" t="s">
        <v>139</v>
      </c>
      <c r="AQ3" s="3" t="s">
        <v>199</v>
      </c>
      <c r="AR3" s="3" t="s">
        <v>230</v>
      </c>
      <c r="AS3" s="3" t="s">
        <v>291</v>
      </c>
      <c r="AT3" s="2" t="s">
        <v>140</v>
      </c>
      <c r="AU3" s="7" t="s">
        <v>126</v>
      </c>
    </row>
    <row r="4" spans="1:47">
      <c r="A4" s="3" t="s">
        <v>142</v>
      </c>
      <c r="B4" s="3" t="s">
        <v>143</v>
      </c>
      <c r="C4" s="3" t="s">
        <v>167</v>
      </c>
      <c r="D4" s="3" t="s">
        <v>169</v>
      </c>
      <c r="E4" s="3" t="s">
        <v>145</v>
      </c>
      <c r="F4" s="4">
        <f t="shared" ref="F4:F5" ca="1" si="0">NOW()</f>
        <v>43894.587103819445</v>
      </c>
      <c r="G4" s="3" t="s">
        <v>202</v>
      </c>
      <c r="H4" s="3" t="s">
        <v>169</v>
      </c>
      <c r="I4" s="3" t="s">
        <v>201</v>
      </c>
      <c r="J4" s="3" t="s">
        <v>202</v>
      </c>
      <c r="K4" s="3" t="s">
        <v>203</v>
      </c>
      <c r="L4" s="3" t="s">
        <v>286</v>
      </c>
      <c r="M4" s="3" t="s">
        <v>203</v>
      </c>
      <c r="O4" s="3" t="s">
        <v>203</v>
      </c>
      <c r="P4" s="3" t="s">
        <v>203</v>
      </c>
      <c r="Q4" s="3" t="s">
        <v>203</v>
      </c>
      <c r="R4" s="3" t="s">
        <v>169</v>
      </c>
      <c r="S4" s="3" t="s">
        <v>204</v>
      </c>
      <c r="T4" s="3" t="s">
        <v>299</v>
      </c>
      <c r="U4" s="3" t="s">
        <v>298</v>
      </c>
      <c r="V4" s="3" t="s">
        <v>296</v>
      </c>
      <c r="W4" t="s">
        <v>520</v>
      </c>
      <c r="Y4" s="3" t="s">
        <v>300</v>
      </c>
      <c r="AB4" t="s">
        <v>297</v>
      </c>
      <c r="AE4" s="3" t="s">
        <v>204</v>
      </c>
      <c r="AF4" s="3" t="s">
        <v>288</v>
      </c>
      <c r="AI4" t="s">
        <v>518</v>
      </c>
      <c r="AK4" s="3" t="s">
        <v>169</v>
      </c>
      <c r="AM4" s="3" t="s">
        <v>169</v>
      </c>
      <c r="AO4" s="3" t="s">
        <v>150</v>
      </c>
      <c r="AR4" s="3"/>
      <c r="AT4" s="3" t="s">
        <v>152</v>
      </c>
      <c r="AU4" s="3" t="s">
        <v>208</v>
      </c>
    </row>
    <row r="5" spans="1:47">
      <c r="A5" s="3" t="s">
        <v>142</v>
      </c>
      <c r="B5" s="3" t="s">
        <v>143</v>
      </c>
      <c r="C5" s="3" t="s">
        <v>167</v>
      </c>
      <c r="D5" s="3" t="s">
        <v>169</v>
      </c>
      <c r="E5" s="3" t="s">
        <v>145</v>
      </c>
      <c r="F5" s="4">
        <f t="shared" ca="1" si="0"/>
        <v>43894.587103819445</v>
      </c>
      <c r="G5" s="3" t="s">
        <v>202</v>
      </c>
      <c r="H5" s="3" t="s">
        <v>169</v>
      </c>
      <c r="I5" s="3" t="s">
        <v>201</v>
      </c>
      <c r="J5" s="3" t="s">
        <v>202</v>
      </c>
      <c r="K5" s="3" t="s">
        <v>203</v>
      </c>
      <c r="L5" s="3" t="s">
        <v>286</v>
      </c>
      <c r="M5" s="3" t="s">
        <v>203</v>
      </c>
      <c r="O5" s="3" t="s">
        <v>203</v>
      </c>
      <c r="P5" s="3" t="s">
        <v>203</v>
      </c>
      <c r="Q5" s="3" t="s">
        <v>203</v>
      </c>
      <c r="R5" s="3" t="s">
        <v>169</v>
      </c>
      <c r="S5" s="3" t="s">
        <v>203</v>
      </c>
      <c r="T5" s="3" t="s">
        <v>299</v>
      </c>
      <c r="U5" s="3" t="s">
        <v>298</v>
      </c>
      <c r="V5" s="3" t="s">
        <v>296</v>
      </c>
      <c r="W5" t="s">
        <v>520</v>
      </c>
      <c r="Y5" s="3" t="s">
        <v>300</v>
      </c>
      <c r="AB5" t="s">
        <v>297</v>
      </c>
      <c r="AE5" s="3" t="s">
        <v>203</v>
      </c>
      <c r="AF5" s="3" t="s">
        <v>289</v>
      </c>
      <c r="AI5" t="s">
        <v>518</v>
      </c>
      <c r="AK5" s="3" t="s">
        <v>169</v>
      </c>
      <c r="AM5" s="3" t="s">
        <v>169</v>
      </c>
      <c r="AO5" s="3" t="s">
        <v>150</v>
      </c>
      <c r="AR5" s="3"/>
      <c r="AT5" s="3" t="s">
        <v>152</v>
      </c>
      <c r="AU5" s="3" t="s">
        <v>208</v>
      </c>
    </row>
    <row r="6" spans="1:47">
      <c r="A6" s="3"/>
      <c r="B6" s="3"/>
      <c r="C6" s="3"/>
      <c r="D6" s="3"/>
      <c r="E6" s="3"/>
      <c r="F6" s="4"/>
      <c r="G6" s="3"/>
      <c r="H6" s="3"/>
      <c r="I6" s="3"/>
      <c r="J6" s="3"/>
      <c r="K6" s="3"/>
      <c r="L6" s="3"/>
      <c r="M6" s="3"/>
      <c r="O6" s="3"/>
      <c r="P6" s="3"/>
      <c r="Q6" s="3"/>
      <c r="R6" s="3"/>
      <c r="S6" s="3"/>
      <c r="T6" s="3"/>
      <c r="U6" s="3"/>
      <c r="V6" s="3"/>
      <c r="Y6" s="3"/>
      <c r="AE6" s="3"/>
      <c r="AF6" s="3"/>
      <c r="AK6" s="3"/>
      <c r="AM6" s="3"/>
      <c r="AO6" s="3"/>
      <c r="AT6" s="3"/>
      <c r="AU6" s="3"/>
    </row>
    <row r="7" spans="1:47">
      <c r="A7" s="3"/>
      <c r="B7" s="3"/>
      <c r="C7" s="3"/>
      <c r="D7" s="3"/>
      <c r="E7" s="3"/>
      <c r="F7" s="4"/>
      <c r="G7" s="3"/>
      <c r="H7" s="3"/>
      <c r="I7" s="3"/>
      <c r="J7" s="3"/>
      <c r="K7" s="3"/>
      <c r="L7" s="3"/>
      <c r="M7" s="3"/>
      <c r="O7" s="3"/>
      <c r="P7" s="3"/>
      <c r="Q7" s="3"/>
      <c r="R7" s="3"/>
      <c r="S7" s="3"/>
      <c r="T7" s="3"/>
      <c r="U7" s="3"/>
      <c r="V7" s="3"/>
      <c r="Y7" s="3"/>
      <c r="AE7" s="3"/>
      <c r="AF7" s="3"/>
      <c r="AK7" s="3"/>
      <c r="AM7" s="3"/>
      <c r="AO7" s="3"/>
      <c r="AT7" s="3"/>
      <c r="AU7" s="3"/>
    </row>
    <row r="10" spans="1:47">
      <c r="A10" s="3"/>
      <c r="B10" s="3"/>
      <c r="C10" s="3"/>
      <c r="D10" s="3"/>
      <c r="E10" s="3"/>
      <c r="F10" s="4"/>
      <c r="G10" s="3"/>
      <c r="H10" s="3"/>
      <c r="I10" s="3"/>
      <c r="J10" s="3"/>
      <c r="K10" s="3"/>
      <c r="L10" s="3"/>
      <c r="M10" s="3"/>
      <c r="O10" s="3"/>
      <c r="P10" s="3"/>
      <c r="Q10" s="3"/>
      <c r="R10" s="3"/>
      <c r="S10" s="3"/>
      <c r="T10" s="3"/>
      <c r="U10" s="3"/>
      <c r="V10" s="3"/>
      <c r="Y10" s="3"/>
      <c r="AE10" s="3"/>
      <c r="AF10" s="3"/>
      <c r="AK10" s="3"/>
      <c r="AM10" s="3"/>
      <c r="AO10" s="3"/>
      <c r="AR10" s="3"/>
      <c r="AS10" s="3"/>
    </row>
    <row r="11" spans="1:47">
      <c r="A11" s="3"/>
      <c r="B11" s="3"/>
      <c r="C11" s="3"/>
      <c r="D11" s="3"/>
      <c r="E11" s="3"/>
      <c r="F11" s="4"/>
      <c r="G11" s="3"/>
      <c r="H11" s="3"/>
      <c r="I11" s="3"/>
      <c r="J11" s="3"/>
      <c r="K11" s="3"/>
      <c r="L11" s="3"/>
      <c r="M11" s="3"/>
      <c r="O11" s="3"/>
      <c r="P11" s="3"/>
      <c r="Q11" s="3"/>
      <c r="R11" s="3"/>
      <c r="S11" s="3"/>
      <c r="T11" s="3"/>
      <c r="U11" s="3"/>
      <c r="V11" s="3"/>
      <c r="Y11" s="3"/>
      <c r="AE11" s="3"/>
      <c r="AF11" s="3"/>
      <c r="AK11" s="3"/>
      <c r="AM11" s="3"/>
      <c r="AO11" s="3"/>
      <c r="AR11" s="3"/>
      <c r="AS11" s="3"/>
    </row>
    <row r="12" spans="1:47">
      <c r="A12" s="3"/>
      <c r="B12" s="3"/>
      <c r="C12" s="3"/>
      <c r="D12" s="3"/>
      <c r="E12" s="3"/>
      <c r="F12" s="4"/>
      <c r="G12" s="3"/>
      <c r="H12" s="3"/>
      <c r="I12" s="3"/>
      <c r="J12" s="3"/>
      <c r="K12" s="3"/>
      <c r="L12" s="3"/>
      <c r="M12" s="3"/>
      <c r="O12" s="3"/>
      <c r="P12" s="3"/>
      <c r="Q12" s="3"/>
      <c r="R12" s="3"/>
      <c r="S12" s="3"/>
      <c r="T12" s="3"/>
      <c r="U12" s="3"/>
      <c r="V12" s="3"/>
      <c r="Y12" s="3"/>
      <c r="AE12" s="3"/>
      <c r="AF12" s="3"/>
      <c r="AK12" s="3"/>
      <c r="AM12" s="3"/>
      <c r="AO12" s="3"/>
      <c r="AR12" s="3"/>
      <c r="AS12" s="3"/>
    </row>
    <row r="13" spans="1:47">
      <c r="A13" s="3"/>
      <c r="B13" s="3"/>
      <c r="C13" s="3"/>
      <c r="D13" s="3"/>
      <c r="E13" s="3"/>
      <c r="F13" s="4"/>
      <c r="G13" s="3"/>
      <c r="H13" s="3"/>
      <c r="I13" s="3"/>
      <c r="J13" s="3"/>
      <c r="K13" s="3"/>
      <c r="L13" s="3"/>
      <c r="M13" s="3"/>
      <c r="O13" s="3"/>
      <c r="P13" s="3"/>
      <c r="Q13" s="3"/>
      <c r="R13" s="3"/>
      <c r="S13" s="3"/>
      <c r="T13" s="3"/>
      <c r="U13" s="3"/>
      <c r="V13" s="3"/>
      <c r="Y13" s="3"/>
      <c r="AE13" s="3"/>
      <c r="AF13" s="3"/>
      <c r="AK13" s="3"/>
      <c r="AM13" s="3"/>
      <c r="AO13" s="3"/>
      <c r="AR13" s="3"/>
      <c r="AS13" s="3"/>
    </row>
    <row r="14" spans="1:47">
      <c r="A14" s="3"/>
      <c r="B14" s="3"/>
      <c r="C14" s="3"/>
      <c r="D14" s="3"/>
      <c r="E14" s="3"/>
      <c r="F14" s="4"/>
      <c r="G14" s="3"/>
      <c r="H14" s="3"/>
      <c r="I14" s="3"/>
      <c r="J14" s="3"/>
      <c r="K14" s="3"/>
      <c r="L14" s="3"/>
      <c r="M14" s="3"/>
      <c r="O14" s="3"/>
      <c r="P14" s="3"/>
      <c r="Q14" s="3"/>
      <c r="R14" s="3"/>
      <c r="S14" s="3"/>
      <c r="T14" s="3"/>
      <c r="U14" s="3"/>
      <c r="V14" s="3"/>
      <c r="Y14" s="3"/>
      <c r="AE14" s="3"/>
      <c r="AF14" s="3"/>
      <c r="AK14" s="3"/>
      <c r="AM14" s="3"/>
      <c r="AO14" s="3"/>
      <c r="AR14" s="3"/>
      <c r="AS14" s="3"/>
    </row>
    <row r="15" spans="1:47">
      <c r="A15" s="3"/>
      <c r="B15" s="3"/>
      <c r="C15" s="3"/>
      <c r="D15" s="3"/>
      <c r="E15" s="3"/>
      <c r="F15" s="4"/>
      <c r="G15" s="3"/>
      <c r="H15" s="3"/>
      <c r="I15" s="3"/>
      <c r="J15" s="3"/>
      <c r="K15" s="3"/>
      <c r="L15" s="3"/>
      <c r="M15" s="3"/>
      <c r="O15" s="3"/>
      <c r="P15" s="3"/>
      <c r="Q15" s="3"/>
      <c r="R15" s="3"/>
      <c r="S15" s="3"/>
      <c r="T15" s="3"/>
      <c r="U15" s="3"/>
      <c r="V15" s="3"/>
      <c r="Y15" s="3"/>
      <c r="AE15" s="3"/>
      <c r="AF15" s="3"/>
      <c r="AK15" s="3"/>
      <c r="AM15" s="3"/>
      <c r="AO15" s="3"/>
      <c r="AR15" s="3"/>
      <c r="AS15" s="3"/>
    </row>
    <row r="16" spans="1:47">
      <c r="A16" s="3"/>
      <c r="B16" s="3"/>
      <c r="C16" s="3"/>
      <c r="D16" s="3"/>
      <c r="E16" s="3"/>
      <c r="F16" s="4"/>
      <c r="G16" s="3"/>
      <c r="H16" s="3"/>
      <c r="I16" s="3"/>
      <c r="J16" s="3"/>
      <c r="K16" s="3"/>
      <c r="L16" s="3"/>
      <c r="M16" s="3"/>
      <c r="O16" s="3"/>
      <c r="P16" s="3"/>
      <c r="Q16" s="3"/>
      <c r="R16" s="3"/>
      <c r="S16" s="3"/>
      <c r="T16" s="3"/>
      <c r="U16" s="3"/>
      <c r="V16" s="3"/>
      <c r="Y16" s="3"/>
      <c r="AE16" s="3"/>
      <c r="AF16" s="3"/>
      <c r="AK16" s="3"/>
      <c r="AM16" s="3"/>
      <c r="AO16" s="3"/>
      <c r="AR16" s="3"/>
      <c r="AS16" s="3"/>
    </row>
    <row r="17" spans="1:45">
      <c r="A17" s="3"/>
      <c r="B17" s="3"/>
      <c r="C17" s="3"/>
      <c r="D17" s="3"/>
      <c r="E17" s="3"/>
      <c r="F17" s="4"/>
      <c r="G17" s="3"/>
      <c r="H17" s="3"/>
      <c r="I17" s="3"/>
      <c r="J17" s="3"/>
      <c r="K17" s="3"/>
      <c r="L17" s="3"/>
      <c r="M17" s="3"/>
      <c r="O17" s="3"/>
      <c r="P17" s="3"/>
      <c r="Q17" s="3"/>
      <c r="R17" s="3"/>
      <c r="S17" s="3"/>
      <c r="T17" s="3"/>
      <c r="U17" s="3"/>
      <c r="V17" s="3"/>
      <c r="Y17" s="3"/>
      <c r="AE17" s="3"/>
      <c r="AF17" s="3"/>
      <c r="AK17" s="3"/>
      <c r="AM17" s="3"/>
      <c r="AO17" s="3"/>
      <c r="AR17" s="3"/>
      <c r="AS17" s="3"/>
    </row>
    <row r="18" spans="1:45">
      <c r="A18" s="3"/>
      <c r="B18" s="3"/>
      <c r="C18" s="3"/>
      <c r="D18" s="3"/>
      <c r="E18" s="3"/>
      <c r="F18" s="4"/>
      <c r="G18" s="3"/>
      <c r="H18" s="3"/>
      <c r="I18" s="3"/>
      <c r="J18" s="3"/>
      <c r="K18" s="3"/>
      <c r="L18" s="3"/>
      <c r="M18" s="3"/>
      <c r="O18" s="3"/>
      <c r="P18" s="3"/>
      <c r="Q18" s="3"/>
      <c r="R18" s="3"/>
      <c r="S18" s="3"/>
      <c r="T18" s="3"/>
      <c r="U18" s="3"/>
      <c r="V18" s="3"/>
      <c r="Y18" s="3"/>
      <c r="AE18" s="3"/>
      <c r="AF18" s="3"/>
      <c r="AK18" s="3"/>
      <c r="AM18" s="3"/>
      <c r="AO18" s="3"/>
      <c r="AR18" s="3"/>
      <c r="AS18" s="3"/>
    </row>
    <row r="19" spans="1:45">
      <c r="A19" s="3"/>
      <c r="B19" s="3"/>
      <c r="C19" s="3"/>
      <c r="D19" s="3"/>
      <c r="E19" s="3"/>
      <c r="F19" s="4"/>
      <c r="G19" s="3"/>
      <c r="H19" s="3"/>
      <c r="I19" s="3"/>
      <c r="J19" s="3"/>
      <c r="K19" s="3"/>
      <c r="L19" s="3"/>
      <c r="M19" s="3"/>
      <c r="O19" s="3"/>
      <c r="P19" s="3"/>
      <c r="Q19" s="3"/>
      <c r="R19" s="3"/>
      <c r="S19" s="3"/>
      <c r="T19" s="3"/>
      <c r="U19" s="3"/>
      <c r="V19" s="3"/>
      <c r="Y19" s="3"/>
      <c r="AE19" s="3"/>
      <c r="AF19" s="3"/>
      <c r="AK19" s="3"/>
      <c r="AM19" s="3"/>
      <c r="AO19" s="3"/>
      <c r="AR19" s="3"/>
      <c r="AS19" s="3"/>
    </row>
    <row r="20" spans="1:45">
      <c r="A20" s="3"/>
      <c r="B20" s="3"/>
      <c r="C20" s="3"/>
      <c r="D20" s="3"/>
      <c r="E20" s="3"/>
      <c r="F20" s="4"/>
      <c r="G20" s="3"/>
      <c r="H20" s="3"/>
      <c r="I20" s="3"/>
      <c r="J20" s="3"/>
      <c r="K20" s="3"/>
      <c r="L20" s="3"/>
      <c r="M20" s="3"/>
      <c r="O20" s="3"/>
      <c r="P20" s="3"/>
      <c r="Q20" s="3"/>
      <c r="R20" s="3"/>
      <c r="S20" s="3"/>
      <c r="T20" s="3"/>
      <c r="U20" s="3"/>
      <c r="V20" s="3"/>
      <c r="Y20" s="3"/>
      <c r="AE20" s="3"/>
      <c r="AF20" s="3"/>
      <c r="AK20" s="3"/>
      <c r="AM20" s="3"/>
      <c r="AO20" s="3"/>
      <c r="AR20" s="3"/>
      <c r="AS20" s="3"/>
    </row>
    <row r="21" spans="1:45">
      <c r="A21" s="3"/>
      <c r="B21" s="3"/>
      <c r="C21" s="3"/>
      <c r="D21" s="3"/>
      <c r="E21" s="3"/>
      <c r="F21" s="4"/>
      <c r="G21" s="3"/>
      <c r="H21" s="3"/>
      <c r="I21" s="3"/>
      <c r="J21" s="3"/>
      <c r="K21" s="3"/>
      <c r="L21" s="3"/>
      <c r="M21" s="3"/>
      <c r="O21" s="3"/>
      <c r="P21" s="3"/>
      <c r="Q21" s="3"/>
      <c r="R21" s="3"/>
      <c r="S21" s="3"/>
      <c r="T21" s="3"/>
      <c r="U21" s="3"/>
      <c r="V21" s="3"/>
      <c r="Y21" s="3"/>
      <c r="AE21" s="3"/>
      <c r="AF21" s="3"/>
      <c r="AK21" s="3"/>
      <c r="AM21" s="3"/>
      <c r="AO21" s="3"/>
      <c r="AR21" s="3"/>
      <c r="AS21" s="3"/>
    </row>
    <row r="22" spans="1:45">
      <c r="A22" s="3"/>
      <c r="B22" s="3"/>
      <c r="C22" s="3"/>
      <c r="D22" s="3"/>
      <c r="E22" s="3"/>
      <c r="F22" s="4"/>
      <c r="G22" s="3"/>
      <c r="H22" s="3"/>
      <c r="I22" s="3"/>
      <c r="J22" s="3"/>
      <c r="K22" s="3"/>
      <c r="L22" s="3"/>
      <c r="M22" s="3"/>
      <c r="O22" s="3"/>
      <c r="P22" s="3"/>
      <c r="Q22" s="3"/>
      <c r="R22" s="3"/>
      <c r="S22" s="3"/>
      <c r="T22" s="3"/>
      <c r="U22" s="3"/>
      <c r="V22" s="3"/>
      <c r="Y22" s="3"/>
      <c r="AE22" s="3"/>
      <c r="AF22" s="3"/>
      <c r="AK22" s="3"/>
      <c r="AM22" s="3"/>
      <c r="AO22" s="3"/>
      <c r="AR22" s="3"/>
      <c r="AS22" s="3"/>
    </row>
    <row r="23" spans="1:45">
      <c r="A23" s="3"/>
      <c r="B23" s="3"/>
      <c r="C23" s="3"/>
      <c r="D23" s="3"/>
      <c r="E23" s="3"/>
      <c r="F23" s="4"/>
      <c r="G23" s="3"/>
      <c r="H23" s="3"/>
      <c r="I23" s="3"/>
      <c r="J23" s="3"/>
      <c r="K23" s="3"/>
      <c r="L23" s="3"/>
      <c r="M23" s="3"/>
      <c r="O23" s="3"/>
      <c r="P23" s="3"/>
      <c r="Q23" s="3"/>
      <c r="R23" s="3"/>
      <c r="S23" s="3"/>
      <c r="T23" s="3"/>
      <c r="U23" s="3"/>
      <c r="V23" s="3"/>
      <c r="Y23" s="3"/>
      <c r="AE23" s="3"/>
      <c r="AF23" s="3"/>
      <c r="AK23" s="3"/>
      <c r="AM23" s="3"/>
      <c r="AO23" s="3"/>
      <c r="AR23" s="3"/>
      <c r="AS23" s="3"/>
    </row>
    <row r="24" spans="1:45">
      <c r="A24" s="3"/>
      <c r="B24" s="3"/>
      <c r="C24" s="3"/>
      <c r="D24" s="3"/>
      <c r="E24" s="3"/>
      <c r="F24" s="4"/>
      <c r="G24" s="3"/>
      <c r="H24" s="3"/>
      <c r="I24" s="3"/>
      <c r="J24" s="3"/>
      <c r="K24" s="3"/>
      <c r="L24" s="3"/>
      <c r="M24" s="3"/>
      <c r="O24" s="3"/>
      <c r="P24" s="3"/>
      <c r="Q24" s="3"/>
      <c r="R24" s="3"/>
      <c r="S24" s="3"/>
      <c r="T24" s="3"/>
      <c r="U24" s="3"/>
      <c r="V24" s="3"/>
      <c r="Y24" s="3"/>
      <c r="AE24" s="3"/>
      <c r="AF24" s="3"/>
      <c r="AK24" s="3"/>
      <c r="AM24" s="3"/>
      <c r="AO24" s="3"/>
      <c r="AR24" s="3"/>
      <c r="AS24" s="3"/>
    </row>
    <row r="25" spans="1:45">
      <c r="A25" s="3"/>
      <c r="B25" s="3"/>
      <c r="C25" s="3"/>
      <c r="D25" s="3"/>
      <c r="E25" s="3"/>
      <c r="F25" s="4"/>
      <c r="G25" s="3"/>
      <c r="H25" s="3"/>
      <c r="I25" s="3"/>
      <c r="J25" s="3"/>
      <c r="K25" s="3"/>
      <c r="L25" s="3"/>
      <c r="M25" s="3"/>
      <c r="O25" s="3"/>
      <c r="P25" s="3"/>
      <c r="Q25" s="3"/>
      <c r="R25" s="3"/>
      <c r="S25" s="3"/>
      <c r="T25" s="3"/>
      <c r="U25" s="3"/>
      <c r="V25" s="3"/>
      <c r="Y25" s="3"/>
      <c r="AE25" s="3"/>
      <c r="AF25" s="3"/>
      <c r="AK25" s="3"/>
      <c r="AM25" s="3"/>
      <c r="AO25" s="3"/>
      <c r="AR25" s="3"/>
      <c r="AS25" s="3"/>
    </row>
    <row r="26" spans="1:45">
      <c r="A26" s="3"/>
      <c r="B26" s="3"/>
      <c r="C26" s="3"/>
      <c r="D26" s="3"/>
      <c r="E26" s="3"/>
      <c r="F26" s="4"/>
      <c r="G26" s="3"/>
      <c r="H26" s="3"/>
      <c r="I26" s="3"/>
      <c r="J26" s="3"/>
      <c r="K26" s="3"/>
      <c r="L26" s="3"/>
      <c r="M26" s="3"/>
      <c r="O26" s="3"/>
      <c r="P26" s="3"/>
      <c r="Q26" s="3"/>
      <c r="R26" s="3"/>
      <c r="S26" s="3"/>
      <c r="T26" s="3"/>
      <c r="U26" s="3"/>
      <c r="V26" s="3"/>
      <c r="Y26" s="3"/>
      <c r="AE26" s="3"/>
      <c r="AF26" s="3"/>
      <c r="AK26" s="3"/>
      <c r="AM26" s="3"/>
      <c r="AO26" s="3"/>
      <c r="AR26" s="3"/>
      <c r="AS26" s="3"/>
    </row>
    <row r="27" spans="1:45">
      <c r="A27" s="3"/>
      <c r="B27" s="3"/>
      <c r="C27" s="3"/>
      <c r="D27" s="3"/>
      <c r="E27" s="3"/>
      <c r="F27" s="4"/>
      <c r="G27" s="3"/>
      <c r="H27" s="3"/>
      <c r="I27" s="3"/>
      <c r="J27" s="3"/>
      <c r="K27" s="3"/>
      <c r="L27" s="3"/>
      <c r="M27" s="3"/>
      <c r="O27" s="3"/>
      <c r="P27" s="3"/>
      <c r="Q27" s="3"/>
      <c r="R27" s="3"/>
      <c r="S27" s="3"/>
      <c r="T27" s="3"/>
      <c r="U27" s="3"/>
      <c r="V27" s="3"/>
      <c r="Y27" s="3"/>
      <c r="AE27" s="3"/>
      <c r="AF27" s="3"/>
      <c r="AK27" s="3"/>
      <c r="AM27" s="3"/>
      <c r="AO27" s="3"/>
      <c r="AR27" s="3"/>
      <c r="AS27" s="3"/>
    </row>
    <row r="28" spans="1:45">
      <c r="A28" s="3"/>
      <c r="B28" s="3"/>
      <c r="C28" s="3"/>
      <c r="D28" s="3"/>
      <c r="E28" s="3"/>
      <c r="F28" s="4"/>
      <c r="G28" s="3"/>
      <c r="H28" s="3"/>
      <c r="I28" s="3"/>
      <c r="J28" s="3"/>
      <c r="K28" s="3"/>
      <c r="L28" s="3"/>
      <c r="M28" s="3"/>
      <c r="O28" s="3"/>
      <c r="P28" s="3"/>
      <c r="Q28" s="3"/>
      <c r="R28" s="3"/>
      <c r="S28" s="3"/>
      <c r="T28" s="3"/>
      <c r="U28" s="3"/>
      <c r="V28" s="3"/>
      <c r="Y28" s="3"/>
      <c r="AE28" s="3"/>
      <c r="AF28" s="3"/>
      <c r="AK28" s="3"/>
      <c r="AM28" s="3"/>
      <c r="AO28" s="3"/>
      <c r="AR28" s="3"/>
      <c r="AS28" s="3"/>
    </row>
    <row r="29" spans="1:45">
      <c r="A29" s="3"/>
      <c r="B29" s="3"/>
      <c r="C29" s="3"/>
      <c r="D29" s="3"/>
      <c r="E29" s="3"/>
      <c r="F29" s="4"/>
      <c r="G29" s="3"/>
      <c r="H29" s="3"/>
      <c r="I29" s="3"/>
      <c r="J29" s="3"/>
      <c r="K29" s="3"/>
      <c r="L29" s="3"/>
      <c r="M29" s="3"/>
      <c r="O29" s="3"/>
      <c r="P29" s="3"/>
      <c r="Q29" s="3"/>
      <c r="R29" s="3"/>
      <c r="S29" s="3"/>
      <c r="T29" s="3"/>
      <c r="U29" s="3"/>
      <c r="V29" s="3"/>
      <c r="Y29" s="3"/>
      <c r="AE29" s="3"/>
      <c r="AF29" s="3"/>
      <c r="AK29" s="3"/>
      <c r="AM29" s="3"/>
      <c r="AO29" s="3"/>
      <c r="AR29" s="3"/>
      <c r="AS29" s="3"/>
    </row>
    <row r="30" spans="1:45">
      <c r="A30" s="3"/>
      <c r="B30" s="3"/>
      <c r="C30" s="3"/>
      <c r="D30" s="3"/>
      <c r="E30" s="3"/>
      <c r="F30" s="4"/>
      <c r="G30" s="3"/>
      <c r="H30" s="3"/>
      <c r="I30" s="3"/>
      <c r="J30" s="3"/>
      <c r="K30" s="3"/>
      <c r="L30" s="3"/>
      <c r="M30" s="3"/>
      <c r="O30" s="3"/>
      <c r="P30" s="3"/>
      <c r="Q30" s="3"/>
      <c r="R30" s="3"/>
      <c r="S30" s="3"/>
      <c r="T30" s="3"/>
      <c r="U30" s="3"/>
      <c r="V30" s="3"/>
      <c r="Y30" s="3"/>
      <c r="AE30" s="3"/>
      <c r="AF30" s="3"/>
      <c r="AK30" s="3"/>
      <c r="AM30" s="3"/>
      <c r="AO30" s="3"/>
      <c r="AR30" s="3"/>
      <c r="AS30" s="3"/>
    </row>
    <row r="31" spans="1:45">
      <c r="A31" s="3"/>
      <c r="B31" s="3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O31" s="3"/>
      <c r="P31" s="3"/>
      <c r="Q31" s="3"/>
      <c r="R31" s="3"/>
      <c r="S31" s="3"/>
      <c r="T31" s="3"/>
      <c r="U31" s="3"/>
      <c r="V31" s="3"/>
      <c r="Y31" s="3"/>
      <c r="AE31" s="3"/>
      <c r="AF31" s="3"/>
      <c r="AK31" s="3"/>
      <c r="AM31" s="3"/>
      <c r="AO31" s="3"/>
      <c r="AR31" s="3"/>
      <c r="AS31" s="3"/>
    </row>
    <row r="32" spans="1:45">
      <c r="A32" s="3"/>
      <c r="B32" s="3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O32" s="3"/>
      <c r="P32" s="3"/>
      <c r="Q32" s="3"/>
      <c r="R32" s="3"/>
      <c r="S32" s="3"/>
      <c r="T32" s="3"/>
      <c r="U32" s="3"/>
      <c r="V32" s="3"/>
      <c r="Y32" s="3"/>
      <c r="AE32" s="3"/>
      <c r="AF32" s="3"/>
      <c r="AK32" s="3"/>
      <c r="AM32" s="3"/>
      <c r="AO32" s="3"/>
      <c r="AR32" s="3"/>
      <c r="AS32" s="3"/>
    </row>
    <row r="33" spans="1:45">
      <c r="A33" s="3"/>
      <c r="B33" s="3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O33" s="3"/>
      <c r="P33" s="3"/>
      <c r="Q33" s="3"/>
      <c r="R33" s="3"/>
      <c r="S33" s="3"/>
      <c r="T33" s="3"/>
      <c r="U33" s="3"/>
      <c r="V33" s="3"/>
      <c r="Y33" s="3"/>
      <c r="AE33" s="3"/>
      <c r="AF33" s="3"/>
      <c r="AK33" s="3"/>
      <c r="AM33" s="3"/>
      <c r="AO33" s="3"/>
      <c r="AR33" s="3"/>
      <c r="AS33" s="3"/>
    </row>
    <row r="34" spans="1:45">
      <c r="A34" s="3"/>
      <c r="B34" s="3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O34" s="3"/>
      <c r="P34" s="3"/>
      <c r="Q34" s="3"/>
      <c r="R34" s="3"/>
      <c r="S34" s="3"/>
      <c r="T34" s="3"/>
      <c r="U34" s="3"/>
      <c r="V34" s="3"/>
      <c r="Y34" s="3"/>
      <c r="AE34" s="3"/>
      <c r="AF34" s="3"/>
      <c r="AK34" s="3"/>
      <c r="AM34" s="3"/>
      <c r="AO34" s="3"/>
      <c r="AR34" s="3"/>
      <c r="AS34" s="3"/>
    </row>
    <row r="35" spans="1:45">
      <c r="A35" s="3"/>
      <c r="B35" s="3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O35" s="3"/>
      <c r="P35" s="3"/>
      <c r="Q35" s="3"/>
      <c r="R35" s="3"/>
      <c r="S35" s="3"/>
      <c r="T35" s="3"/>
      <c r="U35" s="3"/>
      <c r="V35" s="3"/>
      <c r="Y35" s="3"/>
      <c r="AE35" s="3"/>
      <c r="AF35" s="3"/>
      <c r="AK35" s="3"/>
      <c r="AM35" s="3"/>
      <c r="AO35" s="3"/>
      <c r="AR35" s="3"/>
      <c r="AS35" s="3"/>
    </row>
    <row r="36" spans="1:45">
      <c r="A36" s="3"/>
      <c r="B36" s="3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O36" s="3"/>
      <c r="P36" s="3"/>
      <c r="Q36" s="3"/>
      <c r="R36" s="3"/>
      <c r="S36" s="3"/>
      <c r="T36" s="3"/>
      <c r="U36" s="3"/>
      <c r="V36" s="3"/>
      <c r="Y36" s="3"/>
      <c r="AE36" s="3"/>
      <c r="AF36" s="3"/>
      <c r="AK36" s="3"/>
      <c r="AM36" s="3"/>
      <c r="AO36" s="3"/>
      <c r="AR36" s="3"/>
      <c r="AS36" s="3"/>
    </row>
    <row r="37" spans="1:45">
      <c r="A37" s="3"/>
      <c r="B37" s="3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O37" s="3"/>
      <c r="P37" s="3"/>
      <c r="Q37" s="3"/>
      <c r="R37" s="3"/>
      <c r="S37" s="3"/>
      <c r="T37" s="3"/>
      <c r="U37" s="3"/>
      <c r="V37" s="3"/>
      <c r="Y37" s="3"/>
      <c r="AE37" s="3"/>
      <c r="AF37" s="3"/>
      <c r="AK37" s="3"/>
      <c r="AM37" s="3"/>
      <c r="AO37" s="3"/>
      <c r="AR37" s="3"/>
      <c r="AS37" s="3"/>
    </row>
    <row r="38" spans="1:45">
      <c r="A38" s="3"/>
      <c r="B38" s="3"/>
      <c r="C38" s="3"/>
      <c r="D38" s="3"/>
      <c r="E38" s="3"/>
      <c r="F38" s="4"/>
      <c r="G38" s="3"/>
      <c r="H38" s="3"/>
      <c r="I38" s="3"/>
      <c r="J38" s="3"/>
      <c r="K38" s="3"/>
      <c r="L38" s="3"/>
      <c r="M38" s="3"/>
      <c r="O38" s="3"/>
      <c r="P38" s="3"/>
      <c r="Q38" s="3"/>
      <c r="R38" s="3"/>
      <c r="S38" s="3"/>
      <c r="T38" s="3"/>
      <c r="U38" s="3"/>
      <c r="V38" s="3"/>
      <c r="Y38" s="3"/>
      <c r="AE38" s="3"/>
      <c r="AF38" s="3"/>
      <c r="AK38" s="3"/>
      <c r="AM38" s="3"/>
      <c r="AO38" s="3"/>
      <c r="AR38" s="3"/>
      <c r="AS38" s="3"/>
    </row>
    <row r="39" spans="1:45">
      <c r="A39" s="3"/>
      <c r="B39" s="3"/>
      <c r="C39" s="3"/>
      <c r="D39" s="3"/>
      <c r="E39" s="3"/>
      <c r="F39" s="4"/>
      <c r="G39" s="3"/>
      <c r="H39" s="3"/>
      <c r="I39" s="3"/>
      <c r="J39" s="3"/>
      <c r="K39" s="3"/>
      <c r="L39" s="3"/>
      <c r="M39" s="3"/>
      <c r="O39" s="3"/>
      <c r="P39" s="3"/>
      <c r="Q39" s="3"/>
      <c r="R39" s="3"/>
      <c r="S39" s="3"/>
      <c r="T39" s="3"/>
      <c r="U39" s="3"/>
      <c r="V39" s="3"/>
      <c r="Y39" s="3"/>
      <c r="AE39" s="3"/>
      <c r="AF39" s="3"/>
      <c r="AK39" s="3"/>
      <c r="AM39" s="3"/>
      <c r="AO39" s="3"/>
      <c r="AR39" s="3"/>
      <c r="AS39" s="3"/>
    </row>
    <row r="40" spans="1:45">
      <c r="A40" s="3"/>
      <c r="B40" s="3"/>
      <c r="C40" s="3"/>
      <c r="D40" s="3"/>
      <c r="E40" s="3"/>
      <c r="F40" s="4"/>
      <c r="G40" s="3"/>
      <c r="H40" s="3"/>
      <c r="I40" s="3"/>
      <c r="J40" s="3"/>
      <c r="K40" s="3"/>
      <c r="L40" s="3"/>
      <c r="M40" s="3"/>
      <c r="O40" s="3"/>
      <c r="P40" s="3"/>
      <c r="Q40" s="3"/>
      <c r="R40" s="3"/>
      <c r="S40" s="3"/>
      <c r="T40" s="3"/>
      <c r="U40" s="3"/>
      <c r="V40" s="3"/>
      <c r="Y40" s="3"/>
      <c r="AE40" s="3"/>
      <c r="AF40" s="3"/>
      <c r="AK40" s="3"/>
      <c r="AM40" s="3"/>
      <c r="AO40" s="3"/>
      <c r="AR40" s="3"/>
      <c r="AS40" s="3"/>
    </row>
    <row r="41" spans="1:45">
      <c r="A41" s="3"/>
      <c r="B41" s="3"/>
      <c r="C41" s="3"/>
      <c r="D41" s="3"/>
      <c r="E41" s="3"/>
      <c r="F41" s="4"/>
      <c r="G41" s="3"/>
      <c r="H41" s="3"/>
      <c r="I41" s="3"/>
      <c r="J41" s="3"/>
      <c r="K41" s="3"/>
      <c r="L41" s="3"/>
      <c r="M41" s="3"/>
      <c r="O41" s="3"/>
      <c r="P41" s="3"/>
      <c r="Q41" s="3"/>
      <c r="R41" s="3"/>
      <c r="S41" s="3"/>
      <c r="T41" s="3"/>
      <c r="U41" s="3"/>
      <c r="V41" s="3"/>
      <c r="Y41" s="3"/>
      <c r="AE41" s="3"/>
      <c r="AF41" s="3"/>
      <c r="AK41" s="3"/>
      <c r="AM41" s="3"/>
      <c r="AO41" s="3"/>
      <c r="AR41" s="3"/>
      <c r="AS41" s="3"/>
    </row>
    <row r="42" spans="1:45">
      <c r="A42" s="3"/>
      <c r="B42" s="3"/>
      <c r="C42" s="3"/>
      <c r="D42" s="3"/>
      <c r="E42" s="3"/>
      <c r="F42" s="4"/>
      <c r="G42" s="3"/>
      <c r="H42" s="3"/>
      <c r="I42" s="3"/>
      <c r="J42" s="3"/>
      <c r="K42" s="3"/>
      <c r="L42" s="3"/>
      <c r="M42" s="3"/>
      <c r="O42" s="3"/>
      <c r="P42" s="3"/>
      <c r="Q42" s="3"/>
      <c r="R42" s="3"/>
      <c r="S42" s="3"/>
      <c r="T42" s="3"/>
      <c r="U42" s="3"/>
      <c r="V42" s="3"/>
      <c r="Y42" s="3"/>
      <c r="AE42" s="3"/>
      <c r="AF42" s="3"/>
      <c r="AK42" s="3"/>
      <c r="AM42" s="3"/>
      <c r="AO42" s="3"/>
      <c r="AR42" s="3"/>
      <c r="AS42" s="3"/>
    </row>
    <row r="43" spans="1:45">
      <c r="A43" s="3"/>
      <c r="B43" s="3"/>
      <c r="C43" s="3"/>
      <c r="D43" s="3"/>
      <c r="E43" s="3"/>
      <c r="F43" s="4"/>
      <c r="G43" s="3"/>
      <c r="H43" s="3"/>
      <c r="I43" s="3"/>
      <c r="J43" s="3"/>
      <c r="K43" s="3"/>
      <c r="L43" s="3"/>
      <c r="M43" s="3"/>
      <c r="O43" s="3"/>
      <c r="P43" s="3"/>
      <c r="Q43" s="3"/>
      <c r="R43" s="3"/>
      <c r="S43" s="3"/>
      <c r="T43" s="3"/>
      <c r="U43" s="3"/>
      <c r="V43" s="3"/>
      <c r="Y43" s="3"/>
      <c r="AE43" s="3"/>
      <c r="AF43" s="3"/>
      <c r="AK43" s="3"/>
      <c r="AM43" s="3"/>
      <c r="AO43" s="3"/>
      <c r="AR43" s="3"/>
      <c r="AS43" s="3"/>
    </row>
    <row r="44" spans="1:45">
      <c r="A44" s="3"/>
      <c r="B44" s="3"/>
      <c r="C44" s="3"/>
      <c r="D44" s="3"/>
      <c r="E44" s="3"/>
      <c r="F44" s="4"/>
      <c r="G44" s="3"/>
      <c r="H44" s="3"/>
      <c r="I44" s="3"/>
      <c r="J44" s="3"/>
      <c r="K44" s="3"/>
      <c r="L44" s="3"/>
      <c r="M44" s="3"/>
      <c r="O44" s="3"/>
      <c r="P44" s="3"/>
      <c r="Q44" s="3"/>
      <c r="R44" s="3"/>
      <c r="S44" s="3"/>
      <c r="T44" s="3"/>
      <c r="U44" s="3"/>
      <c r="V44" s="3"/>
      <c r="Y44" s="3"/>
      <c r="AE44" s="3"/>
      <c r="AF44" s="3"/>
      <c r="AK44" s="3"/>
      <c r="AM44" s="3"/>
      <c r="AO44" s="3"/>
      <c r="AR44" s="3"/>
      <c r="AS44" s="3"/>
    </row>
    <row r="45" spans="1:45">
      <c r="A45" s="3"/>
      <c r="B45" s="3"/>
      <c r="C45" s="3"/>
      <c r="D45" s="3"/>
      <c r="E45" s="3"/>
      <c r="F45" s="4"/>
      <c r="G45" s="3"/>
      <c r="H45" s="3"/>
      <c r="I45" s="3"/>
      <c r="J45" s="3"/>
      <c r="K45" s="3"/>
      <c r="L45" s="3"/>
      <c r="M45" s="3"/>
      <c r="O45" s="3"/>
      <c r="P45" s="3"/>
      <c r="Q45" s="3"/>
      <c r="R45" s="3"/>
      <c r="S45" s="3"/>
      <c r="T45" s="3"/>
      <c r="U45" s="3"/>
      <c r="V45" s="3"/>
      <c r="Y45" s="3"/>
      <c r="AE45" s="3"/>
      <c r="AF45" s="3"/>
      <c r="AK45" s="3"/>
      <c r="AM45" s="3"/>
      <c r="AO45" s="3"/>
      <c r="AR45" s="3"/>
      <c r="AS45" s="3"/>
    </row>
    <row r="46" spans="1:45">
      <c r="A46" s="3"/>
      <c r="B46" s="3"/>
      <c r="C46" s="3"/>
      <c r="D46" s="3"/>
      <c r="E46" s="3"/>
      <c r="F46" s="4"/>
      <c r="G46" s="3"/>
      <c r="H46" s="3"/>
      <c r="I46" s="3"/>
      <c r="J46" s="3"/>
      <c r="K46" s="3"/>
      <c r="L46" s="3"/>
      <c r="M46" s="3"/>
      <c r="O46" s="3"/>
      <c r="P46" s="3"/>
      <c r="Q46" s="3"/>
      <c r="R46" s="3"/>
      <c r="S46" s="3"/>
      <c r="T46" s="3"/>
      <c r="U46" s="3"/>
      <c r="V46" s="3"/>
      <c r="Y46" s="3"/>
      <c r="AE46" s="3"/>
      <c r="AF46" s="3"/>
      <c r="AK46" s="3"/>
      <c r="AM46" s="3"/>
      <c r="AO46" s="3"/>
      <c r="AR46" s="3"/>
      <c r="AS46" s="3"/>
    </row>
    <row r="47" spans="1:45">
      <c r="A47" s="3"/>
      <c r="B47" s="3"/>
      <c r="C47" s="3"/>
      <c r="D47" s="3"/>
      <c r="E47" s="3"/>
      <c r="F47" s="4"/>
      <c r="G47" s="3"/>
      <c r="H47" s="3"/>
      <c r="I47" s="3"/>
      <c r="J47" s="3"/>
      <c r="K47" s="3"/>
      <c r="L47" s="3"/>
      <c r="M47" s="3"/>
      <c r="O47" s="3"/>
      <c r="P47" s="3"/>
      <c r="Q47" s="3"/>
      <c r="R47" s="3"/>
      <c r="S47" s="3"/>
      <c r="T47" s="3"/>
      <c r="U47" s="3"/>
      <c r="V47" s="3"/>
      <c r="Y47" s="3"/>
      <c r="AE47" s="3"/>
      <c r="AF47" s="3"/>
      <c r="AK47" s="3"/>
      <c r="AM47" s="3"/>
      <c r="AO47" s="3"/>
      <c r="AR47" s="3"/>
      <c r="AS47" s="3"/>
    </row>
    <row r="48" spans="1:45">
      <c r="A48" s="3"/>
      <c r="B48" s="3"/>
      <c r="C48" s="3"/>
      <c r="D48" s="3"/>
      <c r="E48" s="3"/>
      <c r="F48" s="4"/>
      <c r="G48" s="3"/>
      <c r="H48" s="3"/>
      <c r="I48" s="3"/>
      <c r="J48" s="3"/>
      <c r="K48" s="3"/>
      <c r="L48" s="3"/>
      <c r="M48" s="3"/>
      <c r="O48" s="3"/>
      <c r="P48" s="3"/>
      <c r="Q48" s="3"/>
      <c r="R48" s="3"/>
      <c r="S48" s="3"/>
      <c r="T48" s="3"/>
      <c r="U48" s="3"/>
      <c r="V48" s="3"/>
      <c r="Y48" s="3"/>
      <c r="AE48" s="3"/>
      <c r="AF48" s="3"/>
      <c r="AK48" s="3"/>
      <c r="AM48" s="3"/>
      <c r="AO48" s="3"/>
      <c r="AR48" s="3"/>
      <c r="AS48" s="3"/>
    </row>
    <row r="49" spans="1:45">
      <c r="A49" s="3"/>
      <c r="B49" s="3"/>
      <c r="C49" s="3"/>
      <c r="D49" s="3"/>
      <c r="E49" s="3"/>
      <c r="F49" s="4"/>
      <c r="G49" s="3"/>
      <c r="H49" s="3"/>
      <c r="I49" s="3"/>
      <c r="J49" s="3"/>
      <c r="K49" s="3"/>
      <c r="L49" s="3"/>
      <c r="M49" s="3"/>
      <c r="O49" s="3"/>
      <c r="P49" s="3"/>
      <c r="Q49" s="3"/>
      <c r="R49" s="3"/>
      <c r="S49" s="3"/>
      <c r="T49" s="3"/>
      <c r="U49" s="3"/>
      <c r="V49" s="3"/>
      <c r="Y49" s="3"/>
      <c r="AE49" s="3"/>
      <c r="AF49" s="3"/>
      <c r="AK49" s="3"/>
      <c r="AM49" s="3"/>
      <c r="AO49" s="3"/>
      <c r="AR49" s="3"/>
      <c r="AS49" s="3"/>
    </row>
    <row r="50" spans="1:45">
      <c r="A50" s="3"/>
      <c r="B50" s="3"/>
      <c r="C50" s="3"/>
      <c r="D50" s="3"/>
      <c r="E50" s="3"/>
      <c r="F50" s="4"/>
      <c r="G50" s="3"/>
      <c r="H50" s="3"/>
      <c r="I50" s="3"/>
      <c r="J50" s="3"/>
      <c r="K50" s="3"/>
      <c r="L50" s="3"/>
      <c r="M50" s="3"/>
      <c r="O50" s="3"/>
      <c r="P50" s="3"/>
      <c r="Q50" s="3"/>
      <c r="R50" s="3"/>
      <c r="S50" s="3"/>
      <c r="T50" s="3"/>
      <c r="U50" s="3"/>
      <c r="V50" s="3"/>
      <c r="Y50" s="3"/>
      <c r="AE50" s="3"/>
      <c r="AF50" s="3"/>
      <c r="AK50" s="3"/>
      <c r="AM50" s="3"/>
      <c r="AO50" s="3"/>
      <c r="AR50" s="3"/>
      <c r="AS50" s="3"/>
    </row>
    <row r="51" spans="1:45">
      <c r="A51" s="3"/>
      <c r="B51" s="3"/>
      <c r="C51" s="3"/>
      <c r="D51" s="3"/>
      <c r="E51" s="3"/>
      <c r="F51" s="4"/>
      <c r="G51" s="3"/>
      <c r="H51" s="3"/>
      <c r="I51" s="3"/>
      <c r="J51" s="3"/>
      <c r="K51" s="3"/>
      <c r="L51" s="3"/>
      <c r="M51" s="3"/>
      <c r="O51" s="3"/>
      <c r="P51" s="3"/>
      <c r="Q51" s="3"/>
      <c r="R51" s="3"/>
      <c r="S51" s="3"/>
      <c r="T51" s="3"/>
      <c r="U51" s="3"/>
      <c r="V51" s="3"/>
      <c r="Y51" s="3"/>
      <c r="AE51" s="3"/>
      <c r="AF51" s="3"/>
      <c r="AK51" s="3"/>
      <c r="AM51" s="3"/>
      <c r="AO51" s="3"/>
      <c r="AR51" s="3"/>
      <c r="AS51" s="3"/>
    </row>
    <row r="52" spans="1:45">
      <c r="A52" s="3"/>
      <c r="B52" s="3"/>
      <c r="C52" s="3"/>
      <c r="D52" s="3"/>
      <c r="E52" s="3"/>
      <c r="F52" s="4"/>
      <c r="G52" s="3"/>
      <c r="H52" s="3"/>
      <c r="I52" s="3"/>
      <c r="J52" s="3"/>
      <c r="K52" s="3"/>
      <c r="L52" s="3"/>
      <c r="M52" s="3"/>
      <c r="O52" s="3"/>
      <c r="P52" s="3"/>
      <c r="Q52" s="3"/>
      <c r="R52" s="3"/>
      <c r="S52" s="3"/>
      <c r="T52" s="3"/>
      <c r="U52" s="3"/>
      <c r="V52" s="3"/>
      <c r="Y52" s="3"/>
      <c r="AE52" s="3"/>
      <c r="AF52" s="3"/>
      <c r="AK52" s="3"/>
      <c r="AM52" s="3"/>
      <c r="AO52" s="3"/>
      <c r="AR52" s="3"/>
      <c r="AS52" s="3"/>
    </row>
    <row r="53" spans="1:45">
      <c r="A53" s="3"/>
      <c r="B53" s="3"/>
      <c r="C53" s="3"/>
      <c r="D53" s="3"/>
      <c r="E53" s="3"/>
      <c r="F53" s="4"/>
      <c r="G53" s="3"/>
      <c r="H53" s="3"/>
      <c r="I53" s="3"/>
      <c r="J53" s="3"/>
      <c r="K53" s="3"/>
      <c r="L53" s="3"/>
      <c r="M53" s="3"/>
      <c r="O53" s="3"/>
      <c r="P53" s="3"/>
      <c r="Q53" s="3"/>
      <c r="R53" s="3"/>
      <c r="S53" s="3"/>
      <c r="T53" s="3"/>
      <c r="U53" s="3"/>
      <c r="V53" s="3"/>
      <c r="Y53" s="3"/>
      <c r="AE53" s="3"/>
      <c r="AF53" s="3"/>
      <c r="AK53" s="3"/>
      <c r="AM53" s="3"/>
      <c r="AO53" s="3"/>
      <c r="AR53" s="3"/>
      <c r="AS53" s="3"/>
    </row>
    <row r="54" spans="1:45">
      <c r="A54" s="3"/>
      <c r="B54" s="3"/>
      <c r="C54" s="3"/>
      <c r="D54" s="3"/>
      <c r="E54" s="3"/>
      <c r="F54" s="4"/>
      <c r="G54" s="3"/>
      <c r="H54" s="3"/>
      <c r="I54" s="3"/>
      <c r="J54" s="3"/>
      <c r="K54" s="3"/>
      <c r="L54" s="3"/>
      <c r="M54" s="3"/>
      <c r="O54" s="3"/>
      <c r="P54" s="3"/>
      <c r="Q54" s="3"/>
      <c r="R54" s="3"/>
      <c r="S54" s="3"/>
      <c r="T54" s="3"/>
      <c r="U54" s="3"/>
      <c r="V54" s="3"/>
      <c r="Y54" s="3"/>
      <c r="AE54" s="3"/>
      <c r="AF54" s="3"/>
      <c r="AK54" s="3"/>
      <c r="AM54" s="3"/>
      <c r="AO54" s="3"/>
      <c r="AR54" s="3"/>
      <c r="AS54" s="3"/>
    </row>
    <row r="55" spans="1:45">
      <c r="A55" s="3"/>
      <c r="B55" s="3"/>
      <c r="C55" s="3"/>
      <c r="D55" s="3"/>
      <c r="E55" s="3"/>
      <c r="F55" s="4"/>
      <c r="G55" s="3"/>
      <c r="H55" s="3"/>
      <c r="I55" s="3"/>
      <c r="J55" s="3"/>
      <c r="K55" s="3"/>
      <c r="L55" s="3"/>
      <c r="M55" s="3"/>
      <c r="O55" s="3"/>
      <c r="P55" s="3"/>
      <c r="Q55" s="3"/>
      <c r="R55" s="3"/>
      <c r="S55" s="3"/>
      <c r="T55" s="3"/>
      <c r="U55" s="3"/>
      <c r="V55" s="3"/>
      <c r="Y55" s="3"/>
      <c r="AE55" s="3"/>
      <c r="AF55" s="3"/>
      <c r="AK55" s="3"/>
      <c r="AM55" s="3"/>
      <c r="AO55" s="3"/>
      <c r="AR55" s="3"/>
      <c r="AS55" s="3"/>
    </row>
    <row r="56" spans="1:45">
      <c r="A56" s="3"/>
      <c r="B56" s="3"/>
      <c r="C56" s="3"/>
      <c r="D56" s="3"/>
      <c r="E56" s="3"/>
      <c r="F56" s="4"/>
      <c r="G56" s="3"/>
      <c r="H56" s="3"/>
      <c r="I56" s="3"/>
      <c r="J56" s="3"/>
      <c r="K56" s="3"/>
      <c r="L56" s="3"/>
      <c r="M56" s="3"/>
      <c r="O56" s="3"/>
      <c r="P56" s="3"/>
      <c r="Q56" s="3"/>
      <c r="R56" s="3"/>
      <c r="S56" s="3"/>
      <c r="T56" s="3"/>
      <c r="U56" s="3"/>
      <c r="V56" s="3"/>
      <c r="Y56" s="3"/>
      <c r="AE56" s="3"/>
      <c r="AF56" s="3"/>
      <c r="AK56" s="3"/>
      <c r="AM56" s="3"/>
      <c r="AO56" s="3"/>
      <c r="AR56" s="3"/>
      <c r="AS56" s="3"/>
    </row>
    <row r="57" spans="1:45">
      <c r="A57" s="3"/>
      <c r="B57" s="3"/>
      <c r="C57" s="3"/>
      <c r="D57" s="3"/>
      <c r="E57" s="3"/>
      <c r="F57" s="4"/>
      <c r="G57" s="3"/>
      <c r="H57" s="3"/>
      <c r="I57" s="3"/>
      <c r="J57" s="3"/>
      <c r="K57" s="3"/>
      <c r="L57" s="3"/>
      <c r="M57" s="3"/>
      <c r="O57" s="3"/>
      <c r="P57" s="3"/>
      <c r="Q57" s="3"/>
      <c r="R57" s="3"/>
      <c r="S57" s="3"/>
      <c r="T57" s="3"/>
      <c r="U57" s="3"/>
      <c r="V57" s="3"/>
      <c r="Y57" s="3"/>
      <c r="AE57" s="3"/>
      <c r="AF57" s="3"/>
      <c r="AK57" s="3"/>
      <c r="AM57" s="3"/>
      <c r="AO57" s="3"/>
      <c r="AR57" s="3"/>
      <c r="AS57" s="3"/>
    </row>
    <row r="58" spans="1:45">
      <c r="A58" s="3"/>
      <c r="B58" s="3"/>
      <c r="C58" s="3"/>
      <c r="D58" s="3"/>
      <c r="E58" s="3"/>
      <c r="F58" s="4"/>
      <c r="G58" s="3"/>
      <c r="H58" s="3"/>
      <c r="I58" s="3"/>
      <c r="J58" s="3"/>
      <c r="K58" s="3"/>
      <c r="L58" s="3"/>
      <c r="M58" s="3"/>
      <c r="O58" s="3"/>
      <c r="P58" s="3"/>
      <c r="Q58" s="3"/>
      <c r="R58" s="3"/>
      <c r="S58" s="3"/>
      <c r="T58" s="3"/>
      <c r="U58" s="3"/>
      <c r="V58" s="3"/>
      <c r="Y58" s="3"/>
      <c r="AE58" s="3"/>
      <c r="AF58" s="3"/>
      <c r="AK58" s="3"/>
      <c r="AM58" s="3"/>
      <c r="AO58" s="3"/>
      <c r="AR58" s="3"/>
      <c r="AS58" s="3"/>
    </row>
    <row r="59" spans="1:45">
      <c r="A59" s="3"/>
      <c r="B59" s="3"/>
      <c r="C59" s="3"/>
      <c r="D59" s="3"/>
      <c r="E59" s="3"/>
      <c r="F59" s="4"/>
      <c r="G59" s="3"/>
      <c r="H59" s="3"/>
      <c r="I59" s="3"/>
      <c r="J59" s="3"/>
      <c r="K59" s="3"/>
      <c r="L59" s="3"/>
      <c r="M59" s="3"/>
      <c r="O59" s="3"/>
      <c r="P59" s="3"/>
      <c r="Q59" s="3"/>
      <c r="R59" s="3"/>
      <c r="S59" s="3"/>
      <c r="T59" s="3"/>
      <c r="U59" s="3"/>
      <c r="V59" s="3"/>
      <c r="Y59" s="3"/>
      <c r="AE59" s="3"/>
      <c r="AF59" s="3"/>
      <c r="AK59" s="3"/>
      <c r="AM59" s="3"/>
      <c r="AO59" s="3"/>
      <c r="AR59" s="3"/>
      <c r="AS59" s="3"/>
    </row>
    <row r="60" spans="1:45">
      <c r="A60" s="3"/>
      <c r="B60" s="3"/>
      <c r="C60" s="3"/>
      <c r="D60" s="3"/>
      <c r="E60" s="3"/>
      <c r="F60" s="4"/>
      <c r="G60" s="3"/>
      <c r="H60" s="3"/>
      <c r="I60" s="3"/>
      <c r="J60" s="3"/>
      <c r="K60" s="3"/>
      <c r="L60" s="3"/>
      <c r="M60" s="3"/>
      <c r="O60" s="3"/>
      <c r="P60" s="3"/>
      <c r="Q60" s="3"/>
      <c r="R60" s="3"/>
      <c r="S60" s="3"/>
      <c r="T60" s="3"/>
      <c r="U60" s="3"/>
      <c r="V60" s="3"/>
      <c r="Y60" s="3"/>
      <c r="AE60" s="3"/>
      <c r="AF60" s="3"/>
      <c r="AK60" s="3"/>
      <c r="AM60" s="3"/>
      <c r="AO60" s="3"/>
      <c r="AR60" s="3"/>
      <c r="AS60" s="3"/>
    </row>
    <row r="61" spans="1:45">
      <c r="A61" s="3"/>
      <c r="B61" s="3"/>
      <c r="C61" s="3"/>
      <c r="D61" s="3"/>
      <c r="E61" s="3"/>
      <c r="F61" s="4"/>
      <c r="G61" s="3"/>
      <c r="H61" s="3"/>
      <c r="I61" s="3"/>
      <c r="J61" s="3"/>
      <c r="K61" s="3"/>
      <c r="L61" s="3"/>
      <c r="M61" s="3"/>
      <c r="O61" s="3"/>
      <c r="P61" s="3"/>
      <c r="Q61" s="3"/>
      <c r="R61" s="3"/>
      <c r="S61" s="3"/>
      <c r="T61" s="3"/>
      <c r="U61" s="3"/>
      <c r="V61" s="3"/>
      <c r="Y61" s="3"/>
      <c r="AE61" s="3"/>
      <c r="AF61" s="3"/>
      <c r="AK61" s="3"/>
      <c r="AM61" s="3"/>
      <c r="AO61" s="3"/>
      <c r="AR61" s="3"/>
      <c r="AS61" s="3"/>
    </row>
    <row r="62" spans="1:45">
      <c r="A62" s="3"/>
      <c r="B62" s="3"/>
      <c r="C62" s="3"/>
      <c r="D62" s="3"/>
      <c r="E62" s="3"/>
      <c r="F62" s="4"/>
      <c r="G62" s="3"/>
      <c r="H62" s="3"/>
      <c r="I62" s="3"/>
      <c r="J62" s="3"/>
      <c r="K62" s="3"/>
      <c r="L62" s="3"/>
      <c r="M62" s="3"/>
      <c r="O62" s="3"/>
      <c r="P62" s="3"/>
      <c r="Q62" s="3"/>
      <c r="R62" s="3"/>
      <c r="S62" s="3"/>
      <c r="T62" s="3"/>
      <c r="U62" s="3"/>
      <c r="V62" s="3"/>
      <c r="Y62" s="3"/>
      <c r="AE62" s="3"/>
      <c r="AF62" s="3"/>
      <c r="AK62" s="3"/>
      <c r="AM62" s="3"/>
      <c r="AO62" s="3"/>
      <c r="AR62" s="3"/>
      <c r="AS62" s="3"/>
    </row>
    <row r="63" spans="1:45">
      <c r="A63" s="3"/>
      <c r="B63" s="3"/>
      <c r="C63" s="3"/>
      <c r="D63" s="3"/>
      <c r="E63" s="3"/>
      <c r="F63" s="4"/>
      <c r="G63" s="3"/>
      <c r="H63" s="3"/>
      <c r="I63" s="3"/>
      <c r="J63" s="3"/>
      <c r="K63" s="3"/>
      <c r="L63" s="3"/>
      <c r="M63" s="3"/>
      <c r="O63" s="3"/>
      <c r="P63" s="3"/>
      <c r="Q63" s="3"/>
      <c r="R63" s="3"/>
      <c r="S63" s="3"/>
      <c r="T63" s="3"/>
      <c r="U63" s="3"/>
      <c r="V63" s="3"/>
      <c r="Y63" s="3"/>
      <c r="AE63" s="3"/>
      <c r="AF63" s="3"/>
      <c r="AK63" s="3"/>
      <c r="AM63" s="3"/>
      <c r="AO63" s="3"/>
      <c r="AR63" s="3"/>
      <c r="AS63" s="3"/>
    </row>
    <row r="64" spans="1:45">
      <c r="A64" s="3"/>
      <c r="B64" s="3"/>
      <c r="C64" s="3"/>
      <c r="D64" s="3"/>
      <c r="E64" s="3"/>
      <c r="F64" s="4"/>
      <c r="G64" s="3"/>
      <c r="H64" s="3"/>
      <c r="I64" s="3"/>
      <c r="J64" s="3"/>
      <c r="K64" s="3"/>
      <c r="L64" s="3"/>
      <c r="M64" s="3"/>
      <c r="O64" s="3"/>
      <c r="P64" s="3"/>
      <c r="Q64" s="3"/>
      <c r="R64" s="3"/>
      <c r="S64" s="3"/>
      <c r="T64" s="3"/>
      <c r="U64" s="3"/>
      <c r="V64" s="3"/>
      <c r="Y64" s="3"/>
      <c r="AE64" s="3"/>
      <c r="AF64" s="3"/>
      <c r="AK64" s="3"/>
      <c r="AM64" s="3"/>
      <c r="AO64" s="3"/>
      <c r="AR64" s="3"/>
      <c r="AS64" s="3"/>
    </row>
    <row r="65" spans="1:45">
      <c r="A65" s="3"/>
      <c r="B65" s="3"/>
      <c r="C65" s="3"/>
      <c r="D65" s="3"/>
      <c r="E65" s="3"/>
      <c r="F65" s="4"/>
      <c r="G65" s="3"/>
      <c r="H65" s="3"/>
      <c r="I65" s="3"/>
      <c r="J65" s="3"/>
      <c r="K65" s="3"/>
      <c r="L65" s="3"/>
      <c r="M65" s="3"/>
      <c r="O65" s="3"/>
      <c r="P65" s="3"/>
      <c r="Q65" s="3"/>
      <c r="R65" s="3"/>
      <c r="S65" s="3"/>
      <c r="T65" s="3"/>
      <c r="U65" s="3"/>
      <c r="V65" s="3"/>
      <c r="Y65" s="3"/>
      <c r="AE65" s="3"/>
      <c r="AF65" s="3"/>
      <c r="AK65" s="3"/>
      <c r="AM65" s="3"/>
      <c r="AO65" s="3"/>
      <c r="AR65" s="3"/>
      <c r="AS65" s="3"/>
    </row>
    <row r="66" spans="1:45">
      <c r="A66" s="3"/>
      <c r="B66" s="3"/>
      <c r="C66" s="3"/>
      <c r="D66" s="3"/>
      <c r="E66" s="3"/>
      <c r="F66" s="4"/>
      <c r="G66" s="3"/>
      <c r="H66" s="3"/>
      <c r="I66" s="3"/>
      <c r="J66" s="3"/>
      <c r="K66" s="3"/>
      <c r="L66" s="3"/>
      <c r="M66" s="3"/>
      <c r="O66" s="3"/>
      <c r="P66" s="3"/>
      <c r="Q66" s="3"/>
      <c r="R66" s="3"/>
      <c r="S66" s="3"/>
      <c r="T66" s="3"/>
      <c r="U66" s="3"/>
      <c r="V66" s="3"/>
      <c r="Y66" s="3"/>
      <c r="AE66" s="3"/>
      <c r="AF66" s="3"/>
      <c r="AK66" s="3"/>
      <c r="AM66" s="3"/>
      <c r="AO66" s="3"/>
      <c r="AR66" s="3"/>
      <c r="AS66" s="3"/>
    </row>
    <row r="67" spans="1:45">
      <c r="A67" s="3"/>
      <c r="B67" s="3"/>
      <c r="C67" s="3"/>
      <c r="D67" s="3"/>
      <c r="E67" s="3"/>
      <c r="F67" s="4"/>
      <c r="G67" s="3"/>
      <c r="H67" s="3"/>
      <c r="I67" s="3"/>
      <c r="J67" s="3"/>
      <c r="K67" s="3"/>
      <c r="L67" s="3"/>
      <c r="M67" s="3"/>
      <c r="O67" s="3"/>
      <c r="P67" s="3"/>
      <c r="Q67" s="3"/>
      <c r="R67" s="3"/>
      <c r="S67" s="3"/>
      <c r="T67" s="3"/>
      <c r="U67" s="3"/>
      <c r="V67" s="3"/>
      <c r="Y67" s="3"/>
      <c r="AE67" s="3"/>
      <c r="AF67" s="3"/>
      <c r="AK67" s="3"/>
      <c r="AM67" s="3"/>
      <c r="AO67" s="3"/>
      <c r="AR67" s="3"/>
      <c r="AS67" s="3"/>
    </row>
    <row r="68" spans="1:45">
      <c r="A68" s="3"/>
      <c r="B68" s="3"/>
      <c r="C68" s="3"/>
      <c r="D68" s="3"/>
      <c r="E68" s="3"/>
      <c r="F68" s="4"/>
      <c r="G68" s="3"/>
      <c r="H68" s="3"/>
      <c r="I68" s="3"/>
      <c r="J68" s="3"/>
      <c r="K68" s="3"/>
      <c r="L68" s="3"/>
      <c r="M68" s="3"/>
      <c r="O68" s="3"/>
      <c r="P68" s="3"/>
      <c r="Q68" s="3"/>
      <c r="R68" s="3"/>
      <c r="S68" s="3"/>
      <c r="T68" s="3"/>
      <c r="U68" s="3"/>
      <c r="V68" s="3"/>
      <c r="Y68" s="3"/>
      <c r="AE68" s="3"/>
      <c r="AF68" s="3"/>
      <c r="AK68" s="3"/>
      <c r="AM68" s="3"/>
      <c r="AO68" s="3"/>
      <c r="AR68" s="3"/>
      <c r="AS68" s="3"/>
    </row>
    <row r="69" spans="1:45">
      <c r="A69" s="3"/>
      <c r="B69" s="3"/>
      <c r="C69" s="3"/>
      <c r="D69" s="3"/>
      <c r="E69" s="3"/>
      <c r="F69" s="4"/>
      <c r="G69" s="3"/>
      <c r="H69" s="3"/>
      <c r="I69" s="3"/>
      <c r="J69" s="3"/>
      <c r="K69" s="3"/>
      <c r="L69" s="3"/>
      <c r="M69" s="3"/>
      <c r="O69" s="3"/>
      <c r="P69" s="3"/>
      <c r="Q69" s="3"/>
      <c r="R69" s="3"/>
      <c r="S69" s="3"/>
      <c r="T69" s="3"/>
      <c r="U69" s="3"/>
      <c r="V69" s="3"/>
      <c r="Y69" s="3"/>
      <c r="AE69" s="3"/>
      <c r="AF69" s="3"/>
      <c r="AK69" s="3"/>
      <c r="AM69" s="3"/>
      <c r="AO69" s="3"/>
      <c r="AR69" s="3"/>
      <c r="AS69" s="3"/>
    </row>
    <row r="70" spans="1:45">
      <c r="A70" s="3"/>
      <c r="B70" s="3"/>
      <c r="C70" s="3"/>
      <c r="D70" s="3"/>
      <c r="E70" s="3"/>
      <c r="F70" s="4"/>
      <c r="G70" s="3"/>
      <c r="H70" s="3"/>
      <c r="I70" s="3"/>
      <c r="J70" s="3"/>
      <c r="K70" s="3"/>
      <c r="L70" s="3"/>
      <c r="M70" s="3"/>
      <c r="O70" s="3"/>
      <c r="P70" s="3"/>
      <c r="Q70" s="3"/>
      <c r="R70" s="3"/>
      <c r="S70" s="3"/>
      <c r="T70" s="3"/>
      <c r="U70" s="3"/>
      <c r="V70" s="3"/>
      <c r="Y70" s="3"/>
      <c r="AE70" s="3"/>
      <c r="AF70" s="3"/>
      <c r="AK70" s="3"/>
      <c r="AM70" s="3"/>
      <c r="AO70" s="3"/>
      <c r="AR70" s="3"/>
      <c r="AS70" s="3"/>
    </row>
    <row r="71" spans="1:45">
      <c r="A71" s="3"/>
      <c r="B71" s="3"/>
      <c r="C71" s="3"/>
      <c r="D71" s="3"/>
      <c r="E71" s="3"/>
      <c r="F71" s="4"/>
      <c r="G71" s="3"/>
      <c r="H71" s="3"/>
      <c r="I71" s="3"/>
      <c r="J71" s="3"/>
      <c r="K71" s="3"/>
      <c r="L71" s="3"/>
      <c r="M71" s="3"/>
      <c r="O71" s="3"/>
      <c r="P71" s="3"/>
      <c r="Q71" s="3"/>
      <c r="R71" s="3"/>
      <c r="S71" s="3"/>
      <c r="T71" s="3"/>
      <c r="U71" s="3"/>
      <c r="V71" s="3"/>
      <c r="Y71" s="3"/>
      <c r="AE71" s="3"/>
      <c r="AF71" s="3"/>
      <c r="AK71" s="3"/>
      <c r="AM71" s="3"/>
      <c r="AO71" s="3"/>
      <c r="AR71" s="3"/>
      <c r="AS71" s="3"/>
    </row>
    <row r="72" spans="1:45">
      <c r="A72" s="3"/>
      <c r="B72" s="3"/>
      <c r="C72" s="3"/>
      <c r="D72" s="3"/>
      <c r="E72" s="3"/>
      <c r="F72" s="4"/>
      <c r="G72" s="3"/>
      <c r="H72" s="3"/>
      <c r="I72" s="3"/>
      <c r="J72" s="3"/>
      <c r="K72" s="3"/>
      <c r="L72" s="3"/>
      <c r="M72" s="3"/>
      <c r="O72" s="3"/>
      <c r="P72" s="3"/>
      <c r="Q72" s="3"/>
      <c r="R72" s="3"/>
      <c r="S72" s="3"/>
      <c r="T72" s="3"/>
      <c r="U72" s="3"/>
      <c r="V72" s="3"/>
      <c r="Y72" s="3"/>
      <c r="AE72" s="3"/>
      <c r="AF72" s="3"/>
      <c r="AK72" s="3"/>
      <c r="AM72" s="3"/>
      <c r="AO72" s="3"/>
      <c r="AR72" s="3"/>
      <c r="AS72" s="3"/>
    </row>
    <row r="73" spans="1:45">
      <c r="A73" s="3"/>
      <c r="B73" s="3"/>
      <c r="C73" s="3"/>
      <c r="D73" s="3"/>
      <c r="E73" s="3"/>
      <c r="F73" s="4"/>
      <c r="G73" s="3"/>
      <c r="H73" s="3"/>
      <c r="I73" s="3"/>
      <c r="J73" s="3"/>
      <c r="K73" s="3"/>
      <c r="L73" s="3"/>
      <c r="M73" s="3"/>
      <c r="O73" s="3"/>
      <c r="P73" s="3"/>
      <c r="Q73" s="3"/>
      <c r="R73" s="3"/>
      <c r="S73" s="3"/>
      <c r="T73" s="3"/>
      <c r="U73" s="3"/>
      <c r="V73" s="3"/>
      <c r="Y73" s="3"/>
      <c r="AE73" s="3"/>
      <c r="AF73" s="3"/>
      <c r="AK73" s="3"/>
      <c r="AM73" s="3"/>
      <c r="AO73" s="3"/>
      <c r="AR73" s="3"/>
      <c r="AS73" s="3"/>
    </row>
    <row r="74" spans="1:45">
      <c r="A74" s="3"/>
      <c r="B74" s="3"/>
      <c r="C74" s="3"/>
      <c r="D74" s="3"/>
      <c r="E74" s="3"/>
      <c r="F74" s="4"/>
      <c r="G74" s="3"/>
      <c r="H74" s="3"/>
      <c r="I74" s="3"/>
      <c r="J74" s="3"/>
      <c r="K74" s="3"/>
      <c r="L74" s="3"/>
      <c r="M74" s="3"/>
      <c r="O74" s="3"/>
      <c r="P74" s="3"/>
      <c r="Q74" s="3"/>
      <c r="R74" s="3"/>
      <c r="S74" s="3"/>
      <c r="T74" s="3"/>
      <c r="U74" s="3"/>
      <c r="V74" s="3"/>
      <c r="Y74" s="3"/>
      <c r="AE74" s="3"/>
      <c r="AF74" s="3"/>
      <c r="AK74" s="3"/>
      <c r="AM74" s="3"/>
      <c r="AO74" s="3"/>
      <c r="AR74" s="3"/>
      <c r="AS74" s="3"/>
    </row>
    <row r="75" spans="1:45">
      <c r="A75" s="3"/>
      <c r="B75" s="3"/>
      <c r="C75" s="3"/>
      <c r="D75" s="3"/>
      <c r="E75" s="3"/>
      <c r="F75" s="4"/>
      <c r="G75" s="3"/>
      <c r="H75" s="3"/>
      <c r="I75" s="3"/>
      <c r="J75" s="3"/>
      <c r="K75" s="3"/>
      <c r="L75" s="3"/>
      <c r="M75" s="3"/>
      <c r="O75" s="3"/>
      <c r="P75" s="3"/>
      <c r="Q75" s="3"/>
      <c r="R75" s="3"/>
      <c r="S75" s="3"/>
      <c r="T75" s="3"/>
      <c r="U75" s="3"/>
      <c r="V75" s="3"/>
      <c r="Y75" s="3"/>
      <c r="AE75" s="3"/>
      <c r="AF75" s="3"/>
      <c r="AK75" s="3"/>
      <c r="AM75" s="3"/>
      <c r="AO75" s="3"/>
      <c r="AR75" s="3"/>
      <c r="AS75" s="3"/>
    </row>
    <row r="76" spans="1:45">
      <c r="A76" s="3"/>
      <c r="B76" s="3"/>
      <c r="C76" s="3"/>
      <c r="D76" s="3"/>
      <c r="E76" s="3"/>
      <c r="F76" s="4"/>
      <c r="G76" s="3"/>
      <c r="H76" s="3"/>
      <c r="I76" s="3"/>
      <c r="J76" s="3"/>
      <c r="K76" s="3"/>
      <c r="L76" s="3"/>
      <c r="M76" s="3"/>
      <c r="O76" s="3"/>
      <c r="P76" s="3"/>
      <c r="Q76" s="3"/>
      <c r="R76" s="3"/>
      <c r="S76" s="3"/>
      <c r="T76" s="3"/>
      <c r="U76" s="3"/>
      <c r="V76" s="3"/>
      <c r="Y76" s="3"/>
      <c r="AE76" s="3"/>
      <c r="AF76" s="3"/>
      <c r="AK76" s="3"/>
      <c r="AM76" s="3"/>
      <c r="AO76" s="3"/>
      <c r="AR76" s="3"/>
      <c r="AS76" s="3"/>
    </row>
    <row r="77" spans="1:45">
      <c r="A77" s="3"/>
      <c r="B77" s="3"/>
      <c r="C77" s="3"/>
      <c r="D77" s="3"/>
      <c r="E77" s="3"/>
      <c r="F77" s="4"/>
      <c r="G77" s="3"/>
      <c r="H77" s="3"/>
      <c r="I77" s="3"/>
      <c r="J77" s="3"/>
      <c r="K77" s="3"/>
      <c r="L77" s="3"/>
      <c r="M77" s="3"/>
      <c r="O77" s="3"/>
      <c r="P77" s="3"/>
      <c r="Q77" s="3"/>
      <c r="R77" s="3"/>
      <c r="S77" s="3"/>
      <c r="T77" s="3"/>
      <c r="U77" s="3"/>
      <c r="V77" s="3"/>
      <c r="Y77" s="3"/>
      <c r="AE77" s="3"/>
      <c r="AF77" s="3"/>
      <c r="AK77" s="3"/>
      <c r="AM77" s="3"/>
      <c r="AO77" s="3"/>
      <c r="AR77" s="3"/>
      <c r="AS77" s="3"/>
    </row>
    <row r="78" spans="1:45">
      <c r="A78" s="3"/>
      <c r="B78" s="3"/>
      <c r="C78" s="3"/>
      <c r="D78" s="3"/>
      <c r="E78" s="3"/>
      <c r="F78" s="4"/>
      <c r="G78" s="3"/>
      <c r="H78" s="3"/>
      <c r="I78" s="3"/>
      <c r="J78" s="3"/>
      <c r="K78" s="3"/>
      <c r="L78" s="3"/>
      <c r="M78" s="3"/>
      <c r="O78" s="3"/>
      <c r="P78" s="3"/>
      <c r="Q78" s="3"/>
      <c r="R78" s="3"/>
      <c r="S78" s="3"/>
      <c r="T78" s="3"/>
      <c r="U78" s="3"/>
      <c r="V78" s="3"/>
      <c r="Y78" s="3"/>
      <c r="AE78" s="3"/>
      <c r="AF78" s="3"/>
      <c r="AK78" s="3"/>
      <c r="AM78" s="3"/>
      <c r="AO78" s="3"/>
      <c r="AR78" s="3"/>
      <c r="AS78" s="3"/>
    </row>
    <row r="79" spans="1:45">
      <c r="A79" s="3"/>
      <c r="B79" s="3"/>
      <c r="C79" s="3"/>
      <c r="D79" s="3"/>
      <c r="E79" s="3"/>
      <c r="F79" s="4"/>
      <c r="G79" s="3"/>
      <c r="H79" s="3"/>
      <c r="I79" s="3"/>
      <c r="J79" s="3"/>
      <c r="K79" s="3"/>
      <c r="L79" s="3"/>
      <c r="M79" s="3"/>
      <c r="O79" s="3"/>
      <c r="P79" s="3"/>
      <c r="Q79" s="3"/>
      <c r="R79" s="3"/>
      <c r="S79" s="3"/>
      <c r="T79" s="3"/>
      <c r="U79" s="3"/>
      <c r="V79" s="3"/>
      <c r="Y79" s="3"/>
      <c r="AE79" s="3"/>
      <c r="AF79" s="3"/>
      <c r="AK79" s="3"/>
      <c r="AM79" s="3"/>
      <c r="AO79" s="3"/>
      <c r="AR79" s="3"/>
      <c r="AS79" s="3"/>
    </row>
    <row r="80" spans="1:45">
      <c r="A80" s="3"/>
      <c r="B80" s="3"/>
      <c r="C80" s="3"/>
      <c r="D80" s="3"/>
      <c r="E80" s="3"/>
      <c r="F80" s="4"/>
      <c r="G80" s="3"/>
      <c r="H80" s="3"/>
      <c r="I80" s="3"/>
      <c r="J80" s="3"/>
      <c r="K80" s="3"/>
      <c r="L80" s="3"/>
      <c r="M80" s="3"/>
      <c r="O80" s="3"/>
      <c r="P80" s="3"/>
      <c r="Q80" s="3"/>
      <c r="R80" s="3"/>
      <c r="S80" s="3"/>
      <c r="T80" s="3"/>
      <c r="U80" s="3"/>
      <c r="V80" s="3"/>
      <c r="Y80" s="3"/>
      <c r="AE80" s="3"/>
      <c r="AF80" s="3"/>
      <c r="AK80" s="3"/>
      <c r="AM80" s="3"/>
      <c r="AO80" s="3"/>
      <c r="AR80" s="3"/>
      <c r="AS80" s="3"/>
    </row>
    <row r="81" spans="1:45">
      <c r="A81" s="3"/>
      <c r="B81" s="3"/>
      <c r="C81" s="3"/>
      <c r="D81" s="3"/>
      <c r="E81" s="3"/>
      <c r="F81" s="4"/>
      <c r="G81" s="3"/>
      <c r="H81" s="3"/>
      <c r="I81" s="3"/>
      <c r="J81" s="3"/>
      <c r="K81" s="3"/>
      <c r="L81" s="3"/>
      <c r="M81" s="3"/>
      <c r="O81" s="3"/>
      <c r="P81" s="3"/>
      <c r="Q81" s="3"/>
      <c r="R81" s="3"/>
      <c r="S81" s="3"/>
      <c r="T81" s="3"/>
      <c r="U81" s="3"/>
      <c r="V81" s="3"/>
      <c r="Y81" s="3"/>
      <c r="AE81" s="3"/>
      <c r="AF81" s="3"/>
      <c r="AK81" s="3"/>
      <c r="AM81" s="3"/>
      <c r="AO81" s="3"/>
      <c r="AR81" s="3"/>
      <c r="AS81" s="3"/>
    </row>
    <row r="82" spans="1:45">
      <c r="A82" s="3"/>
      <c r="B82" s="3"/>
      <c r="C82" s="3"/>
      <c r="D82" s="3"/>
      <c r="E82" s="3"/>
      <c r="F82" s="4"/>
      <c r="G82" s="3"/>
      <c r="H82" s="3"/>
      <c r="I82" s="3"/>
      <c r="J82" s="3"/>
      <c r="K82" s="3"/>
      <c r="L82" s="3"/>
      <c r="M82" s="3"/>
      <c r="O82" s="3"/>
      <c r="P82" s="3"/>
      <c r="Q82" s="3"/>
      <c r="R82" s="3"/>
      <c r="S82" s="3"/>
      <c r="T82" s="3"/>
      <c r="U82" s="3"/>
      <c r="V82" s="3"/>
      <c r="Y82" s="3"/>
      <c r="AE82" s="3"/>
      <c r="AF82" s="3"/>
      <c r="AK82" s="3"/>
      <c r="AM82" s="3"/>
      <c r="AO82" s="3"/>
      <c r="AR82" s="3"/>
      <c r="AS82" s="3"/>
    </row>
    <row r="83" spans="1:45">
      <c r="A83" s="3"/>
      <c r="B83" s="3"/>
      <c r="C83" s="3"/>
      <c r="D83" s="3"/>
      <c r="E83" s="3"/>
      <c r="F83" s="4"/>
      <c r="G83" s="3"/>
      <c r="H83" s="3"/>
      <c r="I83" s="3"/>
      <c r="J83" s="3"/>
      <c r="K83" s="3"/>
      <c r="L83" s="3"/>
      <c r="M83" s="3"/>
      <c r="O83" s="3"/>
      <c r="P83" s="3"/>
      <c r="Q83" s="3"/>
      <c r="R83" s="3"/>
      <c r="S83" s="3"/>
      <c r="T83" s="3"/>
      <c r="U83" s="3"/>
      <c r="V83" s="3"/>
      <c r="Y83" s="3"/>
      <c r="AE83" s="3"/>
      <c r="AF83" s="3"/>
      <c r="AK83" s="3"/>
      <c r="AM83" s="3"/>
      <c r="AO83" s="3"/>
      <c r="AR83" s="3"/>
      <c r="AS83" s="3"/>
    </row>
    <row r="84" spans="1:45">
      <c r="A84" s="3"/>
      <c r="B84" s="3"/>
      <c r="C84" s="3"/>
      <c r="D84" s="3"/>
      <c r="E84" s="3"/>
      <c r="F84" s="4"/>
      <c r="G84" s="3"/>
      <c r="H84" s="3"/>
      <c r="I84" s="3"/>
      <c r="J84" s="3"/>
      <c r="K84" s="3"/>
      <c r="L84" s="3"/>
      <c r="M84" s="3"/>
      <c r="O84" s="3"/>
      <c r="P84" s="3"/>
      <c r="Q84" s="3"/>
      <c r="R84" s="3"/>
      <c r="S84" s="3"/>
      <c r="T84" s="3"/>
      <c r="U84" s="3"/>
      <c r="V84" s="3"/>
      <c r="Y84" s="3"/>
      <c r="AE84" s="3"/>
      <c r="AF84" s="3"/>
      <c r="AK84" s="3"/>
      <c r="AM84" s="3"/>
      <c r="AO84" s="3"/>
      <c r="AR84" s="3"/>
      <c r="AS84" s="3"/>
    </row>
    <row r="85" spans="1:45">
      <c r="A85" s="3"/>
      <c r="B85" s="3"/>
      <c r="C85" s="3"/>
      <c r="D85" s="3"/>
      <c r="E85" s="3"/>
      <c r="F85" s="4"/>
      <c r="G85" s="3"/>
      <c r="H85" s="3"/>
      <c r="I85" s="3"/>
      <c r="J85" s="3"/>
      <c r="K85" s="3"/>
      <c r="L85" s="3"/>
      <c r="M85" s="3"/>
      <c r="O85" s="3"/>
      <c r="P85" s="3"/>
      <c r="Q85" s="3"/>
      <c r="R85" s="3"/>
      <c r="S85" s="3"/>
      <c r="T85" s="3"/>
      <c r="U85" s="3"/>
      <c r="V85" s="3"/>
      <c r="Y85" s="3"/>
      <c r="AE85" s="3"/>
      <c r="AF85" s="3"/>
      <c r="AK85" s="3"/>
      <c r="AM85" s="3"/>
      <c r="AO85" s="3"/>
      <c r="AR85" s="3"/>
      <c r="AS85" s="3"/>
    </row>
    <row r="86" spans="1:45">
      <c r="A86" s="3"/>
      <c r="B86" s="3"/>
      <c r="C86" s="3"/>
      <c r="D86" s="3"/>
      <c r="E86" s="3"/>
      <c r="F86" s="4"/>
      <c r="G86" s="3"/>
      <c r="H86" s="3"/>
      <c r="I86" s="3"/>
      <c r="J86" s="3"/>
      <c r="K86" s="3"/>
      <c r="L86" s="3"/>
      <c r="M86" s="3"/>
      <c r="O86" s="3"/>
      <c r="P86" s="3"/>
      <c r="Q86" s="3"/>
      <c r="R86" s="3"/>
      <c r="S86" s="3"/>
      <c r="T86" s="3"/>
      <c r="U86" s="3"/>
      <c r="V86" s="3"/>
      <c r="Y86" s="3"/>
      <c r="AE86" s="3"/>
      <c r="AF86" s="3"/>
      <c r="AK86" s="3"/>
      <c r="AM86" s="3"/>
      <c r="AO86" s="3"/>
      <c r="AR86" s="3"/>
      <c r="AS86" s="3"/>
    </row>
    <row r="87" spans="1:45">
      <c r="A87" s="3"/>
      <c r="B87" s="3"/>
      <c r="C87" s="3"/>
      <c r="D87" s="3"/>
      <c r="E87" s="3"/>
      <c r="F87" s="4"/>
      <c r="G87" s="3"/>
      <c r="H87" s="3"/>
      <c r="I87" s="3"/>
      <c r="J87" s="3"/>
      <c r="K87" s="3"/>
      <c r="L87" s="3"/>
      <c r="M87" s="3"/>
      <c r="O87" s="3"/>
      <c r="P87" s="3"/>
      <c r="Q87" s="3"/>
      <c r="R87" s="3"/>
      <c r="S87" s="3"/>
      <c r="T87" s="3"/>
      <c r="U87" s="3"/>
      <c r="V87" s="3"/>
      <c r="Y87" s="3"/>
      <c r="AE87" s="3"/>
      <c r="AF87" s="3"/>
      <c r="AK87" s="3"/>
      <c r="AM87" s="3"/>
      <c r="AO87" s="3"/>
      <c r="AR87" s="3"/>
      <c r="AS87" s="3"/>
    </row>
    <row r="88" spans="1:45">
      <c r="A88" s="3"/>
      <c r="B88" s="3"/>
      <c r="C88" s="3"/>
      <c r="D88" s="3"/>
      <c r="E88" s="3"/>
      <c r="F88" s="4"/>
      <c r="G88" s="3"/>
      <c r="H88" s="3"/>
      <c r="I88" s="3"/>
      <c r="J88" s="3"/>
      <c r="K88" s="3"/>
      <c r="L88" s="3"/>
      <c r="M88" s="3"/>
      <c r="O88" s="3"/>
      <c r="P88" s="3"/>
      <c r="Q88" s="3"/>
      <c r="R88" s="3"/>
      <c r="S88" s="3"/>
      <c r="T88" s="3"/>
      <c r="U88" s="3"/>
      <c r="V88" s="3"/>
      <c r="Y88" s="3"/>
      <c r="AE88" s="3"/>
      <c r="AF88" s="3"/>
      <c r="AK88" s="3"/>
      <c r="AM88" s="3"/>
      <c r="AO88" s="3"/>
      <c r="AR88" s="3"/>
      <c r="AS88" s="3"/>
    </row>
    <row r="89" spans="1:45">
      <c r="A89" s="3"/>
      <c r="B89" s="3"/>
      <c r="C89" s="3"/>
      <c r="D89" s="3"/>
      <c r="E89" s="3"/>
      <c r="F89" s="4"/>
      <c r="G89" s="3"/>
      <c r="H89" s="3"/>
      <c r="I89" s="3"/>
      <c r="J89" s="3"/>
      <c r="K89" s="3"/>
      <c r="L89" s="3"/>
      <c r="M89" s="3"/>
      <c r="O89" s="3"/>
      <c r="P89" s="3"/>
      <c r="Q89" s="3"/>
      <c r="R89" s="3"/>
      <c r="S89" s="3"/>
      <c r="T89" s="3"/>
      <c r="U89" s="3"/>
      <c r="V89" s="3"/>
      <c r="Y89" s="3"/>
      <c r="AE89" s="3"/>
      <c r="AF89" s="3"/>
      <c r="AK89" s="3"/>
      <c r="AM89" s="3"/>
      <c r="AO89" s="3"/>
      <c r="AR89" s="3"/>
      <c r="AS89" s="3"/>
    </row>
    <row r="90" spans="1:45">
      <c r="A90" s="3"/>
      <c r="B90" s="3"/>
      <c r="C90" s="3"/>
      <c r="D90" s="3"/>
      <c r="E90" s="3"/>
      <c r="F90" s="4"/>
      <c r="G90" s="3"/>
      <c r="H90" s="3"/>
      <c r="I90" s="3"/>
      <c r="J90" s="3"/>
      <c r="K90" s="3"/>
      <c r="L90" s="3"/>
      <c r="M90" s="3"/>
      <c r="O90" s="3"/>
      <c r="P90" s="3"/>
      <c r="Q90" s="3"/>
      <c r="R90" s="3"/>
      <c r="S90" s="3"/>
      <c r="T90" s="3"/>
      <c r="U90" s="3"/>
      <c r="V90" s="3"/>
      <c r="Y90" s="3"/>
      <c r="AE90" s="3"/>
      <c r="AF90" s="3"/>
      <c r="AK90" s="3"/>
      <c r="AM90" s="3"/>
      <c r="AO90" s="3"/>
      <c r="AR90" s="3"/>
      <c r="AS90" s="3"/>
    </row>
    <row r="91" spans="1:45">
      <c r="A91" s="3"/>
      <c r="B91" s="3"/>
      <c r="C91" s="3"/>
      <c r="D91" s="3"/>
      <c r="E91" s="3"/>
      <c r="F91" s="4"/>
      <c r="G91" s="3"/>
      <c r="H91" s="3"/>
      <c r="I91" s="3"/>
      <c r="J91" s="3"/>
      <c r="K91" s="3"/>
      <c r="L91" s="3"/>
      <c r="M91" s="3"/>
      <c r="O91" s="3"/>
      <c r="P91" s="3"/>
      <c r="Q91" s="3"/>
      <c r="R91" s="3"/>
      <c r="S91" s="3"/>
      <c r="T91" s="3"/>
      <c r="U91" s="3"/>
      <c r="V91" s="3"/>
      <c r="Y91" s="3"/>
      <c r="AE91" s="3"/>
      <c r="AF91" s="3"/>
      <c r="AK91" s="3"/>
      <c r="AM91" s="3"/>
      <c r="AO91" s="3"/>
      <c r="AR91" s="3"/>
      <c r="AS91" s="3"/>
    </row>
    <row r="92" spans="1:45">
      <c r="A92" s="3"/>
      <c r="B92" s="3"/>
      <c r="C92" s="3"/>
      <c r="D92" s="3"/>
      <c r="E92" s="3"/>
      <c r="F92" s="4"/>
      <c r="G92" s="3"/>
      <c r="H92" s="3"/>
      <c r="I92" s="3"/>
      <c r="J92" s="3"/>
      <c r="K92" s="3"/>
      <c r="L92" s="3"/>
      <c r="M92" s="3"/>
      <c r="O92" s="3"/>
      <c r="P92" s="3"/>
      <c r="Q92" s="3"/>
      <c r="R92" s="3"/>
      <c r="S92" s="3"/>
      <c r="T92" s="3"/>
      <c r="U92" s="3"/>
      <c r="V92" s="3"/>
      <c r="Y92" s="3"/>
      <c r="AE92" s="3"/>
      <c r="AF92" s="3"/>
      <c r="AK92" s="3"/>
      <c r="AM92" s="3"/>
      <c r="AO92" s="3"/>
      <c r="AR92" s="3"/>
      <c r="AS92" s="3"/>
    </row>
    <row r="93" spans="1:45">
      <c r="A93" s="3"/>
      <c r="B93" s="3"/>
      <c r="C93" s="3"/>
      <c r="D93" s="3"/>
      <c r="E93" s="3"/>
      <c r="F93" s="4"/>
      <c r="G93" s="3"/>
      <c r="H93" s="3"/>
      <c r="I93" s="3"/>
      <c r="J93" s="3"/>
      <c r="K93" s="3"/>
      <c r="L93" s="3"/>
      <c r="M93" s="3"/>
      <c r="O93" s="3"/>
      <c r="P93" s="3"/>
      <c r="Q93" s="3"/>
      <c r="R93" s="3"/>
      <c r="S93" s="3"/>
      <c r="T93" s="3"/>
      <c r="U93" s="3"/>
      <c r="V93" s="3"/>
      <c r="Y93" s="3"/>
      <c r="AE93" s="3"/>
      <c r="AF93" s="3"/>
      <c r="AK93" s="3"/>
      <c r="AM93" s="3"/>
      <c r="AO93" s="3"/>
      <c r="AR93" s="3"/>
      <c r="AS93" s="3"/>
    </row>
    <row r="94" spans="1:45">
      <c r="A94" s="3"/>
      <c r="B94" s="3"/>
      <c r="C94" s="3"/>
      <c r="D94" s="3"/>
      <c r="E94" s="3"/>
      <c r="F94" s="4"/>
      <c r="G94" s="3"/>
      <c r="H94" s="3"/>
      <c r="I94" s="3"/>
      <c r="J94" s="3"/>
      <c r="K94" s="3"/>
      <c r="L94" s="3"/>
      <c r="M94" s="3"/>
      <c r="O94" s="3"/>
      <c r="P94" s="3"/>
      <c r="Q94" s="3"/>
      <c r="R94" s="3"/>
      <c r="S94" s="3"/>
      <c r="T94" s="3"/>
      <c r="U94" s="3"/>
      <c r="V94" s="3"/>
      <c r="Y94" s="3"/>
      <c r="AE94" s="3"/>
      <c r="AF94" s="3"/>
      <c r="AK94" s="3"/>
      <c r="AM94" s="3"/>
      <c r="AO94" s="3"/>
      <c r="AR94" s="3"/>
      <c r="AS94" s="3"/>
    </row>
    <row r="95" spans="1:45">
      <c r="A95" s="3"/>
      <c r="B95" s="3"/>
      <c r="C95" s="3"/>
      <c r="D95" s="3"/>
      <c r="E95" s="3"/>
      <c r="F95" s="4"/>
      <c r="G95" s="3"/>
      <c r="H95" s="3"/>
      <c r="I95" s="3"/>
      <c r="J95" s="3"/>
      <c r="K95" s="3"/>
      <c r="L95" s="3"/>
      <c r="M95" s="3"/>
      <c r="O95" s="3"/>
      <c r="P95" s="3"/>
      <c r="Q95" s="3"/>
      <c r="R95" s="3"/>
      <c r="S95" s="3"/>
      <c r="T95" s="3"/>
      <c r="U95" s="3"/>
      <c r="V95" s="3"/>
      <c r="Y95" s="3"/>
      <c r="AE95" s="3"/>
      <c r="AF95" s="3"/>
      <c r="AK95" s="3"/>
      <c r="AM95" s="3"/>
      <c r="AO95" s="3"/>
      <c r="AR95" s="3"/>
      <c r="AS95" s="3"/>
    </row>
    <row r="96" spans="1:45">
      <c r="A96" s="3"/>
      <c r="B96" s="3"/>
      <c r="C96" s="3"/>
      <c r="D96" s="3"/>
      <c r="E96" s="3"/>
      <c r="F96" s="4"/>
      <c r="G96" s="3"/>
      <c r="H96" s="3"/>
      <c r="I96" s="3"/>
      <c r="J96" s="3"/>
      <c r="K96" s="3"/>
      <c r="L96" s="3"/>
      <c r="M96" s="3"/>
      <c r="O96" s="3"/>
      <c r="P96" s="3"/>
      <c r="Q96" s="3"/>
      <c r="R96" s="3"/>
      <c r="S96" s="3"/>
      <c r="T96" s="3"/>
      <c r="U96" s="3"/>
      <c r="V96" s="3"/>
      <c r="Y96" s="3"/>
      <c r="AE96" s="3"/>
      <c r="AF96" s="3"/>
      <c r="AK96" s="3"/>
      <c r="AM96" s="3"/>
      <c r="AO96" s="3"/>
      <c r="AR96" s="3"/>
      <c r="AS96" s="3"/>
    </row>
    <row r="97" spans="1:45">
      <c r="A97" s="3"/>
      <c r="B97" s="3"/>
      <c r="C97" s="3"/>
      <c r="D97" s="3"/>
      <c r="E97" s="3"/>
      <c r="F97" s="4"/>
      <c r="G97" s="3"/>
      <c r="H97" s="3"/>
      <c r="I97" s="3"/>
      <c r="J97" s="3"/>
      <c r="K97" s="3"/>
      <c r="L97" s="3"/>
      <c r="M97" s="3"/>
      <c r="O97" s="3"/>
      <c r="P97" s="3"/>
      <c r="Q97" s="3"/>
      <c r="R97" s="3"/>
      <c r="S97" s="3"/>
      <c r="T97" s="3"/>
      <c r="U97" s="3"/>
      <c r="V97" s="3"/>
      <c r="Y97" s="3"/>
      <c r="AE97" s="3"/>
      <c r="AF97" s="3"/>
      <c r="AK97" s="3"/>
      <c r="AM97" s="3"/>
      <c r="AO97" s="3"/>
      <c r="AR97" s="3"/>
      <c r="AS97" s="3"/>
    </row>
    <row r="98" spans="1:45">
      <c r="A98" s="3"/>
      <c r="B98" s="3"/>
      <c r="C98" s="3"/>
      <c r="D98" s="3"/>
      <c r="E98" s="3"/>
      <c r="F98" s="4"/>
      <c r="G98" s="3"/>
      <c r="H98" s="3"/>
      <c r="I98" s="3"/>
      <c r="J98" s="3"/>
      <c r="K98" s="3"/>
      <c r="L98" s="3"/>
      <c r="M98" s="3"/>
      <c r="O98" s="3"/>
      <c r="P98" s="3"/>
      <c r="Q98" s="3"/>
      <c r="R98" s="3"/>
      <c r="S98" s="3"/>
      <c r="T98" s="3"/>
      <c r="U98" s="3"/>
      <c r="V98" s="3"/>
      <c r="Y98" s="3"/>
      <c r="AE98" s="3"/>
      <c r="AF98" s="3"/>
      <c r="AK98" s="3"/>
      <c r="AM98" s="3"/>
      <c r="AO98" s="3"/>
      <c r="AR98" s="3"/>
      <c r="AS98" s="3"/>
    </row>
    <row r="99" spans="1:45">
      <c r="A99" s="3"/>
      <c r="B99" s="3"/>
      <c r="C99" s="3"/>
      <c r="D99" s="3"/>
      <c r="E99" s="3"/>
      <c r="F99" s="4"/>
      <c r="G99" s="3"/>
      <c r="H99" s="3"/>
      <c r="I99" s="3"/>
      <c r="J99" s="3"/>
      <c r="K99" s="3"/>
      <c r="L99" s="3"/>
      <c r="M99" s="3"/>
      <c r="O99" s="3"/>
      <c r="P99" s="3"/>
      <c r="Q99" s="3"/>
      <c r="R99" s="3"/>
      <c r="S99" s="3"/>
      <c r="T99" s="3"/>
      <c r="U99" s="3"/>
      <c r="V99" s="3"/>
      <c r="Y99" s="3"/>
      <c r="AE99" s="3"/>
      <c r="AF99" s="3"/>
      <c r="AK99" s="3"/>
      <c r="AM99" s="3"/>
      <c r="AO99" s="3"/>
      <c r="AR99" s="3"/>
      <c r="AS99" s="3"/>
    </row>
    <row r="100" spans="1:45">
      <c r="A100" s="3"/>
      <c r="B100" s="3"/>
      <c r="C100" s="3"/>
      <c r="D100" s="3"/>
      <c r="E100" s="3"/>
      <c r="F100" s="4"/>
      <c r="G100" s="3"/>
      <c r="H100" s="3"/>
      <c r="I100" s="3"/>
      <c r="J100" s="3"/>
      <c r="K100" s="3"/>
      <c r="L100" s="3"/>
      <c r="M100" s="3"/>
      <c r="O100" s="3"/>
      <c r="P100" s="3"/>
      <c r="Q100" s="3"/>
      <c r="R100" s="3"/>
      <c r="S100" s="3"/>
      <c r="T100" s="3"/>
      <c r="U100" s="3"/>
      <c r="V100" s="3"/>
      <c r="Y100" s="3"/>
      <c r="AE100" s="3"/>
      <c r="AF100" s="3"/>
      <c r="AK100" s="3"/>
      <c r="AM100" s="3"/>
      <c r="AO100" s="3"/>
      <c r="AR100" s="3"/>
      <c r="AS100" s="3"/>
    </row>
    <row r="101" spans="1:45">
      <c r="A101" s="3"/>
      <c r="B101" s="3"/>
      <c r="C101" s="3"/>
      <c r="D101" s="3"/>
      <c r="E101" s="3"/>
      <c r="F101" s="4"/>
      <c r="G101" s="3"/>
      <c r="H101" s="3"/>
      <c r="I101" s="3"/>
      <c r="J101" s="3"/>
      <c r="K101" s="3"/>
      <c r="L101" s="3"/>
      <c r="M101" s="3"/>
      <c r="O101" s="3"/>
      <c r="P101" s="3"/>
      <c r="Q101" s="3"/>
      <c r="R101" s="3"/>
      <c r="S101" s="3"/>
      <c r="T101" s="3"/>
      <c r="U101" s="3"/>
      <c r="V101" s="3"/>
      <c r="Y101" s="3"/>
      <c r="AE101" s="3"/>
      <c r="AF101" s="3"/>
      <c r="AK101" s="3"/>
      <c r="AM101" s="3"/>
      <c r="AO101" s="3"/>
      <c r="AR101" s="3"/>
      <c r="AS101" s="3"/>
    </row>
    <row r="102" spans="1:45">
      <c r="A102" s="3"/>
      <c r="B102" s="3"/>
      <c r="C102" s="3"/>
      <c r="D102" s="3"/>
      <c r="E102" s="3"/>
      <c r="F102" s="4"/>
      <c r="G102" s="3"/>
      <c r="H102" s="3"/>
      <c r="I102" s="3"/>
      <c r="J102" s="3"/>
      <c r="K102" s="3"/>
      <c r="L102" s="3"/>
      <c r="M102" s="3"/>
      <c r="O102" s="3"/>
      <c r="P102" s="3"/>
      <c r="Q102" s="3"/>
      <c r="R102" s="3"/>
      <c r="S102" s="3"/>
      <c r="T102" s="3"/>
      <c r="U102" s="3"/>
      <c r="V102" s="3"/>
      <c r="Y102" s="3"/>
      <c r="AE102" s="3"/>
      <c r="AF102" s="3"/>
      <c r="AK102" s="3"/>
      <c r="AM102" s="3"/>
      <c r="AO102" s="3"/>
      <c r="AR102" s="3"/>
      <c r="AS102" s="3"/>
    </row>
    <row r="103" spans="1:45">
      <c r="A103" s="3"/>
      <c r="B103" s="3"/>
      <c r="C103" s="3"/>
      <c r="D103" s="3"/>
      <c r="E103" s="3"/>
      <c r="F103" s="4"/>
      <c r="G103" s="3"/>
      <c r="H103" s="3"/>
      <c r="I103" s="3"/>
      <c r="J103" s="3"/>
      <c r="K103" s="3"/>
      <c r="L103" s="3"/>
      <c r="M103" s="3"/>
      <c r="O103" s="3"/>
      <c r="P103" s="3"/>
      <c r="Q103" s="3"/>
      <c r="R103" s="3"/>
      <c r="S103" s="3"/>
      <c r="T103" s="3"/>
      <c r="U103" s="3"/>
      <c r="V103" s="3"/>
      <c r="Y103" s="3"/>
      <c r="AE103" s="3"/>
      <c r="AF103" s="3"/>
      <c r="AK103" s="3"/>
      <c r="AM103" s="3"/>
      <c r="AO103" s="3"/>
      <c r="AR103" s="3"/>
      <c r="AS103" s="3"/>
    </row>
    <row r="104" spans="1:45">
      <c r="A104" s="3"/>
      <c r="B104" s="3"/>
      <c r="C104" s="3"/>
      <c r="D104" s="3"/>
      <c r="E104" s="3"/>
      <c r="F104" s="4"/>
      <c r="G104" s="3"/>
      <c r="H104" s="3"/>
      <c r="I104" s="3"/>
      <c r="J104" s="3"/>
      <c r="K104" s="3"/>
      <c r="L104" s="3"/>
      <c r="M104" s="3"/>
      <c r="O104" s="3"/>
      <c r="P104" s="3"/>
      <c r="Q104" s="3"/>
      <c r="R104" s="3"/>
      <c r="S104" s="3"/>
      <c r="T104" s="3"/>
      <c r="U104" s="3"/>
      <c r="V104" s="3"/>
      <c r="Y104" s="3"/>
      <c r="AE104" s="3"/>
      <c r="AF104" s="3"/>
      <c r="AK104" s="3"/>
      <c r="AM104" s="3"/>
      <c r="AO104" s="3"/>
      <c r="AR104" s="3"/>
      <c r="AS104" s="3"/>
    </row>
    <row r="105" spans="1:45">
      <c r="A105" s="3"/>
      <c r="B105" s="3"/>
      <c r="C105" s="3"/>
      <c r="D105" s="3"/>
      <c r="E105" s="3"/>
      <c r="F105" s="4"/>
      <c r="G105" s="3"/>
      <c r="H105" s="3"/>
      <c r="I105" s="3"/>
      <c r="J105" s="3"/>
      <c r="K105" s="3"/>
      <c r="L105" s="3"/>
      <c r="M105" s="3"/>
      <c r="O105" s="3"/>
      <c r="P105" s="3"/>
      <c r="Q105" s="3"/>
      <c r="R105" s="3"/>
      <c r="S105" s="3"/>
      <c r="T105" s="3"/>
      <c r="U105" s="3"/>
      <c r="V105" s="3"/>
      <c r="Y105" s="3"/>
      <c r="AE105" s="3"/>
      <c r="AF105" s="3"/>
      <c r="AK105" s="3"/>
      <c r="AM105" s="3"/>
      <c r="AO105" s="3"/>
      <c r="AR105" s="3"/>
      <c r="AS105" s="3"/>
    </row>
    <row r="106" spans="1:45">
      <c r="A106" s="3"/>
      <c r="B106" s="3"/>
      <c r="C106" s="3"/>
      <c r="D106" s="3"/>
      <c r="E106" s="3"/>
      <c r="F106" s="4"/>
      <c r="G106" s="3"/>
      <c r="H106" s="3"/>
      <c r="I106" s="3"/>
      <c r="J106" s="3"/>
      <c r="K106" s="3"/>
      <c r="L106" s="3"/>
      <c r="M106" s="3"/>
      <c r="O106" s="3"/>
      <c r="P106" s="3"/>
      <c r="Q106" s="3"/>
      <c r="R106" s="3"/>
      <c r="S106" s="3"/>
      <c r="T106" s="3"/>
      <c r="U106" s="3"/>
      <c r="V106" s="3"/>
      <c r="Y106" s="3"/>
      <c r="AE106" s="3"/>
      <c r="AF106" s="3"/>
      <c r="AK106" s="3"/>
      <c r="AM106" s="3"/>
      <c r="AO106" s="3"/>
      <c r="AR106" s="3"/>
      <c r="AS106" s="3"/>
    </row>
    <row r="107" spans="1:45">
      <c r="A107" s="3"/>
      <c r="B107" s="3"/>
      <c r="C107" s="3"/>
      <c r="D107" s="3"/>
      <c r="E107" s="3"/>
      <c r="F107" s="4"/>
      <c r="G107" s="3"/>
      <c r="H107" s="3"/>
      <c r="I107" s="3"/>
      <c r="J107" s="3"/>
      <c r="K107" s="3"/>
      <c r="L107" s="3"/>
      <c r="M107" s="3"/>
      <c r="O107" s="3"/>
      <c r="P107" s="3"/>
      <c r="Q107" s="3"/>
      <c r="R107" s="3"/>
      <c r="S107" s="3"/>
      <c r="T107" s="3"/>
      <c r="U107" s="3"/>
      <c r="V107" s="3"/>
      <c r="Y107" s="3"/>
      <c r="AE107" s="3"/>
      <c r="AF107" s="3"/>
      <c r="AK107" s="3"/>
      <c r="AM107" s="3"/>
      <c r="AO107" s="3"/>
      <c r="AR107" s="3"/>
      <c r="AS107" s="3"/>
    </row>
    <row r="108" spans="1:45">
      <c r="A108" s="3"/>
      <c r="B108" s="3"/>
      <c r="C108" s="3"/>
      <c r="D108" s="3"/>
      <c r="E108" s="3"/>
      <c r="F108" s="4"/>
      <c r="G108" s="3"/>
      <c r="H108" s="3"/>
      <c r="I108" s="3"/>
      <c r="J108" s="3"/>
      <c r="K108" s="3"/>
      <c r="L108" s="3"/>
      <c r="M108" s="3"/>
      <c r="O108" s="3"/>
      <c r="P108" s="3"/>
      <c r="Q108" s="3"/>
      <c r="R108" s="3"/>
      <c r="S108" s="3"/>
      <c r="T108" s="3"/>
      <c r="U108" s="3"/>
      <c r="V108" s="3"/>
      <c r="Y108" s="3"/>
      <c r="AE108" s="3"/>
      <c r="AF108" s="3"/>
      <c r="AK108" s="3"/>
      <c r="AM108" s="3"/>
      <c r="AO108" s="3"/>
      <c r="AR108" s="3"/>
      <c r="AS108" s="3"/>
    </row>
    <row r="109" spans="1:45">
      <c r="A109" s="3"/>
      <c r="B109" s="3"/>
      <c r="C109" s="3"/>
      <c r="D109" s="3"/>
      <c r="E109" s="3"/>
      <c r="F109" s="4"/>
      <c r="G109" s="3"/>
      <c r="H109" s="3"/>
      <c r="I109" s="3"/>
      <c r="J109" s="3"/>
      <c r="K109" s="3"/>
      <c r="L109" s="3"/>
      <c r="M109" s="3"/>
      <c r="O109" s="3"/>
      <c r="P109" s="3"/>
      <c r="Q109" s="3"/>
      <c r="R109" s="3"/>
      <c r="S109" s="3"/>
      <c r="T109" s="3"/>
      <c r="U109" s="3"/>
      <c r="V109" s="3"/>
      <c r="Y109" s="3"/>
      <c r="AE109" s="3"/>
      <c r="AF109" s="3"/>
      <c r="AK109" s="3"/>
      <c r="AM109" s="3"/>
      <c r="AO109" s="3"/>
      <c r="AR109" s="3"/>
      <c r="AS109" s="3"/>
    </row>
    <row r="110" spans="1:45">
      <c r="A110" s="3"/>
      <c r="B110" s="3"/>
      <c r="C110" s="3"/>
      <c r="D110" s="3"/>
      <c r="E110" s="3"/>
      <c r="F110" s="4"/>
      <c r="G110" s="3"/>
      <c r="H110" s="3"/>
      <c r="I110" s="3"/>
      <c r="J110" s="3"/>
      <c r="K110" s="3"/>
      <c r="L110" s="3"/>
      <c r="M110" s="3"/>
      <c r="O110" s="3"/>
      <c r="P110" s="3"/>
      <c r="Q110" s="3"/>
      <c r="R110" s="3"/>
      <c r="S110" s="3"/>
      <c r="T110" s="3"/>
      <c r="U110" s="3"/>
      <c r="V110" s="3"/>
      <c r="Y110" s="3"/>
      <c r="AE110" s="3"/>
      <c r="AF110" s="3"/>
      <c r="AK110" s="3"/>
      <c r="AM110" s="3"/>
      <c r="AO110" s="3"/>
      <c r="AR110" s="3"/>
      <c r="AS110" s="3"/>
    </row>
    <row r="111" spans="1:45">
      <c r="A111" s="3"/>
      <c r="B111" s="3"/>
      <c r="C111" s="3"/>
      <c r="D111" s="3"/>
      <c r="E111" s="3"/>
      <c r="F111" s="4"/>
      <c r="G111" s="3"/>
      <c r="H111" s="3"/>
      <c r="I111" s="3"/>
      <c r="J111" s="3"/>
      <c r="K111" s="3"/>
      <c r="L111" s="3"/>
      <c r="M111" s="3"/>
      <c r="O111" s="3"/>
      <c r="P111" s="3"/>
      <c r="Q111" s="3"/>
      <c r="R111" s="3"/>
      <c r="S111" s="3"/>
      <c r="T111" s="3"/>
      <c r="U111" s="3"/>
      <c r="V111" s="3"/>
      <c r="Y111" s="3"/>
      <c r="AE111" s="3"/>
      <c r="AF111" s="3"/>
      <c r="AK111" s="3"/>
      <c r="AM111" s="3"/>
      <c r="AO111" s="3"/>
      <c r="AR111" s="3"/>
      <c r="AS111" s="3"/>
    </row>
    <row r="112" spans="1:45">
      <c r="A112" s="3"/>
      <c r="B112" s="3"/>
      <c r="C112" s="3"/>
      <c r="D112" s="3"/>
      <c r="E112" s="3"/>
      <c r="F112" s="4"/>
      <c r="G112" s="3"/>
      <c r="H112" s="3"/>
      <c r="I112" s="3"/>
      <c r="J112" s="3"/>
      <c r="K112" s="3"/>
      <c r="L112" s="3"/>
      <c r="M112" s="3"/>
      <c r="O112" s="3"/>
      <c r="P112" s="3"/>
      <c r="Q112" s="3"/>
      <c r="R112" s="3"/>
      <c r="S112" s="3"/>
      <c r="T112" s="3"/>
      <c r="U112" s="3"/>
      <c r="V112" s="3"/>
      <c r="Y112" s="3"/>
      <c r="AE112" s="3"/>
      <c r="AF112" s="3"/>
      <c r="AK112" s="3"/>
      <c r="AM112" s="3"/>
      <c r="AO112" s="3"/>
      <c r="AR112" s="3"/>
      <c r="AS112" s="3"/>
    </row>
    <row r="113" spans="1:45">
      <c r="A113" s="3"/>
      <c r="B113" s="3"/>
      <c r="C113" s="3"/>
      <c r="D113" s="3"/>
      <c r="E113" s="3"/>
      <c r="F113" s="4"/>
      <c r="G113" s="3"/>
      <c r="H113" s="3"/>
      <c r="I113" s="3"/>
      <c r="J113" s="3"/>
      <c r="K113" s="3"/>
      <c r="L113" s="3"/>
      <c r="M113" s="3"/>
      <c r="O113" s="3"/>
      <c r="P113" s="3"/>
      <c r="Q113" s="3"/>
      <c r="R113" s="3"/>
      <c r="S113" s="3"/>
      <c r="T113" s="3"/>
      <c r="U113" s="3"/>
      <c r="V113" s="3"/>
      <c r="Y113" s="3"/>
      <c r="AE113" s="3"/>
      <c r="AF113" s="3"/>
      <c r="AK113" s="3"/>
      <c r="AM113" s="3"/>
      <c r="AO113" s="3"/>
      <c r="AR113" s="3"/>
      <c r="AS113" s="3"/>
    </row>
    <row r="114" spans="1:45">
      <c r="A114" s="3"/>
      <c r="B114" s="3"/>
      <c r="C114" s="3"/>
      <c r="D114" s="3"/>
      <c r="E114" s="3"/>
      <c r="F114" s="4"/>
      <c r="G114" s="3"/>
      <c r="H114" s="3"/>
      <c r="I114" s="3"/>
      <c r="J114" s="3"/>
      <c r="K114" s="3"/>
      <c r="L114" s="3"/>
      <c r="M114" s="3"/>
      <c r="O114" s="3"/>
      <c r="P114" s="3"/>
      <c r="Q114" s="3"/>
      <c r="R114" s="3"/>
      <c r="S114" s="3"/>
      <c r="T114" s="3"/>
      <c r="U114" s="3"/>
      <c r="V114" s="3"/>
      <c r="Y114" s="3"/>
      <c r="AE114" s="3"/>
      <c r="AF114" s="3"/>
      <c r="AK114" s="3"/>
      <c r="AM114" s="3"/>
      <c r="AO114" s="3"/>
      <c r="AR114" s="3"/>
      <c r="AS114" s="3"/>
    </row>
    <row r="115" spans="1:45">
      <c r="A115" s="3"/>
      <c r="B115" s="3"/>
      <c r="C115" s="3"/>
      <c r="D115" s="3"/>
      <c r="E115" s="3"/>
      <c r="F115" s="4"/>
      <c r="G115" s="3"/>
      <c r="H115" s="3"/>
      <c r="I115" s="3"/>
      <c r="J115" s="3"/>
      <c r="K115" s="3"/>
      <c r="L115" s="3"/>
      <c r="M115" s="3"/>
      <c r="O115" s="3"/>
      <c r="P115" s="3"/>
      <c r="Q115" s="3"/>
      <c r="R115" s="3"/>
      <c r="S115" s="3"/>
      <c r="T115" s="3"/>
      <c r="U115" s="3"/>
      <c r="V115" s="3"/>
      <c r="Y115" s="3"/>
      <c r="AE115" s="3"/>
      <c r="AF115" s="3"/>
      <c r="AK115" s="3"/>
      <c r="AM115" s="3"/>
      <c r="AO115" s="3"/>
      <c r="AR115" s="3"/>
      <c r="AS115" s="3"/>
    </row>
    <row r="116" spans="1:45">
      <c r="A116" s="3"/>
      <c r="B116" s="3"/>
      <c r="C116" s="3"/>
      <c r="D116" s="3"/>
      <c r="E116" s="3"/>
      <c r="F116" s="4"/>
      <c r="G116" s="3"/>
      <c r="H116" s="3"/>
      <c r="I116" s="3"/>
      <c r="J116" s="3"/>
      <c r="K116" s="3"/>
      <c r="L116" s="3"/>
      <c r="M116" s="3"/>
      <c r="O116" s="3"/>
      <c r="P116" s="3"/>
      <c r="Q116" s="3"/>
      <c r="R116" s="3"/>
      <c r="S116" s="3"/>
      <c r="T116" s="3"/>
      <c r="U116" s="3"/>
      <c r="V116" s="3"/>
      <c r="Y116" s="3"/>
      <c r="AE116" s="3"/>
      <c r="AF116" s="3"/>
      <c r="AK116" s="3"/>
      <c r="AM116" s="3"/>
      <c r="AO116" s="3"/>
      <c r="AR116" s="3"/>
      <c r="AS116" s="3"/>
    </row>
    <row r="117" spans="1:45">
      <c r="A117" s="3"/>
      <c r="B117" s="3"/>
      <c r="C117" s="3"/>
      <c r="D117" s="3"/>
      <c r="E117" s="3"/>
      <c r="F117" s="4"/>
      <c r="G117" s="3"/>
      <c r="H117" s="3"/>
      <c r="I117" s="3"/>
      <c r="J117" s="3"/>
      <c r="K117" s="3"/>
      <c r="L117" s="3"/>
      <c r="M117" s="3"/>
      <c r="O117" s="3"/>
      <c r="P117" s="3"/>
      <c r="Q117" s="3"/>
      <c r="R117" s="3"/>
      <c r="S117" s="3"/>
      <c r="T117" s="3"/>
      <c r="U117" s="3"/>
      <c r="V117" s="3"/>
      <c r="Y117" s="3"/>
      <c r="AE117" s="3"/>
      <c r="AF117" s="3"/>
      <c r="AK117" s="3"/>
      <c r="AM117" s="3"/>
      <c r="AO117" s="3"/>
      <c r="AR117" s="3"/>
      <c r="AS117" s="3"/>
    </row>
    <row r="118" spans="1:45">
      <c r="A118" s="3"/>
      <c r="B118" s="3"/>
      <c r="C118" s="3"/>
      <c r="D118" s="3"/>
      <c r="E118" s="3"/>
      <c r="F118" s="4"/>
      <c r="G118" s="3"/>
      <c r="H118" s="3"/>
      <c r="I118" s="3"/>
      <c r="J118" s="3"/>
      <c r="K118" s="3"/>
      <c r="L118" s="3"/>
      <c r="M118" s="3"/>
      <c r="O118" s="3"/>
      <c r="P118" s="3"/>
      <c r="Q118" s="3"/>
      <c r="R118" s="3"/>
      <c r="S118" s="3"/>
      <c r="T118" s="3"/>
      <c r="U118" s="3"/>
      <c r="V118" s="3"/>
      <c r="Y118" s="3"/>
      <c r="AE118" s="3"/>
      <c r="AF118" s="3"/>
      <c r="AK118" s="3"/>
      <c r="AM118" s="3"/>
      <c r="AO118" s="3"/>
      <c r="AR118" s="3"/>
      <c r="AS118" s="3"/>
    </row>
    <row r="119" spans="1:45">
      <c r="A119" s="3"/>
      <c r="B119" s="3"/>
      <c r="C119" s="3"/>
      <c r="D119" s="3"/>
      <c r="E119" s="3"/>
      <c r="F119" s="4"/>
      <c r="G119" s="3"/>
      <c r="H119" s="3"/>
      <c r="I119" s="3"/>
      <c r="J119" s="3"/>
      <c r="K119" s="3"/>
      <c r="L119" s="3"/>
      <c r="M119" s="3"/>
      <c r="O119" s="3"/>
      <c r="P119" s="3"/>
      <c r="Q119" s="3"/>
      <c r="R119" s="3"/>
      <c r="S119" s="3"/>
      <c r="T119" s="3"/>
      <c r="U119" s="3"/>
      <c r="V119" s="3"/>
      <c r="Y119" s="3"/>
      <c r="AE119" s="3"/>
      <c r="AF119" s="3"/>
      <c r="AK119" s="3"/>
      <c r="AM119" s="3"/>
      <c r="AO119" s="3"/>
      <c r="AR119" s="3"/>
      <c r="AS119" s="3"/>
    </row>
    <row r="120" spans="1:45">
      <c r="A120" s="3"/>
      <c r="B120" s="3"/>
      <c r="C120" s="3"/>
      <c r="D120" s="3"/>
      <c r="E120" s="3"/>
      <c r="F120" s="4"/>
      <c r="G120" s="3"/>
      <c r="H120" s="3"/>
      <c r="I120" s="3"/>
      <c r="J120" s="3"/>
      <c r="K120" s="3"/>
      <c r="L120" s="3"/>
      <c r="M120" s="3"/>
      <c r="O120" s="3"/>
      <c r="P120" s="3"/>
      <c r="Q120" s="3"/>
      <c r="R120" s="3"/>
      <c r="S120" s="3"/>
      <c r="T120" s="3"/>
      <c r="U120" s="3"/>
      <c r="V120" s="3"/>
      <c r="Y120" s="3"/>
      <c r="AE120" s="3"/>
      <c r="AF120" s="3"/>
      <c r="AK120" s="3"/>
      <c r="AM120" s="3"/>
      <c r="AO120" s="3"/>
      <c r="AR120" s="3"/>
      <c r="AS120" s="3"/>
    </row>
    <row r="121" spans="1:45">
      <c r="A121" s="3"/>
      <c r="B121" s="3"/>
      <c r="C121" s="3"/>
      <c r="D121" s="3"/>
      <c r="E121" s="3"/>
      <c r="F121" s="4"/>
      <c r="G121" s="3"/>
      <c r="H121" s="3"/>
      <c r="I121" s="3"/>
      <c r="J121" s="3"/>
      <c r="K121" s="3"/>
      <c r="L121" s="3"/>
      <c r="M121" s="3"/>
      <c r="O121" s="3"/>
      <c r="P121" s="3"/>
      <c r="Q121" s="3"/>
      <c r="R121" s="3"/>
      <c r="S121" s="3"/>
      <c r="T121" s="3"/>
      <c r="U121" s="3"/>
      <c r="V121" s="3"/>
      <c r="Y121" s="3"/>
      <c r="AE121" s="3"/>
      <c r="AF121" s="3"/>
      <c r="AK121" s="3"/>
      <c r="AM121" s="3"/>
      <c r="AO121" s="3"/>
      <c r="AR121" s="3"/>
      <c r="AS121" s="3"/>
    </row>
    <row r="122" spans="1:45">
      <c r="A122" s="3"/>
      <c r="B122" s="3"/>
      <c r="C122" s="3"/>
      <c r="D122" s="3"/>
      <c r="E122" s="3"/>
      <c r="F122" s="4"/>
      <c r="G122" s="3"/>
      <c r="H122" s="3"/>
      <c r="I122" s="3"/>
      <c r="J122" s="3"/>
      <c r="K122" s="3"/>
      <c r="L122" s="3"/>
      <c r="M122" s="3"/>
      <c r="O122" s="3"/>
      <c r="P122" s="3"/>
      <c r="Q122" s="3"/>
      <c r="R122" s="3"/>
      <c r="S122" s="3"/>
      <c r="T122" s="3"/>
      <c r="U122" s="3"/>
      <c r="V122" s="3"/>
      <c r="Y122" s="3"/>
      <c r="AE122" s="3"/>
      <c r="AF122" s="3"/>
      <c r="AK122" s="3"/>
      <c r="AM122" s="3"/>
      <c r="AO122" s="3"/>
      <c r="AR122" s="3"/>
      <c r="AS122" s="3"/>
    </row>
    <row r="123" spans="1:45">
      <c r="A123" s="3"/>
      <c r="B123" s="3"/>
      <c r="C123" s="3"/>
      <c r="D123" s="3"/>
      <c r="E123" s="3"/>
      <c r="F123" s="4"/>
      <c r="G123" s="3"/>
      <c r="H123" s="3"/>
      <c r="I123" s="3"/>
      <c r="J123" s="3"/>
      <c r="K123" s="3"/>
      <c r="L123" s="3"/>
      <c r="M123" s="3"/>
      <c r="O123" s="3"/>
      <c r="P123" s="3"/>
      <c r="Q123" s="3"/>
      <c r="R123" s="3"/>
      <c r="S123" s="3"/>
      <c r="T123" s="3"/>
      <c r="U123" s="3"/>
      <c r="V123" s="3"/>
      <c r="Y123" s="3"/>
      <c r="AE123" s="3"/>
      <c r="AF123" s="3"/>
      <c r="AK123" s="3"/>
      <c r="AM123" s="3"/>
      <c r="AO123" s="3"/>
      <c r="AR123" s="3"/>
      <c r="AS123" s="3"/>
    </row>
    <row r="124" spans="1:45">
      <c r="A124" s="3"/>
      <c r="B124" s="3"/>
      <c r="C124" s="3"/>
      <c r="D124" s="3"/>
      <c r="E124" s="3"/>
      <c r="F124" s="4"/>
      <c r="G124" s="3"/>
      <c r="H124" s="3"/>
      <c r="I124" s="3"/>
      <c r="J124" s="3"/>
      <c r="K124" s="3"/>
      <c r="L124" s="3"/>
      <c r="M124" s="3"/>
      <c r="O124" s="3"/>
      <c r="P124" s="3"/>
      <c r="Q124" s="3"/>
      <c r="R124" s="3"/>
      <c r="S124" s="3"/>
      <c r="T124" s="3"/>
      <c r="U124" s="3"/>
      <c r="V124" s="3"/>
      <c r="Y124" s="3"/>
      <c r="AE124" s="3"/>
      <c r="AF124" s="3"/>
      <c r="AK124" s="3"/>
      <c r="AM124" s="3"/>
      <c r="AO124" s="3"/>
      <c r="AR124" s="3"/>
      <c r="AS124" s="3"/>
    </row>
    <row r="125" spans="1:45">
      <c r="A125" s="3"/>
      <c r="B125" s="3"/>
      <c r="C125" s="3"/>
      <c r="D125" s="3"/>
      <c r="E125" s="3"/>
      <c r="F125" s="4"/>
      <c r="G125" s="3"/>
      <c r="H125" s="3"/>
      <c r="I125" s="3"/>
      <c r="J125" s="3"/>
      <c r="K125" s="3"/>
      <c r="L125" s="3"/>
      <c r="M125" s="3"/>
      <c r="O125" s="3"/>
      <c r="P125" s="3"/>
      <c r="Q125" s="3"/>
      <c r="R125" s="3"/>
      <c r="S125" s="3"/>
      <c r="T125" s="3"/>
      <c r="U125" s="3"/>
      <c r="V125" s="3"/>
      <c r="Y125" s="3"/>
      <c r="AE125" s="3"/>
      <c r="AF125" s="3"/>
      <c r="AK125" s="3"/>
      <c r="AM125" s="3"/>
      <c r="AO125" s="3"/>
      <c r="AR125" s="3"/>
      <c r="AS125" s="3"/>
    </row>
    <row r="126" spans="1:45">
      <c r="A126" s="3"/>
      <c r="B126" s="3"/>
      <c r="C126" s="3"/>
      <c r="D126" s="3"/>
      <c r="E126" s="3"/>
      <c r="F126" s="4"/>
      <c r="G126" s="3"/>
      <c r="H126" s="3"/>
      <c r="I126" s="3"/>
      <c r="J126" s="3"/>
      <c r="K126" s="3"/>
      <c r="L126" s="3"/>
      <c r="M126" s="3"/>
      <c r="O126" s="3"/>
      <c r="P126" s="3"/>
      <c r="Q126" s="3"/>
      <c r="R126" s="3"/>
      <c r="S126" s="3"/>
      <c r="T126" s="3"/>
      <c r="U126" s="3"/>
      <c r="V126" s="3"/>
      <c r="Y126" s="3"/>
      <c r="AE126" s="3"/>
      <c r="AF126" s="3"/>
      <c r="AK126" s="3"/>
      <c r="AM126" s="3"/>
      <c r="AO126" s="3"/>
      <c r="AR126" s="3"/>
      <c r="AS126" s="3"/>
    </row>
    <row r="127" spans="1:45">
      <c r="A127" s="3"/>
      <c r="B127" s="3"/>
      <c r="C127" s="3"/>
      <c r="D127" s="3"/>
      <c r="E127" s="3"/>
      <c r="F127" s="4"/>
      <c r="G127" s="3"/>
      <c r="H127" s="3"/>
      <c r="I127" s="3"/>
      <c r="J127" s="3"/>
      <c r="K127" s="3"/>
      <c r="L127" s="3"/>
      <c r="M127" s="3"/>
      <c r="O127" s="3"/>
      <c r="P127" s="3"/>
      <c r="Q127" s="3"/>
      <c r="R127" s="3"/>
      <c r="S127" s="3"/>
      <c r="T127" s="3"/>
      <c r="U127" s="3"/>
      <c r="V127" s="3"/>
      <c r="Y127" s="3"/>
      <c r="AE127" s="3"/>
      <c r="AF127" s="3"/>
      <c r="AK127" s="3"/>
      <c r="AM127" s="3"/>
      <c r="AO127" s="3"/>
      <c r="AR127" s="3"/>
      <c r="AS127" s="3"/>
    </row>
    <row r="128" spans="1:45">
      <c r="A128" s="3"/>
      <c r="B128" s="3"/>
      <c r="C128" s="3"/>
      <c r="D128" s="3"/>
      <c r="E128" s="3"/>
      <c r="F128" s="4"/>
      <c r="G128" s="3"/>
      <c r="H128" s="3"/>
      <c r="I128" s="3"/>
      <c r="J128" s="3"/>
      <c r="K128" s="3"/>
      <c r="L128" s="3"/>
      <c r="M128" s="3"/>
      <c r="O128" s="3"/>
      <c r="P128" s="3"/>
      <c r="Q128" s="3"/>
      <c r="R128" s="3"/>
      <c r="S128" s="3"/>
      <c r="T128" s="3"/>
      <c r="U128" s="3"/>
      <c r="V128" s="3"/>
      <c r="Y128" s="3"/>
      <c r="AE128" s="3"/>
      <c r="AF128" s="3"/>
      <c r="AK128" s="3"/>
      <c r="AM128" s="3"/>
      <c r="AO128" s="3"/>
      <c r="AR128" s="3"/>
      <c r="AS128" s="3"/>
    </row>
    <row r="129" spans="1:45">
      <c r="A129" s="3"/>
      <c r="B129" s="3"/>
      <c r="C129" s="3"/>
      <c r="D129" s="3"/>
      <c r="E129" s="3"/>
      <c r="F129" s="4"/>
      <c r="G129" s="3"/>
      <c r="H129" s="3"/>
      <c r="I129" s="3"/>
      <c r="J129" s="3"/>
      <c r="K129" s="3"/>
      <c r="L129" s="3"/>
      <c r="M129" s="3"/>
      <c r="O129" s="3"/>
      <c r="P129" s="3"/>
      <c r="Q129" s="3"/>
      <c r="R129" s="3"/>
      <c r="S129" s="3"/>
      <c r="T129" s="3"/>
      <c r="U129" s="3"/>
      <c r="V129" s="3"/>
      <c r="Y129" s="3"/>
      <c r="AE129" s="3"/>
      <c r="AF129" s="3"/>
      <c r="AK129" s="3"/>
      <c r="AM129" s="3"/>
      <c r="AO129" s="3"/>
      <c r="AR129" s="3"/>
      <c r="AS129" s="3"/>
    </row>
    <row r="130" spans="1:45">
      <c r="A130" s="3"/>
      <c r="B130" s="3"/>
      <c r="C130" s="3"/>
      <c r="D130" s="3"/>
      <c r="E130" s="3"/>
      <c r="F130" s="4"/>
      <c r="G130" s="3"/>
      <c r="H130" s="3"/>
      <c r="I130" s="3"/>
      <c r="J130" s="3"/>
      <c r="K130" s="3"/>
      <c r="L130" s="3"/>
      <c r="M130" s="3"/>
      <c r="O130" s="3"/>
      <c r="P130" s="3"/>
      <c r="Q130" s="3"/>
      <c r="R130" s="3"/>
      <c r="S130" s="3"/>
      <c r="T130" s="3"/>
      <c r="U130" s="3"/>
      <c r="V130" s="3"/>
      <c r="Y130" s="3"/>
      <c r="AE130" s="3"/>
      <c r="AF130" s="3"/>
      <c r="AK130" s="3"/>
      <c r="AM130" s="3"/>
      <c r="AO130" s="3"/>
      <c r="AR130" s="3"/>
      <c r="AS130" s="3"/>
    </row>
    <row r="131" spans="1:45">
      <c r="A131" s="3"/>
      <c r="B131" s="3"/>
      <c r="C131" s="3"/>
      <c r="D131" s="3"/>
      <c r="E131" s="3"/>
      <c r="F131" s="4"/>
      <c r="G131" s="3"/>
      <c r="H131" s="3"/>
      <c r="I131" s="3"/>
      <c r="J131" s="3"/>
      <c r="K131" s="3"/>
      <c r="L131" s="3"/>
      <c r="M131" s="3"/>
      <c r="O131" s="3"/>
      <c r="P131" s="3"/>
      <c r="Q131" s="3"/>
      <c r="R131" s="3"/>
      <c r="S131" s="3"/>
      <c r="T131" s="3"/>
      <c r="U131" s="3"/>
      <c r="V131" s="3"/>
      <c r="Y131" s="3"/>
      <c r="AE131" s="3"/>
      <c r="AF131" s="3"/>
      <c r="AK131" s="3"/>
      <c r="AM131" s="3"/>
      <c r="AO131" s="3"/>
      <c r="AR131" s="3"/>
      <c r="AS131" s="3"/>
    </row>
    <row r="132" spans="1:45">
      <c r="A132" s="3"/>
      <c r="B132" s="3"/>
      <c r="C132" s="3"/>
      <c r="D132" s="3"/>
      <c r="E132" s="3"/>
      <c r="F132" s="4"/>
      <c r="G132" s="3"/>
      <c r="H132" s="3"/>
      <c r="I132" s="3"/>
      <c r="J132" s="3"/>
      <c r="K132" s="3"/>
      <c r="L132" s="3"/>
      <c r="M132" s="3"/>
      <c r="O132" s="3"/>
      <c r="P132" s="3"/>
      <c r="Q132" s="3"/>
      <c r="R132" s="3"/>
      <c r="S132" s="3"/>
      <c r="T132" s="3"/>
      <c r="U132" s="3"/>
      <c r="V132" s="3"/>
      <c r="Y132" s="3"/>
      <c r="AE132" s="3"/>
      <c r="AF132" s="3"/>
      <c r="AK132" s="3"/>
      <c r="AM132" s="3"/>
      <c r="AO132" s="3"/>
      <c r="AR132" s="3"/>
      <c r="AS132" s="3"/>
    </row>
    <row r="133" spans="1:45">
      <c r="A133" s="3"/>
      <c r="B133" s="3"/>
      <c r="C133" s="3"/>
      <c r="D133" s="3"/>
      <c r="E133" s="3"/>
      <c r="F133" s="4"/>
      <c r="G133" s="3"/>
      <c r="H133" s="3"/>
      <c r="I133" s="3"/>
      <c r="J133" s="3"/>
      <c r="K133" s="3"/>
      <c r="L133" s="3"/>
      <c r="M133" s="3"/>
      <c r="O133" s="3"/>
      <c r="P133" s="3"/>
      <c r="Q133" s="3"/>
      <c r="R133" s="3"/>
      <c r="S133" s="3"/>
      <c r="T133" s="3"/>
      <c r="U133" s="3"/>
      <c r="V133" s="3"/>
      <c r="Y133" s="3"/>
      <c r="AE133" s="3"/>
      <c r="AF133" s="3"/>
      <c r="AK133" s="3"/>
      <c r="AM133" s="3"/>
      <c r="AO133" s="3"/>
      <c r="AR133" s="3"/>
      <c r="AS133" s="3"/>
    </row>
    <row r="134" spans="1:45">
      <c r="A134" s="3"/>
      <c r="B134" s="3"/>
      <c r="C134" s="3"/>
      <c r="D134" s="3"/>
      <c r="E134" s="3"/>
      <c r="F134" s="4"/>
      <c r="G134" s="3"/>
      <c r="H134" s="3"/>
      <c r="I134" s="3"/>
      <c r="J134" s="3"/>
      <c r="K134" s="3"/>
      <c r="L134" s="3"/>
      <c r="M134" s="3"/>
      <c r="O134" s="3"/>
      <c r="P134" s="3"/>
      <c r="Q134" s="3"/>
      <c r="R134" s="3"/>
      <c r="S134" s="3"/>
      <c r="T134" s="3"/>
      <c r="U134" s="3"/>
      <c r="V134" s="3"/>
      <c r="Y134" s="3"/>
      <c r="AE134" s="3"/>
      <c r="AF134" s="3"/>
      <c r="AK134" s="3"/>
      <c r="AM134" s="3"/>
      <c r="AO134" s="3"/>
      <c r="AR134" s="3"/>
      <c r="AS134" s="3"/>
    </row>
    <row r="135" spans="1:45">
      <c r="A135" s="3"/>
      <c r="B135" s="3"/>
      <c r="C135" s="3"/>
      <c r="D135" s="3"/>
      <c r="E135" s="3"/>
      <c r="F135" s="4"/>
      <c r="G135" s="3"/>
      <c r="H135" s="3"/>
      <c r="I135" s="3"/>
      <c r="J135" s="3"/>
      <c r="K135" s="3"/>
      <c r="L135" s="3"/>
      <c r="M135" s="3"/>
      <c r="O135" s="3"/>
      <c r="P135" s="3"/>
      <c r="Q135" s="3"/>
      <c r="R135" s="3"/>
      <c r="S135" s="3"/>
      <c r="T135" s="3"/>
      <c r="U135" s="3"/>
      <c r="V135" s="3"/>
      <c r="Y135" s="3"/>
      <c r="AE135" s="3"/>
      <c r="AF135" s="3"/>
      <c r="AK135" s="3"/>
      <c r="AM135" s="3"/>
      <c r="AO135" s="3"/>
      <c r="AR135" s="3"/>
      <c r="AS135" s="3"/>
    </row>
    <row r="136" spans="1:45">
      <c r="A136" s="3"/>
      <c r="B136" s="3"/>
      <c r="C136" s="3"/>
      <c r="D136" s="3"/>
      <c r="E136" s="3"/>
      <c r="F136" s="4"/>
      <c r="G136" s="3"/>
      <c r="H136" s="3"/>
      <c r="I136" s="3"/>
      <c r="J136" s="3"/>
      <c r="K136" s="3"/>
      <c r="L136" s="3"/>
      <c r="M136" s="3"/>
      <c r="O136" s="3"/>
      <c r="P136" s="3"/>
      <c r="Q136" s="3"/>
      <c r="R136" s="3"/>
      <c r="S136" s="3"/>
      <c r="T136" s="3"/>
      <c r="U136" s="3"/>
      <c r="V136" s="3"/>
      <c r="Y136" s="3"/>
      <c r="AE136" s="3"/>
      <c r="AF136" s="3"/>
      <c r="AK136" s="3"/>
      <c r="AM136" s="3"/>
      <c r="AO136" s="3"/>
      <c r="AR136" s="3"/>
      <c r="AS136" s="3"/>
    </row>
    <row r="137" spans="1:45">
      <c r="A137" s="3"/>
      <c r="B137" s="3"/>
      <c r="C137" s="3"/>
      <c r="D137" s="3"/>
      <c r="E137" s="3"/>
      <c r="F137" s="4"/>
      <c r="G137" s="3"/>
      <c r="H137" s="3"/>
      <c r="I137" s="3"/>
      <c r="J137" s="3"/>
      <c r="K137" s="3"/>
      <c r="L137" s="3"/>
      <c r="M137" s="3"/>
      <c r="O137" s="3"/>
      <c r="P137" s="3"/>
      <c r="Q137" s="3"/>
      <c r="R137" s="3"/>
      <c r="S137" s="3"/>
      <c r="T137" s="3"/>
      <c r="U137" s="3"/>
      <c r="V137" s="3"/>
      <c r="Y137" s="3"/>
      <c r="AE137" s="3"/>
      <c r="AF137" s="3"/>
      <c r="AK137" s="3"/>
      <c r="AM137" s="3"/>
      <c r="AO137" s="3"/>
      <c r="AR137" s="3"/>
      <c r="AS137" s="3"/>
    </row>
    <row r="138" spans="1:45">
      <c r="A138" s="3"/>
      <c r="B138" s="3"/>
      <c r="C138" s="3"/>
      <c r="D138" s="3"/>
      <c r="E138" s="3"/>
      <c r="F138" s="4"/>
      <c r="G138" s="3"/>
      <c r="H138" s="3"/>
      <c r="I138" s="3"/>
      <c r="J138" s="3"/>
      <c r="K138" s="3"/>
      <c r="L138" s="3"/>
      <c r="M138" s="3"/>
      <c r="O138" s="3"/>
      <c r="P138" s="3"/>
      <c r="Q138" s="3"/>
      <c r="R138" s="3"/>
      <c r="S138" s="3"/>
      <c r="T138" s="3"/>
      <c r="U138" s="3"/>
      <c r="V138" s="3"/>
      <c r="Y138" s="3"/>
      <c r="AE138" s="3"/>
      <c r="AF138" s="3"/>
      <c r="AK138" s="3"/>
      <c r="AM138" s="3"/>
      <c r="AO138" s="3"/>
      <c r="AR138" s="3"/>
      <c r="AS138" s="3"/>
    </row>
    <row r="139" spans="1:45">
      <c r="A139" s="3"/>
      <c r="B139" s="3"/>
      <c r="C139" s="3"/>
      <c r="D139" s="3"/>
      <c r="E139" s="3"/>
      <c r="F139" s="4"/>
      <c r="G139" s="3"/>
      <c r="H139" s="3"/>
      <c r="I139" s="3"/>
      <c r="J139" s="3"/>
      <c r="K139" s="3"/>
      <c r="L139" s="3"/>
      <c r="M139" s="3"/>
      <c r="O139" s="3"/>
      <c r="P139" s="3"/>
      <c r="Q139" s="3"/>
      <c r="R139" s="3"/>
      <c r="S139" s="3"/>
      <c r="T139" s="3"/>
      <c r="U139" s="3"/>
      <c r="V139" s="3"/>
      <c r="Y139" s="3"/>
      <c r="AE139" s="3"/>
      <c r="AF139" s="3"/>
      <c r="AK139" s="3"/>
      <c r="AM139" s="3"/>
      <c r="AO139" s="3"/>
      <c r="AR139" s="3"/>
      <c r="AS139" s="3"/>
    </row>
    <row r="140" spans="1:45">
      <c r="A140" s="3"/>
      <c r="B140" s="3"/>
      <c r="C140" s="3"/>
      <c r="D140" s="3"/>
      <c r="E140" s="3"/>
      <c r="F140" s="4"/>
      <c r="G140" s="3"/>
      <c r="H140" s="3"/>
      <c r="I140" s="3"/>
      <c r="J140" s="3"/>
      <c r="K140" s="3"/>
      <c r="L140" s="3"/>
      <c r="M140" s="3"/>
      <c r="O140" s="3"/>
      <c r="P140" s="3"/>
      <c r="Q140" s="3"/>
      <c r="R140" s="3"/>
      <c r="S140" s="3"/>
      <c r="T140" s="3"/>
      <c r="U140" s="3"/>
      <c r="V140" s="3"/>
      <c r="Y140" s="3"/>
      <c r="AE140" s="3"/>
      <c r="AF140" s="3"/>
      <c r="AK140" s="3"/>
      <c r="AM140" s="3"/>
      <c r="AO140" s="3"/>
      <c r="AR140" s="3"/>
      <c r="AS140" s="3"/>
    </row>
    <row r="141" spans="1:45">
      <c r="A141" s="3"/>
      <c r="B141" s="3"/>
      <c r="C141" s="3"/>
      <c r="D141" s="3"/>
      <c r="E141" s="3"/>
      <c r="F141" s="4"/>
      <c r="G141" s="3"/>
      <c r="H141" s="3"/>
      <c r="I141" s="3"/>
      <c r="J141" s="3"/>
      <c r="K141" s="3"/>
      <c r="L141" s="3"/>
      <c r="M141" s="3"/>
      <c r="O141" s="3"/>
      <c r="P141" s="3"/>
      <c r="Q141" s="3"/>
      <c r="R141" s="3"/>
      <c r="S141" s="3"/>
      <c r="T141" s="3"/>
      <c r="U141" s="3"/>
      <c r="V141" s="3"/>
      <c r="Y141" s="3"/>
      <c r="AE141" s="3"/>
      <c r="AF141" s="3"/>
      <c r="AK141" s="3"/>
      <c r="AM141" s="3"/>
      <c r="AO141" s="3"/>
      <c r="AR141" s="3"/>
      <c r="AS141" s="3"/>
    </row>
    <row r="142" spans="1:45">
      <c r="A142" s="3"/>
      <c r="B142" s="3"/>
      <c r="C142" s="3"/>
      <c r="D142" s="3"/>
      <c r="E142" s="3"/>
      <c r="F142" s="4"/>
      <c r="G142" s="3"/>
      <c r="H142" s="3"/>
      <c r="I142" s="3"/>
      <c r="J142" s="3"/>
      <c r="K142" s="3"/>
      <c r="L142" s="3"/>
      <c r="M142" s="3"/>
      <c r="O142" s="3"/>
      <c r="P142" s="3"/>
      <c r="Q142" s="3"/>
      <c r="R142" s="3"/>
      <c r="S142" s="3"/>
      <c r="T142" s="3"/>
      <c r="U142" s="3"/>
      <c r="V142" s="3"/>
      <c r="Y142" s="3"/>
      <c r="AE142" s="3"/>
      <c r="AF142" s="3"/>
      <c r="AK142" s="3"/>
      <c r="AM142" s="3"/>
      <c r="AO142" s="3"/>
      <c r="AR142" s="3"/>
      <c r="AS142" s="3"/>
    </row>
    <row r="143" spans="1:45">
      <c r="A143" s="3"/>
      <c r="B143" s="3"/>
      <c r="C143" s="3"/>
      <c r="D143" s="3"/>
      <c r="E143" s="3"/>
      <c r="F143" s="4"/>
      <c r="G143" s="3"/>
      <c r="H143" s="3"/>
      <c r="I143" s="3"/>
      <c r="J143" s="3"/>
      <c r="K143" s="3"/>
      <c r="L143" s="3"/>
      <c r="M143" s="3"/>
      <c r="O143" s="3"/>
      <c r="P143" s="3"/>
      <c r="Q143" s="3"/>
      <c r="R143" s="3"/>
      <c r="S143" s="3"/>
      <c r="T143" s="3"/>
      <c r="U143" s="3"/>
      <c r="V143" s="3"/>
      <c r="Y143" s="3"/>
      <c r="AE143" s="3"/>
      <c r="AF143" s="3"/>
      <c r="AK143" s="3"/>
      <c r="AM143" s="3"/>
      <c r="AO143" s="3"/>
      <c r="AR143" s="3"/>
      <c r="AS143" s="3"/>
    </row>
    <row r="144" spans="1:45">
      <c r="A144" s="3"/>
      <c r="B144" s="3"/>
      <c r="C144" s="3"/>
      <c r="D144" s="3"/>
      <c r="E144" s="3"/>
      <c r="F144" s="4"/>
      <c r="G144" s="3"/>
      <c r="H144" s="3"/>
      <c r="I144" s="3"/>
      <c r="J144" s="3"/>
      <c r="K144" s="3"/>
      <c r="L144" s="3"/>
      <c r="M144" s="3"/>
      <c r="O144" s="3"/>
      <c r="P144" s="3"/>
      <c r="Q144" s="3"/>
      <c r="R144" s="3"/>
      <c r="S144" s="3"/>
      <c r="T144" s="3"/>
      <c r="U144" s="3"/>
      <c r="V144" s="3"/>
      <c r="Y144" s="3"/>
      <c r="AE144" s="3"/>
      <c r="AF144" s="3"/>
      <c r="AK144" s="3"/>
      <c r="AM144" s="3"/>
      <c r="AO144" s="3"/>
      <c r="AR144" s="3"/>
      <c r="AS144" s="3"/>
    </row>
    <row r="145" spans="1:45">
      <c r="A145" s="3"/>
      <c r="B145" s="3"/>
      <c r="C145" s="3"/>
      <c r="D145" s="3"/>
      <c r="E145" s="3"/>
      <c r="F145" s="4"/>
      <c r="G145" s="3"/>
      <c r="H145" s="3"/>
      <c r="I145" s="3"/>
      <c r="J145" s="3"/>
      <c r="K145" s="3"/>
      <c r="L145" s="3"/>
      <c r="M145" s="3"/>
      <c r="O145" s="3"/>
      <c r="P145" s="3"/>
      <c r="Q145" s="3"/>
      <c r="R145" s="3"/>
      <c r="S145" s="3"/>
      <c r="T145" s="3"/>
      <c r="U145" s="3"/>
      <c r="V145" s="3"/>
      <c r="Y145" s="3"/>
      <c r="AE145" s="3"/>
      <c r="AF145" s="3"/>
      <c r="AK145" s="3"/>
      <c r="AM145" s="3"/>
      <c r="AO145" s="3"/>
      <c r="AR145" s="3"/>
      <c r="AS145" s="3"/>
    </row>
    <row r="146" spans="1:45">
      <c r="A146" s="3"/>
      <c r="B146" s="3"/>
      <c r="C146" s="3"/>
      <c r="D146" s="3"/>
      <c r="E146" s="3"/>
      <c r="F146" s="4"/>
      <c r="G146" s="3"/>
      <c r="H146" s="3"/>
      <c r="I146" s="3"/>
      <c r="J146" s="3"/>
      <c r="K146" s="3"/>
      <c r="L146" s="3"/>
      <c r="M146" s="3"/>
      <c r="O146" s="3"/>
      <c r="P146" s="3"/>
      <c r="Q146" s="3"/>
      <c r="R146" s="3"/>
      <c r="S146" s="3"/>
      <c r="T146" s="3"/>
      <c r="U146" s="3"/>
      <c r="V146" s="3"/>
      <c r="Y146" s="3"/>
      <c r="AE146" s="3"/>
      <c r="AF146" s="3"/>
      <c r="AK146" s="3"/>
      <c r="AM146" s="3"/>
      <c r="AO146" s="3"/>
      <c r="AR146" s="3"/>
      <c r="AS146" s="3"/>
    </row>
    <row r="147" spans="1:45">
      <c r="A147" s="3"/>
      <c r="B147" s="3"/>
      <c r="C147" s="3"/>
      <c r="D147" s="3"/>
      <c r="E147" s="3"/>
      <c r="F147" s="4"/>
      <c r="G147" s="3"/>
      <c r="H147" s="3"/>
      <c r="I147" s="3"/>
      <c r="J147" s="3"/>
      <c r="K147" s="3"/>
      <c r="L147" s="3"/>
      <c r="M147" s="3"/>
      <c r="O147" s="3"/>
      <c r="P147" s="3"/>
      <c r="Q147" s="3"/>
      <c r="R147" s="3"/>
      <c r="S147" s="3"/>
      <c r="T147" s="3"/>
      <c r="U147" s="3"/>
      <c r="V147" s="3"/>
      <c r="Y147" s="3"/>
      <c r="AE147" s="3"/>
      <c r="AF147" s="3"/>
      <c r="AK147" s="3"/>
      <c r="AM147" s="3"/>
      <c r="AO147" s="3"/>
      <c r="AR147" s="3"/>
      <c r="AS147" s="3"/>
    </row>
    <row r="148" spans="1:45">
      <c r="A148" s="3"/>
      <c r="B148" s="3"/>
      <c r="C148" s="3"/>
      <c r="D148" s="3"/>
      <c r="E148" s="3"/>
      <c r="F148" s="4"/>
      <c r="G148" s="3"/>
      <c r="H148" s="3"/>
      <c r="I148" s="3"/>
      <c r="J148" s="3"/>
      <c r="K148" s="3"/>
      <c r="L148" s="3"/>
      <c r="M148" s="3"/>
      <c r="O148" s="3"/>
      <c r="P148" s="3"/>
      <c r="Q148" s="3"/>
      <c r="R148" s="3"/>
      <c r="S148" s="3"/>
      <c r="T148" s="3"/>
      <c r="U148" s="3"/>
      <c r="V148" s="3"/>
      <c r="Y148" s="3"/>
      <c r="AE148" s="3"/>
      <c r="AF148" s="3"/>
      <c r="AK148" s="3"/>
      <c r="AM148" s="3"/>
      <c r="AO148" s="3"/>
      <c r="AR148" s="3"/>
      <c r="AS148" s="3"/>
    </row>
    <row r="149" spans="1:45">
      <c r="A149" s="3"/>
      <c r="B149" s="3"/>
      <c r="C149" s="3"/>
      <c r="D149" s="3"/>
      <c r="E149" s="3"/>
      <c r="F149" s="4"/>
      <c r="G149" s="3"/>
      <c r="H149" s="3"/>
      <c r="I149" s="3"/>
      <c r="J149" s="3"/>
      <c r="K149" s="3"/>
      <c r="L149" s="3"/>
      <c r="M149" s="3"/>
      <c r="O149" s="3"/>
      <c r="P149" s="3"/>
      <c r="Q149" s="3"/>
      <c r="R149" s="3"/>
      <c r="S149" s="3"/>
      <c r="T149" s="3"/>
      <c r="U149" s="3"/>
      <c r="V149" s="3"/>
      <c r="Y149" s="3"/>
      <c r="AE149" s="3"/>
      <c r="AF149" s="3"/>
      <c r="AK149" s="3"/>
      <c r="AM149" s="3"/>
      <c r="AO149" s="3"/>
      <c r="AR149" s="3"/>
      <c r="AS149" s="3"/>
    </row>
    <row r="150" spans="1:45">
      <c r="A150" s="3"/>
      <c r="B150" s="3"/>
      <c r="C150" s="3"/>
      <c r="D150" s="3"/>
      <c r="E150" s="3"/>
      <c r="F150" s="4"/>
      <c r="G150" s="3"/>
      <c r="H150" s="3"/>
      <c r="I150" s="3"/>
      <c r="J150" s="3"/>
      <c r="K150" s="3"/>
      <c r="L150" s="3"/>
      <c r="M150" s="3"/>
      <c r="O150" s="3"/>
      <c r="P150" s="3"/>
      <c r="Q150" s="3"/>
      <c r="R150" s="3"/>
      <c r="S150" s="3"/>
      <c r="T150" s="3"/>
      <c r="U150" s="3"/>
      <c r="V150" s="3"/>
      <c r="Y150" s="3"/>
      <c r="AE150" s="3"/>
      <c r="AF150" s="3"/>
      <c r="AK150" s="3"/>
      <c r="AM150" s="3"/>
      <c r="AO150" s="3"/>
      <c r="AR150" s="3"/>
      <c r="AS150" s="3"/>
    </row>
    <row r="151" spans="1:45">
      <c r="A151" s="3"/>
      <c r="B151" s="3"/>
      <c r="C151" s="3"/>
      <c r="D151" s="3"/>
      <c r="E151" s="3"/>
      <c r="F151" s="4"/>
      <c r="G151" s="3"/>
      <c r="H151" s="3"/>
      <c r="I151" s="3"/>
      <c r="J151" s="3"/>
      <c r="K151" s="3"/>
      <c r="L151" s="3"/>
      <c r="M151" s="3"/>
      <c r="O151" s="3"/>
      <c r="P151" s="3"/>
      <c r="Q151" s="3"/>
      <c r="R151" s="3"/>
      <c r="S151" s="3"/>
      <c r="T151" s="3"/>
      <c r="U151" s="3"/>
      <c r="V151" s="3"/>
      <c r="Y151" s="3"/>
      <c r="AE151" s="3"/>
      <c r="AF151" s="3"/>
      <c r="AK151" s="3"/>
      <c r="AM151" s="3"/>
      <c r="AO151" s="3"/>
      <c r="AR151" s="3"/>
      <c r="AS151" s="3"/>
    </row>
    <row r="152" spans="1:45">
      <c r="A152" s="3"/>
      <c r="B152" s="3"/>
      <c r="C152" s="3"/>
      <c r="D152" s="3"/>
      <c r="E152" s="3"/>
      <c r="F152" s="4"/>
      <c r="G152" s="3"/>
      <c r="H152" s="3"/>
      <c r="I152" s="3"/>
      <c r="J152" s="3"/>
      <c r="K152" s="3"/>
      <c r="L152" s="3"/>
      <c r="M152" s="3"/>
      <c r="O152" s="3"/>
      <c r="P152" s="3"/>
      <c r="Q152" s="3"/>
      <c r="R152" s="3"/>
      <c r="S152" s="3"/>
      <c r="T152" s="3"/>
      <c r="U152" s="3"/>
      <c r="V152" s="3"/>
      <c r="Y152" s="3"/>
      <c r="AE152" s="3"/>
      <c r="AF152" s="3"/>
      <c r="AK152" s="3"/>
      <c r="AM152" s="3"/>
      <c r="AO152" s="3"/>
      <c r="AR152" s="3"/>
      <c r="AS152" s="3"/>
    </row>
    <row r="153" spans="1:45">
      <c r="A153" s="3"/>
      <c r="B153" s="3"/>
      <c r="C153" s="3"/>
      <c r="D153" s="3"/>
      <c r="E153" s="3"/>
      <c r="F153" s="4"/>
      <c r="G153" s="3"/>
      <c r="H153" s="3"/>
      <c r="I153" s="3"/>
      <c r="J153" s="3"/>
      <c r="K153" s="3"/>
      <c r="L153" s="3"/>
      <c r="M153" s="3"/>
      <c r="O153" s="3"/>
      <c r="P153" s="3"/>
      <c r="Q153" s="3"/>
      <c r="R153" s="3"/>
      <c r="S153" s="3"/>
      <c r="T153" s="3"/>
      <c r="U153" s="3"/>
      <c r="V153" s="3"/>
      <c r="Y153" s="3"/>
      <c r="AE153" s="3"/>
      <c r="AF153" s="3"/>
      <c r="AK153" s="3"/>
      <c r="AM153" s="3"/>
      <c r="AO153" s="3"/>
      <c r="AR153" s="3"/>
      <c r="AS153" s="3"/>
    </row>
    <row r="154" spans="1:45">
      <c r="A154" s="3"/>
      <c r="B154" s="3"/>
      <c r="C154" s="3"/>
      <c r="D154" s="3"/>
      <c r="E154" s="3"/>
      <c r="F154" s="4"/>
      <c r="G154" s="3"/>
      <c r="H154" s="3"/>
      <c r="I154" s="3"/>
      <c r="J154" s="3"/>
      <c r="K154" s="3"/>
      <c r="L154" s="3"/>
      <c r="M154" s="3"/>
      <c r="O154" s="3"/>
      <c r="P154" s="3"/>
      <c r="Q154" s="3"/>
      <c r="R154" s="3"/>
      <c r="S154" s="3"/>
      <c r="T154" s="3"/>
      <c r="U154" s="3"/>
      <c r="V154" s="3"/>
      <c r="Y154" s="3"/>
      <c r="AE154" s="3"/>
      <c r="AF154" s="3"/>
      <c r="AK154" s="3"/>
      <c r="AM154" s="3"/>
      <c r="AO154" s="3"/>
      <c r="AR154" s="3"/>
      <c r="AS154" s="3"/>
    </row>
    <row r="155" spans="1:45">
      <c r="A155" s="3"/>
      <c r="B155" s="3"/>
      <c r="C155" s="3"/>
      <c r="D155" s="3"/>
      <c r="E155" s="3"/>
      <c r="F155" s="4"/>
      <c r="G155" s="3"/>
      <c r="H155" s="3"/>
      <c r="I155" s="3"/>
      <c r="J155" s="3"/>
      <c r="K155" s="3"/>
      <c r="L155" s="3"/>
      <c r="M155" s="3"/>
      <c r="O155" s="3"/>
      <c r="P155" s="3"/>
      <c r="Q155" s="3"/>
      <c r="R155" s="3"/>
      <c r="S155" s="3"/>
      <c r="T155" s="3"/>
      <c r="U155" s="3"/>
      <c r="V155" s="3"/>
      <c r="Y155" s="3"/>
      <c r="AE155" s="3"/>
      <c r="AF155" s="3"/>
      <c r="AK155" s="3"/>
      <c r="AM155" s="3"/>
      <c r="AO155" s="3"/>
      <c r="AR155" s="3"/>
      <c r="AS155" s="3"/>
    </row>
    <row r="156" spans="1:45">
      <c r="A156" s="3"/>
      <c r="B156" s="3"/>
      <c r="C156" s="3"/>
      <c r="D156" s="3"/>
      <c r="E156" s="3"/>
      <c r="F156" s="4"/>
      <c r="G156" s="3"/>
      <c r="H156" s="3"/>
      <c r="I156" s="3"/>
      <c r="J156" s="3"/>
      <c r="K156" s="3"/>
      <c r="L156" s="3"/>
      <c r="M156" s="3"/>
      <c r="O156" s="3"/>
      <c r="P156" s="3"/>
      <c r="Q156" s="3"/>
      <c r="R156" s="3"/>
      <c r="S156" s="3"/>
      <c r="T156" s="3"/>
      <c r="U156" s="3"/>
      <c r="V156" s="3"/>
      <c r="Y156" s="3"/>
      <c r="AE156" s="3"/>
      <c r="AF156" s="3"/>
      <c r="AK156" s="3"/>
      <c r="AM156" s="3"/>
      <c r="AO156" s="3"/>
      <c r="AR156" s="3"/>
      <c r="AS156" s="3"/>
    </row>
    <row r="157" spans="1:45">
      <c r="A157" s="3"/>
      <c r="B157" s="3"/>
      <c r="C157" s="3"/>
      <c r="D157" s="3"/>
      <c r="E157" s="3"/>
      <c r="F157" s="4"/>
      <c r="G157" s="3"/>
      <c r="H157" s="3"/>
      <c r="I157" s="3"/>
      <c r="J157" s="3"/>
      <c r="K157" s="3"/>
      <c r="L157" s="3"/>
      <c r="M157" s="3"/>
      <c r="O157" s="3"/>
      <c r="P157" s="3"/>
      <c r="Q157" s="3"/>
      <c r="R157" s="3"/>
      <c r="S157" s="3"/>
      <c r="T157" s="3"/>
      <c r="U157" s="3"/>
      <c r="V157" s="3"/>
      <c r="Y157" s="3"/>
      <c r="AE157" s="3"/>
      <c r="AF157" s="3"/>
      <c r="AK157" s="3"/>
      <c r="AM157" s="3"/>
      <c r="AO157" s="3"/>
      <c r="AR157" s="3"/>
      <c r="AS157" s="3"/>
    </row>
    <row r="158" spans="1:45">
      <c r="A158" s="3"/>
      <c r="B158" s="3"/>
      <c r="C158" s="3"/>
      <c r="D158" s="3"/>
      <c r="E158" s="3"/>
      <c r="F158" s="4"/>
      <c r="G158" s="3"/>
      <c r="H158" s="3"/>
      <c r="I158" s="3"/>
      <c r="J158" s="3"/>
      <c r="K158" s="3"/>
      <c r="L158" s="3"/>
      <c r="M158" s="3"/>
      <c r="O158" s="3"/>
      <c r="P158" s="3"/>
      <c r="Q158" s="3"/>
      <c r="R158" s="3"/>
      <c r="S158" s="3"/>
      <c r="T158" s="3"/>
      <c r="U158" s="3"/>
      <c r="V158" s="3"/>
      <c r="Y158" s="3"/>
      <c r="AE158" s="3"/>
      <c r="AF158" s="3"/>
      <c r="AK158" s="3"/>
      <c r="AM158" s="3"/>
      <c r="AO158" s="3"/>
      <c r="AR158" s="3"/>
      <c r="AS158" s="3"/>
    </row>
    <row r="159" spans="1:45">
      <c r="A159" s="3"/>
      <c r="B159" s="3"/>
      <c r="C159" s="3"/>
      <c r="D159" s="3"/>
      <c r="E159" s="3"/>
      <c r="F159" s="4"/>
      <c r="G159" s="3"/>
      <c r="H159" s="3"/>
      <c r="I159" s="3"/>
      <c r="J159" s="3"/>
      <c r="K159" s="3"/>
      <c r="L159" s="3"/>
      <c r="M159" s="3"/>
      <c r="O159" s="3"/>
      <c r="P159" s="3"/>
      <c r="Q159" s="3"/>
      <c r="R159" s="3"/>
      <c r="S159" s="3"/>
      <c r="T159" s="3"/>
      <c r="U159" s="3"/>
      <c r="V159" s="3"/>
      <c r="Y159" s="3"/>
      <c r="AE159" s="3"/>
      <c r="AF159" s="3"/>
      <c r="AK159" s="3"/>
      <c r="AM159" s="3"/>
      <c r="AO159" s="3"/>
      <c r="AR159" s="3"/>
      <c r="AS159" s="3"/>
    </row>
    <row r="160" spans="1:45">
      <c r="A160" s="3"/>
      <c r="B160" s="3"/>
      <c r="C160" s="3"/>
      <c r="D160" s="3"/>
      <c r="E160" s="3"/>
      <c r="F160" s="4"/>
      <c r="G160" s="3"/>
      <c r="H160" s="3"/>
      <c r="I160" s="3"/>
      <c r="J160" s="3"/>
      <c r="K160" s="3"/>
      <c r="L160" s="3"/>
      <c r="M160" s="3"/>
      <c r="O160" s="3"/>
      <c r="P160" s="3"/>
      <c r="Q160" s="3"/>
      <c r="R160" s="3"/>
      <c r="S160" s="3"/>
      <c r="T160" s="3"/>
      <c r="U160" s="3"/>
      <c r="V160" s="3"/>
      <c r="Y160" s="3"/>
      <c r="AE160" s="3"/>
      <c r="AF160" s="3"/>
      <c r="AK160" s="3"/>
      <c r="AM160" s="3"/>
      <c r="AO160" s="3"/>
      <c r="AR160" s="3"/>
      <c r="AS160" s="3"/>
    </row>
    <row r="161" spans="1:45">
      <c r="A161" s="3"/>
      <c r="B161" s="3"/>
      <c r="C161" s="3"/>
      <c r="D161" s="3"/>
      <c r="E161" s="3"/>
      <c r="F161" s="4"/>
      <c r="G161" s="3"/>
      <c r="H161" s="3"/>
      <c r="I161" s="3"/>
      <c r="J161" s="3"/>
      <c r="K161" s="3"/>
      <c r="L161" s="3"/>
      <c r="M161" s="3"/>
      <c r="O161" s="3"/>
      <c r="P161" s="3"/>
      <c r="Q161" s="3"/>
      <c r="R161" s="3"/>
      <c r="S161" s="3"/>
      <c r="T161" s="3"/>
      <c r="U161" s="3"/>
      <c r="V161" s="3"/>
      <c r="Y161" s="3"/>
      <c r="AE161" s="3"/>
      <c r="AF161" s="3"/>
      <c r="AK161" s="3"/>
      <c r="AM161" s="3"/>
      <c r="AO161" s="3"/>
      <c r="AR161" s="3"/>
      <c r="AS161" s="3"/>
    </row>
    <row r="162" spans="1:45">
      <c r="A162" s="3"/>
      <c r="B162" s="3"/>
      <c r="C162" s="3"/>
      <c r="D162" s="3"/>
      <c r="E162" s="3"/>
      <c r="F162" s="4"/>
      <c r="G162" s="3"/>
      <c r="H162" s="3"/>
      <c r="I162" s="3"/>
      <c r="J162" s="3"/>
      <c r="K162" s="3"/>
      <c r="L162" s="3"/>
      <c r="M162" s="3"/>
      <c r="O162" s="3"/>
      <c r="P162" s="3"/>
      <c r="Q162" s="3"/>
      <c r="R162" s="3"/>
      <c r="S162" s="3"/>
      <c r="T162" s="3"/>
      <c r="U162" s="3"/>
      <c r="V162" s="3"/>
      <c r="Y162" s="3"/>
      <c r="AE162" s="3"/>
      <c r="AF162" s="3"/>
      <c r="AK162" s="3"/>
      <c r="AM162" s="3"/>
      <c r="AO162" s="3"/>
      <c r="AR162" s="3"/>
      <c r="AS162" s="3"/>
    </row>
    <row r="163" spans="1:45">
      <c r="A163" s="3"/>
      <c r="B163" s="3"/>
      <c r="C163" s="3"/>
      <c r="D163" s="3"/>
      <c r="E163" s="3"/>
      <c r="F163" s="4"/>
      <c r="G163" s="3"/>
      <c r="H163" s="3"/>
      <c r="I163" s="3"/>
      <c r="J163" s="3"/>
      <c r="K163" s="3"/>
      <c r="L163" s="3"/>
      <c r="M163" s="3"/>
      <c r="O163" s="3"/>
      <c r="P163" s="3"/>
      <c r="Q163" s="3"/>
      <c r="R163" s="3"/>
      <c r="S163" s="3"/>
      <c r="T163" s="3"/>
      <c r="U163" s="3"/>
      <c r="V163" s="3"/>
      <c r="Y163" s="3"/>
      <c r="AE163" s="3"/>
      <c r="AF163" s="3"/>
      <c r="AK163" s="3"/>
      <c r="AM163" s="3"/>
      <c r="AO163" s="3"/>
      <c r="AR163" s="3"/>
      <c r="AS163" s="3"/>
    </row>
    <row r="164" spans="1:45">
      <c r="A164" s="3"/>
      <c r="B164" s="3"/>
      <c r="C164" s="3"/>
      <c r="D164" s="3"/>
      <c r="E164" s="3"/>
      <c r="F164" s="4"/>
      <c r="G164" s="3"/>
      <c r="H164" s="3"/>
      <c r="I164" s="3"/>
      <c r="J164" s="3"/>
      <c r="K164" s="3"/>
      <c r="L164" s="3"/>
      <c r="M164" s="3"/>
      <c r="O164" s="3"/>
      <c r="P164" s="3"/>
      <c r="Q164" s="3"/>
      <c r="R164" s="3"/>
      <c r="S164" s="3"/>
      <c r="T164" s="3"/>
      <c r="U164" s="3"/>
      <c r="V164" s="3"/>
      <c r="Y164" s="3"/>
      <c r="AE164" s="3"/>
      <c r="AF164" s="3"/>
      <c r="AK164" s="3"/>
      <c r="AM164" s="3"/>
      <c r="AO164" s="3"/>
      <c r="AR164" s="3"/>
      <c r="AS164" s="3"/>
    </row>
    <row r="165" spans="1:45">
      <c r="A165" s="3"/>
      <c r="B165" s="3"/>
      <c r="C165" s="3"/>
      <c r="D165" s="3"/>
      <c r="E165" s="3"/>
      <c r="F165" s="4"/>
      <c r="G165" s="3"/>
      <c r="H165" s="3"/>
      <c r="I165" s="3"/>
      <c r="J165" s="3"/>
      <c r="K165" s="3"/>
      <c r="L165" s="3"/>
      <c r="M165" s="3"/>
      <c r="O165" s="3"/>
      <c r="P165" s="3"/>
      <c r="Q165" s="3"/>
      <c r="R165" s="3"/>
      <c r="S165" s="3"/>
      <c r="T165" s="3"/>
      <c r="U165" s="3"/>
      <c r="V165" s="3"/>
      <c r="Y165" s="3"/>
      <c r="AE165" s="3"/>
      <c r="AF165" s="3"/>
      <c r="AK165" s="3"/>
      <c r="AM165" s="3"/>
      <c r="AO165" s="3"/>
      <c r="AR165" s="3"/>
      <c r="AS165" s="3"/>
    </row>
    <row r="166" spans="1:45">
      <c r="A166" s="3"/>
      <c r="B166" s="3"/>
      <c r="C166" s="3"/>
      <c r="D166" s="3"/>
      <c r="E166" s="3"/>
      <c r="F166" s="4"/>
      <c r="G166" s="3"/>
      <c r="H166" s="3"/>
      <c r="I166" s="3"/>
      <c r="J166" s="3"/>
      <c r="K166" s="3"/>
      <c r="L166" s="3"/>
      <c r="M166" s="3"/>
      <c r="O166" s="3"/>
      <c r="P166" s="3"/>
      <c r="Q166" s="3"/>
      <c r="R166" s="3"/>
      <c r="S166" s="3"/>
      <c r="T166" s="3"/>
      <c r="U166" s="3"/>
      <c r="V166" s="3"/>
      <c r="Y166" s="3"/>
      <c r="AE166" s="3"/>
      <c r="AF166" s="3"/>
      <c r="AK166" s="3"/>
      <c r="AM166" s="3"/>
      <c r="AO166" s="3"/>
      <c r="AR166" s="3"/>
      <c r="AS166" s="3"/>
    </row>
    <row r="167" spans="1:45">
      <c r="A167" s="3"/>
      <c r="B167" s="3"/>
      <c r="C167" s="3"/>
      <c r="D167" s="3"/>
      <c r="E167" s="3"/>
      <c r="F167" s="4"/>
      <c r="G167" s="3"/>
      <c r="H167" s="3"/>
      <c r="I167" s="3"/>
      <c r="J167" s="3"/>
      <c r="K167" s="3"/>
      <c r="L167" s="3"/>
      <c r="M167" s="3"/>
      <c r="O167" s="3"/>
      <c r="P167" s="3"/>
      <c r="Q167" s="3"/>
      <c r="R167" s="3"/>
      <c r="S167" s="3"/>
      <c r="T167" s="3"/>
      <c r="U167" s="3"/>
      <c r="V167" s="3"/>
      <c r="Y167" s="3"/>
      <c r="AE167" s="3"/>
      <c r="AF167" s="3"/>
      <c r="AK167" s="3"/>
      <c r="AM167" s="3"/>
      <c r="AO167" s="3"/>
      <c r="AR167" s="3"/>
      <c r="AS167" s="3"/>
    </row>
    <row r="168" spans="1:45">
      <c r="A168" s="3"/>
      <c r="B168" s="3"/>
      <c r="C168" s="3"/>
      <c r="D168" s="3"/>
      <c r="E168" s="3"/>
      <c r="F168" s="4"/>
      <c r="G168" s="3"/>
      <c r="H168" s="3"/>
      <c r="I168" s="3"/>
      <c r="J168" s="3"/>
      <c r="K168" s="3"/>
      <c r="L168" s="3"/>
      <c r="M168" s="3"/>
      <c r="O168" s="3"/>
      <c r="P168" s="3"/>
      <c r="Q168" s="3"/>
      <c r="R168" s="3"/>
      <c r="S168" s="3"/>
      <c r="T168" s="3"/>
      <c r="U168" s="3"/>
      <c r="V168" s="3"/>
      <c r="Y168" s="3"/>
      <c r="AE168" s="3"/>
      <c r="AF168" s="3"/>
      <c r="AK168" s="3"/>
      <c r="AM168" s="3"/>
      <c r="AO168" s="3"/>
      <c r="AR168" s="3"/>
      <c r="AS168" s="3"/>
    </row>
    <row r="169" spans="1:45">
      <c r="A169" s="3"/>
      <c r="B169" s="3"/>
      <c r="C169" s="3"/>
      <c r="D169" s="3"/>
      <c r="E169" s="3"/>
      <c r="F169" s="4"/>
      <c r="G169" s="3"/>
      <c r="H169" s="3"/>
      <c r="I169" s="3"/>
      <c r="J169" s="3"/>
      <c r="K169" s="3"/>
      <c r="L169" s="3"/>
      <c r="M169" s="3"/>
      <c r="O169" s="3"/>
      <c r="P169" s="3"/>
      <c r="Q169" s="3"/>
      <c r="R169" s="3"/>
      <c r="S169" s="3"/>
      <c r="T169" s="3"/>
      <c r="U169" s="3"/>
      <c r="V169" s="3"/>
      <c r="Y169" s="3"/>
      <c r="AE169" s="3"/>
      <c r="AF169" s="3"/>
      <c r="AK169" s="3"/>
      <c r="AM169" s="3"/>
      <c r="AO169" s="3"/>
      <c r="AR169" s="3"/>
      <c r="AS169" s="3"/>
    </row>
    <row r="170" spans="1:45">
      <c r="A170" s="3"/>
      <c r="B170" s="3"/>
      <c r="C170" s="3"/>
      <c r="D170" s="3"/>
      <c r="E170" s="3"/>
      <c r="F170" s="4"/>
      <c r="G170" s="3"/>
      <c r="H170" s="3"/>
      <c r="I170" s="3"/>
      <c r="J170" s="3"/>
      <c r="K170" s="3"/>
      <c r="L170" s="3"/>
      <c r="M170" s="3"/>
      <c r="O170" s="3"/>
      <c r="P170" s="3"/>
      <c r="Q170" s="3"/>
      <c r="R170" s="3"/>
      <c r="S170" s="3"/>
      <c r="T170" s="3"/>
      <c r="U170" s="3"/>
      <c r="V170" s="3"/>
      <c r="Y170" s="3"/>
      <c r="AE170" s="3"/>
      <c r="AF170" s="3"/>
      <c r="AK170" s="3"/>
      <c r="AM170" s="3"/>
      <c r="AO170" s="3"/>
      <c r="AR170" s="3"/>
      <c r="AS170" s="3"/>
    </row>
    <row r="171" spans="1:45">
      <c r="A171" s="3"/>
      <c r="B171" s="3"/>
      <c r="C171" s="3"/>
      <c r="D171" s="3"/>
      <c r="E171" s="3"/>
      <c r="F171" s="4"/>
      <c r="G171" s="3"/>
      <c r="H171" s="3"/>
      <c r="I171" s="3"/>
      <c r="J171" s="3"/>
      <c r="K171" s="3"/>
      <c r="L171" s="3"/>
      <c r="M171" s="3"/>
      <c r="O171" s="3"/>
      <c r="P171" s="3"/>
      <c r="Q171" s="3"/>
      <c r="R171" s="3"/>
      <c r="S171" s="3"/>
      <c r="T171" s="3"/>
      <c r="U171" s="3"/>
      <c r="V171" s="3"/>
      <c r="Y171" s="3"/>
      <c r="AE171" s="3"/>
      <c r="AF171" s="3"/>
      <c r="AK171" s="3"/>
      <c r="AM171" s="3"/>
      <c r="AO171" s="3"/>
      <c r="AR171" s="3"/>
      <c r="AS171" s="3"/>
    </row>
    <row r="172" spans="1:45">
      <c r="A172" s="3"/>
      <c r="B172" s="3"/>
      <c r="C172" s="3"/>
      <c r="D172" s="3"/>
      <c r="E172" s="3"/>
      <c r="F172" s="4"/>
      <c r="G172" s="3"/>
      <c r="H172" s="3"/>
      <c r="I172" s="3"/>
      <c r="J172" s="3"/>
      <c r="K172" s="3"/>
      <c r="L172" s="3"/>
      <c r="M172" s="3"/>
      <c r="O172" s="3"/>
      <c r="P172" s="3"/>
      <c r="Q172" s="3"/>
      <c r="R172" s="3"/>
      <c r="S172" s="3"/>
      <c r="T172" s="3"/>
      <c r="U172" s="3"/>
      <c r="V172" s="3"/>
      <c r="Y172" s="3"/>
      <c r="AE172" s="3"/>
      <c r="AF172" s="3"/>
      <c r="AK172" s="3"/>
      <c r="AM172" s="3"/>
      <c r="AO172" s="3"/>
      <c r="AR172" s="3"/>
      <c r="AS172" s="3"/>
    </row>
    <row r="173" spans="1:45">
      <c r="A173" s="3"/>
      <c r="B173" s="3"/>
      <c r="C173" s="3"/>
      <c r="D173" s="3"/>
      <c r="E173" s="3"/>
      <c r="F173" s="4"/>
      <c r="G173" s="3"/>
      <c r="H173" s="3"/>
      <c r="I173" s="3"/>
      <c r="J173" s="3"/>
      <c r="K173" s="3"/>
      <c r="L173" s="3"/>
      <c r="M173" s="3"/>
      <c r="O173" s="3"/>
      <c r="P173" s="3"/>
      <c r="Q173" s="3"/>
      <c r="R173" s="3"/>
      <c r="S173" s="3"/>
      <c r="T173" s="3"/>
      <c r="U173" s="3"/>
      <c r="V173" s="3"/>
      <c r="Y173" s="3"/>
      <c r="AE173" s="3"/>
      <c r="AF173" s="3"/>
      <c r="AK173" s="3"/>
      <c r="AM173" s="3"/>
      <c r="AO173" s="3"/>
      <c r="AR173" s="3"/>
      <c r="AS173" s="3"/>
    </row>
    <row r="174" spans="1:45">
      <c r="A174" s="3"/>
      <c r="B174" s="3"/>
      <c r="C174" s="3"/>
      <c r="D174" s="3"/>
      <c r="E174" s="3"/>
      <c r="F174" s="4"/>
      <c r="G174" s="3"/>
      <c r="H174" s="3"/>
      <c r="I174" s="3"/>
      <c r="J174" s="3"/>
      <c r="K174" s="3"/>
      <c r="L174" s="3"/>
      <c r="M174" s="3"/>
      <c r="O174" s="3"/>
      <c r="P174" s="3"/>
      <c r="Q174" s="3"/>
      <c r="R174" s="3"/>
      <c r="S174" s="3"/>
      <c r="T174" s="3"/>
      <c r="U174" s="3"/>
      <c r="V174" s="3"/>
      <c r="Y174" s="3"/>
      <c r="AE174" s="3"/>
      <c r="AF174" s="3"/>
      <c r="AK174" s="3"/>
      <c r="AM174" s="3"/>
      <c r="AO174" s="3"/>
      <c r="AR174" s="3"/>
      <c r="AS174" s="3"/>
    </row>
    <row r="175" spans="1:45">
      <c r="A175" s="3"/>
      <c r="B175" s="3"/>
      <c r="C175" s="3"/>
      <c r="D175" s="3"/>
      <c r="E175" s="3"/>
      <c r="F175" s="4"/>
      <c r="G175" s="3"/>
      <c r="H175" s="3"/>
      <c r="I175" s="3"/>
      <c r="J175" s="3"/>
      <c r="K175" s="3"/>
      <c r="L175" s="3"/>
      <c r="M175" s="3"/>
      <c r="O175" s="3"/>
      <c r="P175" s="3"/>
      <c r="Q175" s="3"/>
      <c r="R175" s="3"/>
      <c r="S175" s="3"/>
      <c r="T175" s="3"/>
      <c r="U175" s="3"/>
      <c r="V175" s="3"/>
      <c r="Y175" s="3"/>
      <c r="AE175" s="3"/>
      <c r="AF175" s="3"/>
      <c r="AK175" s="3"/>
      <c r="AM175" s="3"/>
      <c r="AO175" s="3"/>
      <c r="AR175" s="3"/>
      <c r="AS175" s="3"/>
    </row>
    <row r="176" spans="1:45">
      <c r="A176" s="3"/>
      <c r="B176" s="3"/>
      <c r="C176" s="3"/>
      <c r="D176" s="3"/>
      <c r="E176" s="3"/>
      <c r="F176" s="4"/>
      <c r="G176" s="3"/>
      <c r="H176" s="3"/>
      <c r="I176" s="3"/>
      <c r="J176" s="3"/>
      <c r="K176" s="3"/>
      <c r="L176" s="3"/>
      <c r="M176" s="3"/>
      <c r="O176" s="3"/>
      <c r="P176" s="3"/>
      <c r="Q176" s="3"/>
      <c r="R176" s="3"/>
      <c r="S176" s="3"/>
      <c r="T176" s="3"/>
      <c r="U176" s="3"/>
      <c r="V176" s="3"/>
      <c r="Y176" s="3"/>
      <c r="AE176" s="3"/>
      <c r="AF176" s="3"/>
      <c r="AK176" s="3"/>
      <c r="AM176" s="3"/>
      <c r="AO176" s="3"/>
      <c r="AR176" s="3"/>
      <c r="AS176" s="3"/>
    </row>
    <row r="177" spans="1:45">
      <c r="A177" s="3"/>
      <c r="B177" s="3"/>
      <c r="C177" s="3"/>
      <c r="D177" s="3"/>
      <c r="E177" s="3"/>
      <c r="F177" s="4"/>
      <c r="G177" s="3"/>
      <c r="H177" s="3"/>
      <c r="I177" s="3"/>
      <c r="J177" s="3"/>
      <c r="K177" s="3"/>
      <c r="L177" s="3"/>
      <c r="M177" s="3"/>
      <c r="O177" s="3"/>
      <c r="P177" s="3"/>
      <c r="Q177" s="3"/>
      <c r="R177" s="3"/>
      <c r="S177" s="3"/>
      <c r="T177" s="3"/>
      <c r="U177" s="3"/>
      <c r="V177" s="3"/>
      <c r="Y177" s="3"/>
      <c r="AE177" s="3"/>
      <c r="AF177" s="3"/>
      <c r="AK177" s="3"/>
      <c r="AM177" s="3"/>
      <c r="AO177" s="3"/>
      <c r="AR177" s="3"/>
      <c r="AS177" s="3"/>
    </row>
    <row r="178" spans="1:45">
      <c r="A178" s="3"/>
      <c r="B178" s="3"/>
      <c r="C178" s="3"/>
      <c r="D178" s="3"/>
      <c r="E178" s="3"/>
      <c r="F178" s="4"/>
      <c r="G178" s="3"/>
      <c r="H178" s="3"/>
      <c r="I178" s="3"/>
      <c r="J178" s="3"/>
      <c r="K178" s="3"/>
      <c r="L178" s="3"/>
      <c r="M178" s="3"/>
      <c r="O178" s="3"/>
      <c r="P178" s="3"/>
      <c r="Q178" s="3"/>
      <c r="R178" s="3"/>
      <c r="S178" s="3"/>
      <c r="T178" s="3"/>
      <c r="U178" s="3"/>
      <c r="V178" s="3"/>
      <c r="Y178" s="3"/>
      <c r="AE178" s="3"/>
      <c r="AF178" s="3"/>
      <c r="AK178" s="3"/>
      <c r="AM178" s="3"/>
      <c r="AO178" s="3"/>
      <c r="AR178" s="3"/>
      <c r="AS178" s="3"/>
    </row>
    <row r="179" spans="1:45">
      <c r="A179" s="3"/>
      <c r="B179" s="3"/>
      <c r="C179" s="3"/>
      <c r="D179" s="3"/>
      <c r="E179" s="3"/>
      <c r="F179" s="4"/>
      <c r="G179" s="3"/>
      <c r="H179" s="3"/>
      <c r="I179" s="3"/>
      <c r="J179" s="3"/>
      <c r="K179" s="3"/>
      <c r="L179" s="3"/>
      <c r="M179" s="3"/>
      <c r="O179" s="3"/>
      <c r="P179" s="3"/>
      <c r="Q179" s="3"/>
      <c r="R179" s="3"/>
      <c r="S179" s="3"/>
      <c r="T179" s="3"/>
      <c r="U179" s="3"/>
      <c r="V179" s="3"/>
      <c r="Y179" s="3"/>
      <c r="AE179" s="3"/>
      <c r="AF179" s="3"/>
      <c r="AK179" s="3"/>
      <c r="AM179" s="3"/>
      <c r="AO179" s="3"/>
      <c r="AR179" s="3"/>
      <c r="AS179" s="3"/>
    </row>
    <row r="180" spans="1:45">
      <c r="A180" s="3"/>
      <c r="B180" s="3"/>
      <c r="C180" s="3"/>
      <c r="D180" s="3"/>
      <c r="E180" s="3"/>
      <c r="F180" s="4"/>
      <c r="G180" s="3"/>
      <c r="H180" s="3"/>
      <c r="I180" s="3"/>
      <c r="J180" s="3"/>
      <c r="K180" s="3"/>
      <c r="L180" s="3"/>
      <c r="M180" s="3"/>
      <c r="O180" s="3"/>
      <c r="P180" s="3"/>
      <c r="Q180" s="3"/>
      <c r="R180" s="3"/>
      <c r="S180" s="3"/>
      <c r="T180" s="3"/>
      <c r="U180" s="3"/>
      <c r="V180" s="3"/>
      <c r="Y180" s="3"/>
      <c r="AE180" s="3"/>
      <c r="AF180" s="3"/>
      <c r="AK180" s="3"/>
      <c r="AM180" s="3"/>
      <c r="AO180" s="3"/>
      <c r="AR180" s="3"/>
      <c r="AS180" s="3"/>
    </row>
    <row r="181" spans="1:45">
      <c r="A181" s="3"/>
      <c r="B181" s="3"/>
      <c r="C181" s="3"/>
      <c r="D181" s="3"/>
      <c r="E181" s="3"/>
      <c r="F181" s="4"/>
      <c r="G181" s="3"/>
      <c r="H181" s="3"/>
      <c r="I181" s="3"/>
      <c r="J181" s="3"/>
      <c r="K181" s="3"/>
      <c r="L181" s="3"/>
      <c r="M181" s="3"/>
      <c r="O181" s="3"/>
      <c r="P181" s="3"/>
      <c r="Q181" s="3"/>
      <c r="R181" s="3"/>
      <c r="S181" s="3"/>
      <c r="T181" s="3"/>
      <c r="U181" s="3"/>
      <c r="V181" s="3"/>
      <c r="Y181" s="3"/>
      <c r="AE181" s="3"/>
      <c r="AF181" s="3"/>
      <c r="AK181" s="3"/>
      <c r="AM181" s="3"/>
      <c r="AO181" s="3"/>
      <c r="AR181" s="3"/>
      <c r="AS181" s="3"/>
    </row>
    <row r="182" spans="1:45">
      <c r="A182" s="3"/>
      <c r="B182" s="3"/>
      <c r="C182" s="3"/>
      <c r="D182" s="3"/>
      <c r="E182" s="3"/>
      <c r="F182" s="4"/>
      <c r="G182" s="3"/>
      <c r="H182" s="3"/>
      <c r="I182" s="3"/>
      <c r="J182" s="3"/>
      <c r="K182" s="3"/>
      <c r="L182" s="3"/>
      <c r="M182" s="3"/>
      <c r="O182" s="3"/>
      <c r="P182" s="3"/>
      <c r="Q182" s="3"/>
      <c r="R182" s="3"/>
      <c r="S182" s="3"/>
      <c r="T182" s="3"/>
      <c r="U182" s="3"/>
      <c r="V182" s="3"/>
      <c r="Y182" s="3"/>
      <c r="AE182" s="3"/>
      <c r="AF182" s="3"/>
      <c r="AK182" s="3"/>
      <c r="AM182" s="3"/>
      <c r="AO182" s="3"/>
      <c r="AR182" s="3"/>
      <c r="AS182" s="3"/>
    </row>
    <row r="183" spans="1:45">
      <c r="A183" s="3"/>
      <c r="B183" s="3"/>
      <c r="C183" s="3"/>
      <c r="D183" s="3"/>
      <c r="E183" s="3"/>
      <c r="F183" s="4"/>
      <c r="G183" s="3"/>
      <c r="H183" s="3"/>
      <c r="I183" s="3"/>
      <c r="J183" s="3"/>
      <c r="K183" s="3"/>
      <c r="L183" s="3"/>
      <c r="M183" s="3"/>
      <c r="O183" s="3"/>
      <c r="P183" s="3"/>
      <c r="Q183" s="3"/>
      <c r="R183" s="3"/>
      <c r="S183" s="3"/>
      <c r="T183" s="3"/>
      <c r="U183" s="3"/>
      <c r="V183" s="3"/>
      <c r="Y183" s="3"/>
      <c r="AE183" s="3"/>
      <c r="AF183" s="3"/>
      <c r="AK183" s="3"/>
      <c r="AM183" s="3"/>
      <c r="AO183" s="3"/>
      <c r="AR183" s="3"/>
      <c r="AS183" s="3"/>
    </row>
    <row r="184" spans="1:45">
      <c r="A184" s="3"/>
      <c r="B184" s="3"/>
      <c r="C184" s="3"/>
      <c r="D184" s="3"/>
      <c r="E184" s="3"/>
      <c r="F184" s="4"/>
      <c r="G184" s="3"/>
      <c r="H184" s="3"/>
      <c r="I184" s="3"/>
      <c r="J184" s="3"/>
      <c r="K184" s="3"/>
      <c r="L184" s="3"/>
      <c r="M184" s="3"/>
      <c r="O184" s="3"/>
      <c r="P184" s="3"/>
      <c r="Q184" s="3"/>
      <c r="R184" s="3"/>
      <c r="S184" s="3"/>
      <c r="T184" s="3"/>
      <c r="U184" s="3"/>
      <c r="V184" s="3"/>
      <c r="Y184" s="3"/>
      <c r="AE184" s="3"/>
      <c r="AF184" s="3"/>
      <c r="AK184" s="3"/>
      <c r="AM184" s="3"/>
      <c r="AO184" s="3"/>
      <c r="AR184" s="3"/>
      <c r="AS184" s="3"/>
    </row>
    <row r="185" spans="1:45">
      <c r="A185" s="3"/>
      <c r="B185" s="3"/>
      <c r="C185" s="3"/>
      <c r="D185" s="3"/>
      <c r="E185" s="3"/>
      <c r="F185" s="4"/>
      <c r="G185" s="3"/>
      <c r="H185" s="3"/>
      <c r="I185" s="3"/>
      <c r="J185" s="3"/>
      <c r="K185" s="3"/>
      <c r="L185" s="3"/>
      <c r="M185" s="3"/>
      <c r="O185" s="3"/>
      <c r="P185" s="3"/>
      <c r="Q185" s="3"/>
      <c r="R185" s="3"/>
      <c r="S185" s="3"/>
      <c r="T185" s="3"/>
      <c r="U185" s="3"/>
      <c r="V185" s="3"/>
      <c r="Y185" s="3"/>
      <c r="AE185" s="3"/>
      <c r="AF185" s="3"/>
      <c r="AK185" s="3"/>
      <c r="AM185" s="3"/>
      <c r="AO185" s="3"/>
      <c r="AR185" s="3"/>
      <c r="AS185" s="3"/>
    </row>
    <row r="186" spans="1:45">
      <c r="A186" s="3"/>
      <c r="B186" s="3"/>
      <c r="C186" s="3"/>
      <c r="D186" s="3"/>
      <c r="E186" s="3"/>
      <c r="F186" s="4"/>
      <c r="G186" s="3"/>
      <c r="H186" s="3"/>
      <c r="I186" s="3"/>
      <c r="J186" s="3"/>
      <c r="K186" s="3"/>
      <c r="L186" s="3"/>
      <c r="M186" s="3"/>
      <c r="O186" s="3"/>
      <c r="P186" s="3"/>
      <c r="Q186" s="3"/>
      <c r="R186" s="3"/>
      <c r="S186" s="3"/>
      <c r="T186" s="3"/>
      <c r="U186" s="3"/>
      <c r="V186" s="3"/>
      <c r="Y186" s="3"/>
      <c r="AE186" s="3"/>
      <c r="AF186" s="3"/>
      <c r="AK186" s="3"/>
      <c r="AM186" s="3"/>
      <c r="AO186" s="3"/>
      <c r="AR186" s="3"/>
      <c r="AS186" s="3"/>
    </row>
    <row r="187" spans="1:45">
      <c r="A187" s="3"/>
      <c r="B187" s="3"/>
      <c r="C187" s="3"/>
      <c r="D187" s="3"/>
      <c r="E187" s="3"/>
      <c r="F187" s="4"/>
      <c r="G187" s="3"/>
      <c r="H187" s="3"/>
      <c r="I187" s="3"/>
      <c r="J187" s="3"/>
      <c r="K187" s="3"/>
      <c r="L187" s="3"/>
      <c r="M187" s="3"/>
      <c r="O187" s="3"/>
      <c r="P187" s="3"/>
      <c r="Q187" s="3"/>
      <c r="R187" s="3"/>
      <c r="S187" s="3"/>
      <c r="T187" s="3"/>
      <c r="U187" s="3"/>
      <c r="V187" s="3"/>
      <c r="Y187" s="3"/>
      <c r="AE187" s="3"/>
      <c r="AF187" s="3"/>
      <c r="AK187" s="3"/>
      <c r="AM187" s="3"/>
      <c r="AO187" s="3"/>
      <c r="AR187" s="3"/>
      <c r="AS187" s="3"/>
    </row>
    <row r="188" spans="1:45">
      <c r="A188" s="3"/>
      <c r="B188" s="3"/>
      <c r="C188" s="3"/>
      <c r="D188" s="3"/>
      <c r="E188" s="3"/>
      <c r="F188" s="4"/>
      <c r="G188" s="3"/>
      <c r="H188" s="3"/>
      <c r="I188" s="3"/>
      <c r="J188" s="3"/>
      <c r="K188" s="3"/>
      <c r="L188" s="3"/>
      <c r="M188" s="3"/>
      <c r="O188" s="3"/>
      <c r="P188" s="3"/>
      <c r="Q188" s="3"/>
      <c r="R188" s="3"/>
      <c r="S188" s="3"/>
      <c r="T188" s="3"/>
      <c r="U188" s="3"/>
      <c r="V188" s="3"/>
      <c r="Y188" s="3"/>
      <c r="AE188" s="3"/>
      <c r="AF188" s="3"/>
      <c r="AK188" s="3"/>
      <c r="AM188" s="3"/>
      <c r="AO188" s="3"/>
      <c r="AR188" s="3"/>
      <c r="AS188" s="3"/>
    </row>
    <row r="189" spans="1:45">
      <c r="A189" s="3"/>
      <c r="B189" s="3"/>
      <c r="C189" s="3"/>
      <c r="D189" s="3"/>
      <c r="E189" s="3"/>
      <c r="F189" s="4"/>
      <c r="G189" s="3"/>
      <c r="H189" s="3"/>
      <c r="I189" s="3"/>
      <c r="J189" s="3"/>
      <c r="K189" s="3"/>
      <c r="L189" s="3"/>
      <c r="M189" s="3"/>
      <c r="O189" s="3"/>
      <c r="P189" s="3"/>
      <c r="Q189" s="3"/>
      <c r="R189" s="3"/>
      <c r="S189" s="3"/>
      <c r="T189" s="3"/>
      <c r="U189" s="3"/>
      <c r="V189" s="3"/>
      <c r="Y189" s="3"/>
      <c r="AE189" s="3"/>
      <c r="AF189" s="3"/>
      <c r="AK189" s="3"/>
      <c r="AM189" s="3"/>
      <c r="AO189" s="3"/>
      <c r="AR189" s="3"/>
      <c r="AS189" s="3"/>
    </row>
    <row r="190" spans="1:45">
      <c r="A190" s="3"/>
      <c r="B190" s="3"/>
      <c r="C190" s="3"/>
      <c r="D190" s="3"/>
      <c r="E190" s="3"/>
      <c r="F190" s="4"/>
      <c r="G190" s="3"/>
      <c r="H190" s="3"/>
      <c r="I190" s="3"/>
      <c r="J190" s="3"/>
      <c r="K190" s="3"/>
      <c r="L190" s="3"/>
      <c r="M190" s="3"/>
      <c r="O190" s="3"/>
      <c r="P190" s="3"/>
      <c r="Q190" s="3"/>
      <c r="R190" s="3"/>
      <c r="S190" s="3"/>
      <c r="T190" s="3"/>
      <c r="U190" s="3"/>
      <c r="V190" s="3"/>
      <c r="Y190" s="3"/>
      <c r="AE190" s="3"/>
      <c r="AF190" s="3"/>
      <c r="AK190" s="3"/>
      <c r="AM190" s="3"/>
      <c r="AO190" s="3"/>
      <c r="AR190" s="3"/>
      <c r="AS190" s="3"/>
    </row>
    <row r="191" spans="1:45">
      <c r="A191" s="3"/>
      <c r="B191" s="3"/>
      <c r="C191" s="3"/>
      <c r="D191" s="3"/>
      <c r="E191" s="3"/>
      <c r="F191" s="4"/>
      <c r="G191" s="3"/>
      <c r="H191" s="3"/>
      <c r="I191" s="3"/>
      <c r="J191" s="3"/>
      <c r="K191" s="3"/>
      <c r="L191" s="3"/>
      <c r="M191" s="3"/>
      <c r="O191" s="3"/>
      <c r="P191" s="3"/>
      <c r="Q191" s="3"/>
      <c r="R191" s="3"/>
      <c r="S191" s="3"/>
      <c r="T191" s="3"/>
      <c r="U191" s="3"/>
      <c r="V191" s="3"/>
      <c r="Y191" s="3"/>
      <c r="AE191" s="3"/>
      <c r="AF191" s="3"/>
      <c r="AK191" s="3"/>
      <c r="AM191" s="3"/>
      <c r="AO191" s="3"/>
      <c r="AR191" s="3"/>
      <c r="AS191" s="3"/>
    </row>
    <row r="192" spans="1:45">
      <c r="A192" s="3"/>
      <c r="B192" s="3"/>
      <c r="C192" s="3"/>
      <c r="D192" s="3"/>
      <c r="E192" s="3"/>
      <c r="F192" s="4"/>
      <c r="G192" s="3"/>
      <c r="H192" s="3"/>
      <c r="I192" s="3"/>
      <c r="J192" s="3"/>
      <c r="K192" s="3"/>
      <c r="L192" s="3"/>
      <c r="M192" s="3"/>
      <c r="O192" s="3"/>
      <c r="P192" s="3"/>
      <c r="Q192" s="3"/>
      <c r="R192" s="3"/>
      <c r="S192" s="3"/>
      <c r="T192" s="3"/>
      <c r="U192" s="3"/>
      <c r="V192" s="3"/>
      <c r="Y192" s="3"/>
      <c r="AE192" s="3"/>
      <c r="AF192" s="3"/>
      <c r="AK192" s="3"/>
      <c r="AM192" s="3"/>
      <c r="AO192" s="3"/>
      <c r="AR192" s="3"/>
      <c r="AS192" s="3"/>
    </row>
    <row r="193" spans="1:45">
      <c r="A193" s="3"/>
      <c r="B193" s="3"/>
      <c r="C193" s="3"/>
      <c r="D193" s="3"/>
      <c r="E193" s="3"/>
      <c r="F193" s="4"/>
      <c r="G193" s="3"/>
      <c r="H193" s="3"/>
      <c r="I193" s="3"/>
      <c r="J193" s="3"/>
      <c r="K193" s="3"/>
      <c r="L193" s="3"/>
      <c r="M193" s="3"/>
      <c r="O193" s="3"/>
      <c r="P193" s="3"/>
      <c r="Q193" s="3"/>
      <c r="R193" s="3"/>
      <c r="S193" s="3"/>
      <c r="T193" s="3"/>
      <c r="U193" s="3"/>
      <c r="V193" s="3"/>
      <c r="Y193" s="3"/>
      <c r="AE193" s="3"/>
      <c r="AF193" s="3"/>
      <c r="AK193" s="3"/>
      <c r="AM193" s="3"/>
      <c r="AO193" s="3"/>
      <c r="AR193" s="3"/>
      <c r="AS193" s="3"/>
    </row>
    <row r="194" spans="1:45">
      <c r="A194" s="3"/>
      <c r="B194" s="3"/>
      <c r="C194" s="3"/>
      <c r="D194" s="3"/>
      <c r="E194" s="3"/>
      <c r="F194" s="4"/>
      <c r="G194" s="3"/>
      <c r="H194" s="3"/>
      <c r="I194" s="3"/>
      <c r="J194" s="3"/>
      <c r="K194" s="3"/>
      <c r="L194" s="3"/>
      <c r="M194" s="3"/>
      <c r="O194" s="3"/>
      <c r="P194" s="3"/>
      <c r="Q194" s="3"/>
      <c r="R194" s="3"/>
      <c r="S194" s="3"/>
      <c r="T194" s="3"/>
      <c r="U194" s="3"/>
      <c r="V194" s="3"/>
      <c r="Y194" s="3"/>
      <c r="AE194" s="3"/>
      <c r="AF194" s="3"/>
      <c r="AK194" s="3"/>
      <c r="AM194" s="3"/>
      <c r="AO194" s="3"/>
      <c r="AR194" s="3"/>
      <c r="AS194" s="3"/>
    </row>
    <row r="195" spans="1:45">
      <c r="A195" s="3"/>
      <c r="B195" s="3"/>
      <c r="C195" s="3"/>
      <c r="D195" s="3"/>
      <c r="E195" s="3"/>
      <c r="F195" s="4"/>
      <c r="G195" s="3"/>
      <c r="H195" s="3"/>
      <c r="I195" s="3"/>
      <c r="J195" s="3"/>
      <c r="K195" s="3"/>
      <c r="L195" s="3"/>
      <c r="M195" s="3"/>
      <c r="O195" s="3"/>
      <c r="P195" s="3"/>
      <c r="Q195" s="3"/>
      <c r="R195" s="3"/>
      <c r="S195" s="3"/>
      <c r="T195" s="3"/>
      <c r="U195" s="3"/>
      <c r="V195" s="3"/>
      <c r="Y195" s="3"/>
      <c r="AE195" s="3"/>
      <c r="AF195" s="3"/>
      <c r="AK195" s="3"/>
      <c r="AM195" s="3"/>
      <c r="AO195" s="3"/>
      <c r="AR195" s="3"/>
      <c r="AS195" s="3"/>
    </row>
    <row r="196" spans="1:45">
      <c r="A196" s="3"/>
      <c r="B196" s="3"/>
      <c r="C196" s="3"/>
      <c r="D196" s="3"/>
      <c r="E196" s="3"/>
      <c r="F196" s="4"/>
      <c r="G196" s="3"/>
      <c r="H196" s="3"/>
      <c r="I196" s="3"/>
      <c r="J196" s="3"/>
      <c r="K196" s="3"/>
      <c r="L196" s="3"/>
      <c r="M196" s="3"/>
      <c r="O196" s="3"/>
      <c r="P196" s="3"/>
      <c r="Q196" s="3"/>
      <c r="R196" s="3"/>
      <c r="S196" s="3"/>
      <c r="T196" s="3"/>
      <c r="U196" s="3"/>
      <c r="V196" s="3"/>
      <c r="Y196" s="3"/>
      <c r="AE196" s="3"/>
      <c r="AF196" s="3"/>
      <c r="AK196" s="3"/>
      <c r="AM196" s="3"/>
      <c r="AO196" s="3"/>
      <c r="AR196" s="3"/>
      <c r="AS196" s="3"/>
    </row>
    <row r="197" spans="1:45">
      <c r="A197" s="3"/>
      <c r="B197" s="3"/>
      <c r="C197" s="3"/>
      <c r="D197" s="3"/>
      <c r="E197" s="3"/>
      <c r="F197" s="4"/>
      <c r="G197" s="3"/>
      <c r="H197" s="3"/>
      <c r="I197" s="3"/>
      <c r="J197" s="3"/>
      <c r="K197" s="3"/>
      <c r="L197" s="3"/>
      <c r="M197" s="3"/>
      <c r="O197" s="3"/>
      <c r="P197" s="3"/>
      <c r="Q197" s="3"/>
      <c r="R197" s="3"/>
      <c r="S197" s="3"/>
      <c r="T197" s="3"/>
      <c r="U197" s="3"/>
      <c r="V197" s="3"/>
      <c r="Y197" s="3"/>
      <c r="AE197" s="3"/>
      <c r="AF197" s="3"/>
      <c r="AK197" s="3"/>
      <c r="AM197" s="3"/>
      <c r="AO197" s="3"/>
      <c r="AR197" s="3"/>
      <c r="AS197" s="3"/>
    </row>
    <row r="198" spans="1:45">
      <c r="A198" s="3"/>
      <c r="B198" s="3"/>
      <c r="C198" s="3"/>
      <c r="D198" s="3"/>
      <c r="E198" s="3"/>
      <c r="F198" s="4"/>
      <c r="G198" s="3"/>
      <c r="H198" s="3"/>
      <c r="I198" s="3"/>
      <c r="J198" s="3"/>
      <c r="K198" s="3"/>
      <c r="L198" s="3"/>
      <c r="M198" s="3"/>
      <c r="O198" s="3"/>
      <c r="P198" s="3"/>
      <c r="Q198" s="3"/>
      <c r="R198" s="3"/>
      <c r="S198" s="3"/>
      <c r="T198" s="3"/>
      <c r="U198" s="3"/>
      <c r="V198" s="3"/>
      <c r="Y198" s="3"/>
      <c r="AE198" s="3"/>
      <c r="AF198" s="3"/>
      <c r="AK198" s="3"/>
      <c r="AM198" s="3"/>
      <c r="AO198" s="3"/>
      <c r="AR198" s="3"/>
      <c r="AS198" s="3"/>
    </row>
    <row r="199" spans="1:45">
      <c r="A199" s="3"/>
      <c r="B199" s="3"/>
      <c r="C199" s="3"/>
      <c r="D199" s="3"/>
      <c r="E199" s="3"/>
      <c r="F199" s="4"/>
      <c r="G199" s="3"/>
      <c r="H199" s="3"/>
      <c r="I199" s="3"/>
      <c r="J199" s="3"/>
      <c r="K199" s="3"/>
      <c r="L199" s="3"/>
      <c r="M199" s="3"/>
      <c r="O199" s="3"/>
      <c r="P199" s="3"/>
      <c r="Q199" s="3"/>
      <c r="R199" s="3"/>
      <c r="S199" s="3"/>
      <c r="T199" s="3"/>
      <c r="U199" s="3"/>
      <c r="V199" s="3"/>
      <c r="Y199" s="3"/>
      <c r="AE199" s="3"/>
      <c r="AF199" s="3"/>
      <c r="AK199" s="3"/>
      <c r="AM199" s="3"/>
      <c r="AO199" s="3"/>
      <c r="AR199" s="3"/>
      <c r="AS199" s="3"/>
    </row>
    <row r="200" spans="1:45">
      <c r="A200" s="3"/>
      <c r="B200" s="3"/>
      <c r="C200" s="3"/>
      <c r="D200" s="3"/>
      <c r="E200" s="3"/>
      <c r="F200" s="4"/>
      <c r="G200" s="3"/>
      <c r="H200" s="3"/>
      <c r="I200" s="3"/>
      <c r="J200" s="3"/>
      <c r="K200" s="3"/>
      <c r="L200" s="3"/>
      <c r="M200" s="3"/>
      <c r="O200" s="3"/>
      <c r="P200" s="3"/>
      <c r="Q200" s="3"/>
      <c r="R200" s="3"/>
      <c r="S200" s="3"/>
      <c r="T200" s="3"/>
      <c r="U200" s="3"/>
      <c r="V200" s="3"/>
      <c r="Y200" s="3"/>
      <c r="AE200" s="3"/>
      <c r="AF200" s="3"/>
      <c r="AK200" s="3"/>
      <c r="AM200" s="3"/>
      <c r="AO200" s="3"/>
      <c r="AR200" s="3"/>
      <c r="AS200" s="3"/>
    </row>
    <row r="201" spans="1:45">
      <c r="A201" s="3"/>
      <c r="B201" s="3"/>
      <c r="C201" s="3"/>
      <c r="D201" s="3"/>
      <c r="E201" s="3"/>
      <c r="F201" s="4"/>
      <c r="G201" s="3"/>
      <c r="H201" s="3"/>
      <c r="I201" s="3"/>
      <c r="J201" s="3"/>
      <c r="K201" s="3"/>
      <c r="L201" s="3"/>
      <c r="M201" s="3"/>
      <c r="O201" s="3"/>
      <c r="P201" s="3"/>
      <c r="Q201" s="3"/>
      <c r="R201" s="3"/>
      <c r="S201" s="3"/>
      <c r="T201" s="3"/>
      <c r="U201" s="3"/>
      <c r="V201" s="3"/>
      <c r="Y201" s="3"/>
      <c r="AE201" s="3"/>
      <c r="AF201" s="3"/>
      <c r="AK201" s="3"/>
      <c r="AM201" s="3"/>
      <c r="AO201" s="3"/>
      <c r="AR201" s="3"/>
      <c r="AS201" s="3"/>
    </row>
    <row r="202" spans="1:45">
      <c r="A202" s="3"/>
      <c r="B202" s="3"/>
      <c r="C202" s="3"/>
      <c r="D202" s="3"/>
      <c r="E202" s="3"/>
      <c r="F202" s="4"/>
      <c r="G202" s="3"/>
      <c r="H202" s="3"/>
      <c r="I202" s="3"/>
      <c r="J202" s="3"/>
      <c r="K202" s="3"/>
      <c r="L202" s="3"/>
      <c r="M202" s="3"/>
      <c r="O202" s="3"/>
      <c r="P202" s="3"/>
      <c r="Q202" s="3"/>
      <c r="R202" s="3"/>
      <c r="S202" s="3"/>
      <c r="T202" s="3"/>
      <c r="U202" s="3"/>
      <c r="V202" s="3"/>
      <c r="Y202" s="3"/>
      <c r="AE202" s="3"/>
      <c r="AF202" s="3"/>
      <c r="AK202" s="3"/>
      <c r="AM202" s="3"/>
      <c r="AO202" s="3"/>
      <c r="AR202" s="3"/>
      <c r="AS202" s="3"/>
    </row>
    <row r="203" spans="1:45">
      <c r="A203" s="3"/>
      <c r="B203" s="3"/>
      <c r="C203" s="3"/>
      <c r="D203" s="3"/>
      <c r="E203" s="3"/>
      <c r="F203" s="4"/>
      <c r="G203" s="3"/>
      <c r="H203" s="3"/>
      <c r="I203" s="3"/>
      <c r="J203" s="3"/>
      <c r="K203" s="3"/>
      <c r="L203" s="3"/>
      <c r="M203" s="3"/>
      <c r="O203" s="3"/>
      <c r="P203" s="3"/>
      <c r="Q203" s="3"/>
      <c r="R203" s="3"/>
      <c r="S203" s="3"/>
      <c r="T203" s="3"/>
      <c r="U203" s="3"/>
      <c r="V203" s="3"/>
      <c r="Y203" s="3"/>
      <c r="AE203" s="3"/>
      <c r="AF203" s="3"/>
      <c r="AK203" s="3"/>
      <c r="AM203" s="3"/>
      <c r="AO203" s="3"/>
      <c r="AR203" s="3"/>
      <c r="AS203" s="3"/>
    </row>
    <row r="204" spans="1:45">
      <c r="A204" s="3"/>
      <c r="B204" s="3"/>
      <c r="C204" s="3"/>
      <c r="D204" s="3"/>
      <c r="E204" s="3"/>
      <c r="F204" s="4"/>
      <c r="G204" s="3"/>
      <c r="H204" s="3"/>
      <c r="I204" s="3"/>
      <c r="J204" s="3"/>
      <c r="K204" s="3"/>
      <c r="L204" s="3"/>
      <c r="M204" s="3"/>
      <c r="O204" s="3"/>
      <c r="P204" s="3"/>
      <c r="Q204" s="3"/>
      <c r="R204" s="3"/>
      <c r="S204" s="3"/>
      <c r="T204" s="3"/>
      <c r="U204" s="3"/>
      <c r="V204" s="3"/>
      <c r="Y204" s="3"/>
      <c r="AE204" s="3"/>
      <c r="AF204" s="3"/>
      <c r="AK204" s="3"/>
      <c r="AM204" s="3"/>
      <c r="AO204" s="3"/>
      <c r="AR204" s="3"/>
      <c r="AS204" s="3"/>
    </row>
    <row r="205" spans="1:45">
      <c r="A205" s="3"/>
      <c r="B205" s="3"/>
      <c r="C205" s="3"/>
      <c r="D205" s="3"/>
      <c r="E205" s="3"/>
      <c r="F205" s="4"/>
      <c r="G205" s="3"/>
      <c r="H205" s="3"/>
      <c r="I205" s="3"/>
      <c r="J205" s="3"/>
      <c r="K205" s="3"/>
      <c r="L205" s="3"/>
      <c r="M205" s="3"/>
      <c r="O205" s="3"/>
      <c r="P205" s="3"/>
      <c r="Q205" s="3"/>
      <c r="R205" s="3"/>
      <c r="S205" s="3"/>
      <c r="T205" s="3"/>
      <c r="U205" s="3"/>
      <c r="V205" s="3"/>
      <c r="Y205" s="3"/>
      <c r="AE205" s="3"/>
      <c r="AF205" s="3"/>
      <c r="AK205" s="3"/>
      <c r="AM205" s="3"/>
      <c r="AO205" s="3"/>
      <c r="AR205" s="3"/>
      <c r="AS205" s="3"/>
    </row>
    <row r="206" spans="1:45">
      <c r="A206" s="3"/>
      <c r="B206" s="3"/>
      <c r="C206" s="3"/>
      <c r="D206" s="3"/>
      <c r="E206" s="3"/>
      <c r="F206" s="4"/>
      <c r="G206" s="3"/>
      <c r="H206" s="3"/>
      <c r="I206" s="3"/>
      <c r="J206" s="3"/>
      <c r="K206" s="3"/>
      <c r="L206" s="3"/>
      <c r="M206" s="3"/>
      <c r="O206" s="3"/>
      <c r="P206" s="3"/>
      <c r="Q206" s="3"/>
      <c r="R206" s="3"/>
      <c r="S206" s="3"/>
      <c r="T206" s="3"/>
      <c r="U206" s="3"/>
      <c r="V206" s="3"/>
      <c r="Y206" s="3"/>
      <c r="AE206" s="3"/>
      <c r="AF206" s="3"/>
      <c r="AK206" s="3"/>
      <c r="AM206" s="3"/>
      <c r="AO206" s="3"/>
      <c r="AR206" s="3"/>
      <c r="AS206" s="3"/>
    </row>
    <row r="207" spans="1:45">
      <c r="A207" s="3"/>
      <c r="B207" s="3"/>
      <c r="C207" s="3"/>
      <c r="D207" s="3"/>
      <c r="E207" s="3"/>
      <c r="F207" s="4"/>
      <c r="G207" s="3"/>
      <c r="H207" s="3"/>
      <c r="I207" s="3"/>
      <c r="J207" s="3"/>
      <c r="K207" s="3"/>
      <c r="L207" s="3"/>
      <c r="M207" s="3"/>
      <c r="O207" s="3"/>
      <c r="P207" s="3"/>
      <c r="Q207" s="3"/>
      <c r="R207" s="3"/>
      <c r="S207" s="3"/>
      <c r="T207" s="3"/>
      <c r="U207" s="3"/>
      <c r="V207" s="3"/>
      <c r="Y207" s="3"/>
      <c r="AE207" s="3"/>
      <c r="AF207" s="3"/>
      <c r="AK207" s="3"/>
      <c r="AM207" s="3"/>
      <c r="AO207" s="3"/>
      <c r="AR207" s="3"/>
      <c r="AS207" s="3"/>
    </row>
    <row r="208" spans="1:45">
      <c r="A208" s="3"/>
      <c r="B208" s="3"/>
      <c r="C208" s="3"/>
      <c r="D208" s="3"/>
      <c r="E208" s="3"/>
      <c r="F208" s="4"/>
      <c r="G208" s="3"/>
      <c r="H208" s="3"/>
      <c r="I208" s="3"/>
      <c r="J208" s="3"/>
      <c r="K208" s="3"/>
      <c r="L208" s="3"/>
      <c r="M208" s="3"/>
      <c r="O208" s="3"/>
      <c r="P208" s="3"/>
      <c r="Q208" s="3"/>
      <c r="R208" s="3"/>
      <c r="S208" s="3"/>
      <c r="T208" s="3"/>
      <c r="U208" s="3"/>
      <c r="V208" s="3"/>
      <c r="Y208" s="3"/>
      <c r="AE208" s="3"/>
      <c r="AF208" s="3"/>
      <c r="AK208" s="3"/>
      <c r="AM208" s="3"/>
      <c r="AO208" s="3"/>
      <c r="AR208" s="3"/>
      <c r="AS208" s="3"/>
    </row>
    <row r="209" spans="1:45">
      <c r="A209" s="3"/>
      <c r="B209" s="3"/>
      <c r="C209" s="3"/>
      <c r="D209" s="3"/>
      <c r="E209" s="3"/>
      <c r="F209" s="4"/>
      <c r="G209" s="3"/>
      <c r="H209" s="3"/>
      <c r="I209" s="3"/>
      <c r="J209" s="3"/>
      <c r="K209" s="3"/>
      <c r="L209" s="3"/>
      <c r="M209" s="3"/>
      <c r="O209" s="3"/>
      <c r="P209" s="3"/>
      <c r="Q209" s="3"/>
      <c r="R209" s="3"/>
      <c r="S209" s="3"/>
      <c r="T209" s="3"/>
      <c r="U209" s="3"/>
      <c r="V209" s="3"/>
      <c r="Y209" s="3"/>
      <c r="AE209" s="3"/>
      <c r="AF209" s="3"/>
      <c r="AK209" s="3"/>
      <c r="AM209" s="3"/>
      <c r="AO209" s="3"/>
      <c r="AR209" s="3"/>
      <c r="AS209" s="3"/>
    </row>
    <row r="210" spans="1:45">
      <c r="A210" s="3"/>
      <c r="B210" s="3"/>
      <c r="C210" s="3"/>
      <c r="D210" s="3"/>
      <c r="E210" s="3"/>
      <c r="F210" s="4"/>
      <c r="G210" s="3"/>
      <c r="H210" s="3"/>
      <c r="I210" s="3"/>
      <c r="J210" s="3"/>
      <c r="K210" s="3"/>
      <c r="L210" s="3"/>
      <c r="M210" s="3"/>
      <c r="O210" s="3"/>
      <c r="P210" s="3"/>
      <c r="Q210" s="3"/>
      <c r="R210" s="3"/>
      <c r="S210" s="3"/>
      <c r="T210" s="3"/>
      <c r="U210" s="3"/>
      <c r="V210" s="3"/>
      <c r="Y210" s="3"/>
      <c r="AE210" s="3"/>
      <c r="AF210" s="3"/>
      <c r="AK210" s="3"/>
      <c r="AM210" s="3"/>
      <c r="AO210" s="3"/>
      <c r="AR210" s="3"/>
      <c r="AS210" s="3"/>
    </row>
    <row r="211" spans="1:45">
      <c r="A211" s="3"/>
      <c r="B211" s="3"/>
      <c r="C211" s="3"/>
      <c r="D211" s="3"/>
      <c r="E211" s="3"/>
      <c r="F211" s="4"/>
      <c r="G211" s="3"/>
      <c r="H211" s="3"/>
      <c r="I211" s="3"/>
      <c r="J211" s="3"/>
      <c r="K211" s="3"/>
      <c r="L211" s="3"/>
      <c r="M211" s="3"/>
      <c r="O211" s="3"/>
      <c r="P211" s="3"/>
      <c r="Q211" s="3"/>
      <c r="R211" s="3"/>
      <c r="S211" s="3"/>
      <c r="T211" s="3"/>
      <c r="U211" s="3"/>
      <c r="V211" s="3"/>
      <c r="Y211" s="3"/>
      <c r="AE211" s="3"/>
      <c r="AF211" s="3"/>
      <c r="AK211" s="3"/>
      <c r="AM211" s="3"/>
      <c r="AO211" s="3"/>
      <c r="AR211" s="3"/>
      <c r="AS211" s="3"/>
    </row>
    <row r="212" spans="1:45">
      <c r="A212" s="3"/>
      <c r="B212" s="3"/>
      <c r="C212" s="3"/>
      <c r="D212" s="3"/>
      <c r="E212" s="3"/>
      <c r="F212" s="4"/>
      <c r="G212" s="3"/>
      <c r="H212" s="3"/>
      <c r="I212" s="3"/>
      <c r="J212" s="3"/>
      <c r="K212" s="3"/>
      <c r="L212" s="3"/>
      <c r="M212" s="3"/>
      <c r="O212" s="3"/>
      <c r="P212" s="3"/>
      <c r="Q212" s="3"/>
      <c r="R212" s="3"/>
      <c r="S212" s="3"/>
      <c r="T212" s="3"/>
      <c r="U212" s="3"/>
      <c r="V212" s="3"/>
      <c r="Y212" s="3"/>
      <c r="AE212" s="3"/>
      <c r="AF212" s="3"/>
      <c r="AK212" s="3"/>
      <c r="AM212" s="3"/>
      <c r="AO212" s="3"/>
      <c r="AR212" s="3"/>
      <c r="AS212" s="3"/>
    </row>
    <row r="213" spans="1:45">
      <c r="A213" s="3"/>
      <c r="B213" s="3"/>
      <c r="C213" s="3"/>
      <c r="D213" s="3"/>
      <c r="E213" s="3"/>
      <c r="F213" s="4"/>
      <c r="G213" s="3"/>
      <c r="H213" s="3"/>
      <c r="I213" s="3"/>
      <c r="J213" s="3"/>
      <c r="K213" s="3"/>
      <c r="L213" s="3"/>
      <c r="M213" s="3"/>
      <c r="O213" s="3"/>
      <c r="P213" s="3"/>
      <c r="Q213" s="3"/>
      <c r="R213" s="3"/>
      <c r="S213" s="3"/>
      <c r="T213" s="3"/>
      <c r="U213" s="3"/>
      <c r="V213" s="3"/>
      <c r="Y213" s="3"/>
      <c r="AE213" s="3"/>
      <c r="AF213" s="3"/>
      <c r="AK213" s="3"/>
      <c r="AM213" s="3"/>
      <c r="AO213" s="3"/>
      <c r="AR213" s="3"/>
      <c r="AS213" s="3"/>
    </row>
    <row r="214" spans="1:45">
      <c r="A214" s="3"/>
      <c r="B214" s="3"/>
      <c r="C214" s="3"/>
      <c r="D214" s="3"/>
      <c r="E214" s="3"/>
      <c r="F214" s="4"/>
      <c r="G214" s="3"/>
      <c r="H214" s="3"/>
      <c r="I214" s="3"/>
      <c r="J214" s="3"/>
      <c r="K214" s="3"/>
      <c r="L214" s="3"/>
      <c r="M214" s="3"/>
      <c r="O214" s="3"/>
      <c r="P214" s="3"/>
      <c r="Q214" s="3"/>
      <c r="R214" s="3"/>
      <c r="S214" s="3"/>
      <c r="T214" s="3"/>
      <c r="U214" s="3"/>
      <c r="V214" s="3"/>
      <c r="Y214" s="3"/>
      <c r="AE214" s="3"/>
      <c r="AF214" s="3"/>
      <c r="AK214" s="3"/>
      <c r="AM214" s="3"/>
      <c r="AO214" s="3"/>
      <c r="AR214" s="3"/>
      <c r="AS214" s="3"/>
    </row>
    <row r="215" spans="1:45">
      <c r="A215" s="3"/>
      <c r="B215" s="3"/>
      <c r="C215" s="3"/>
      <c r="D215" s="3"/>
      <c r="E215" s="3"/>
      <c r="F215" s="4"/>
      <c r="G215" s="3"/>
      <c r="H215" s="3"/>
      <c r="I215" s="3"/>
      <c r="J215" s="3"/>
      <c r="K215" s="3"/>
      <c r="L215" s="3"/>
      <c r="M215" s="3"/>
      <c r="O215" s="3"/>
      <c r="P215" s="3"/>
      <c r="Q215" s="3"/>
      <c r="R215" s="3"/>
      <c r="S215" s="3"/>
      <c r="T215" s="3"/>
      <c r="U215" s="3"/>
      <c r="V215" s="3"/>
      <c r="Y215" s="3"/>
      <c r="AE215" s="3"/>
      <c r="AF215" s="3"/>
      <c r="AK215" s="3"/>
      <c r="AM215" s="3"/>
      <c r="AO215" s="3"/>
      <c r="AR215" s="3"/>
      <c r="AS215" s="3"/>
    </row>
    <row r="216" spans="1:45">
      <c r="A216" s="3"/>
      <c r="B216" s="3"/>
      <c r="C216" s="3"/>
      <c r="D216" s="3"/>
      <c r="E216" s="3"/>
      <c r="F216" s="4"/>
      <c r="G216" s="3"/>
      <c r="H216" s="3"/>
      <c r="I216" s="3"/>
      <c r="J216" s="3"/>
      <c r="K216" s="3"/>
      <c r="L216" s="3"/>
      <c r="M216" s="3"/>
      <c r="O216" s="3"/>
      <c r="P216" s="3"/>
      <c r="Q216" s="3"/>
      <c r="R216" s="3"/>
      <c r="S216" s="3"/>
      <c r="T216" s="3"/>
      <c r="U216" s="3"/>
      <c r="V216" s="3"/>
      <c r="Y216" s="3"/>
      <c r="AE216" s="3"/>
      <c r="AF216" s="3"/>
      <c r="AK216" s="3"/>
      <c r="AM216" s="3"/>
      <c r="AO216" s="3"/>
      <c r="AR216" s="3"/>
      <c r="AS216" s="3"/>
    </row>
    <row r="217" spans="1:45">
      <c r="A217" s="3"/>
      <c r="B217" s="3"/>
      <c r="C217" s="3"/>
      <c r="D217" s="3"/>
      <c r="E217" s="3"/>
      <c r="F217" s="4"/>
      <c r="G217" s="3"/>
      <c r="H217" s="3"/>
      <c r="I217" s="3"/>
      <c r="J217" s="3"/>
      <c r="K217" s="3"/>
      <c r="L217" s="3"/>
      <c r="M217" s="3"/>
      <c r="O217" s="3"/>
      <c r="P217" s="3"/>
      <c r="Q217" s="3"/>
      <c r="R217" s="3"/>
      <c r="S217" s="3"/>
      <c r="T217" s="3"/>
      <c r="U217" s="3"/>
      <c r="V217" s="3"/>
      <c r="Y217" s="3"/>
      <c r="AE217" s="3"/>
      <c r="AF217" s="3"/>
      <c r="AK217" s="3"/>
      <c r="AM217" s="3"/>
      <c r="AO217" s="3"/>
      <c r="AR217" s="3"/>
      <c r="AS217" s="3"/>
    </row>
    <row r="218" spans="1:45">
      <c r="A218" s="3"/>
      <c r="B218" s="3"/>
      <c r="C218" s="3"/>
      <c r="D218" s="3"/>
      <c r="E218" s="3"/>
      <c r="F218" s="4"/>
      <c r="G218" s="3"/>
      <c r="H218" s="3"/>
      <c r="I218" s="3"/>
      <c r="J218" s="3"/>
      <c r="K218" s="3"/>
      <c r="L218" s="3"/>
      <c r="M218" s="3"/>
      <c r="O218" s="3"/>
      <c r="P218" s="3"/>
      <c r="Q218" s="3"/>
      <c r="R218" s="3"/>
      <c r="S218" s="3"/>
      <c r="T218" s="3"/>
      <c r="U218" s="3"/>
      <c r="V218" s="3"/>
      <c r="Y218" s="3"/>
      <c r="AE218" s="3"/>
      <c r="AF218" s="3"/>
      <c r="AK218" s="3"/>
      <c r="AM218" s="3"/>
      <c r="AO218" s="3"/>
      <c r="AR218" s="3"/>
      <c r="AS218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0"/>
  <sheetViews>
    <sheetView topLeftCell="R1" workbookViewId="0">
      <pane ySplit="3" topLeftCell="A4" activePane="bottomLeft" state="frozen"/>
      <selection activeCell="D1" sqref="D1"/>
      <selection pane="bottomLeft" activeCell="AF21" sqref="AF21"/>
    </sheetView>
  </sheetViews>
  <sheetFormatPr defaultRowHeight="14.25"/>
  <cols>
    <col min="6" max="6" width="15.125" customWidth="1"/>
    <col min="23" max="23" width="12.625" customWidth="1"/>
  </cols>
  <sheetData>
    <row r="1" spans="1:49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121</v>
      </c>
      <c r="I1" t="s">
        <v>122</v>
      </c>
      <c r="J1" t="s">
        <v>32</v>
      </c>
      <c r="K1" t="s">
        <v>55</v>
      </c>
      <c r="L1" t="s">
        <v>34</v>
      </c>
      <c r="M1" t="s">
        <v>154</v>
      </c>
      <c r="N1" t="s">
        <v>155</v>
      </c>
      <c r="O1" t="s">
        <v>156</v>
      </c>
      <c r="P1" t="s">
        <v>54</v>
      </c>
      <c r="Q1" t="s">
        <v>461</v>
      </c>
      <c r="R1" t="s">
        <v>462</v>
      </c>
      <c r="S1" t="s">
        <v>96</v>
      </c>
      <c r="T1" t="s">
        <v>40</v>
      </c>
      <c r="U1" t="s">
        <v>157</v>
      </c>
      <c r="V1" t="s">
        <v>35</v>
      </c>
      <c r="W1" t="s">
        <v>39</v>
      </c>
      <c r="X1" t="s">
        <v>37</v>
      </c>
      <c r="Y1" t="s">
        <v>33</v>
      </c>
      <c r="Z1" t="s">
        <v>158</v>
      </c>
      <c r="AA1" t="s">
        <v>42</v>
      </c>
      <c r="AB1" t="s">
        <v>48</v>
      </c>
      <c r="AC1" t="s">
        <v>159</v>
      </c>
      <c r="AD1" t="s">
        <v>38</v>
      </c>
      <c r="AE1" t="s">
        <v>44</v>
      </c>
      <c r="AF1" t="s">
        <v>43</v>
      </c>
      <c r="AG1" t="s">
        <v>160</v>
      </c>
      <c r="AH1" t="s">
        <v>161</v>
      </c>
      <c r="AI1" t="s">
        <v>162</v>
      </c>
      <c r="AJ1" t="s">
        <v>163</v>
      </c>
      <c r="AK1" t="s">
        <v>45</v>
      </c>
      <c r="AL1" t="s">
        <v>116</v>
      </c>
      <c r="AM1" t="s">
        <v>164</v>
      </c>
      <c r="AN1" t="s">
        <v>49</v>
      </c>
      <c r="AO1" t="s">
        <v>56</v>
      </c>
      <c r="AP1" t="s">
        <v>53</v>
      </c>
      <c r="AQ1" t="s">
        <v>15</v>
      </c>
      <c r="AR1" t="s">
        <v>16</v>
      </c>
      <c r="AS1" t="s">
        <v>58</v>
      </c>
      <c r="AT1" t="s">
        <v>231</v>
      </c>
      <c r="AU1" t="s">
        <v>290</v>
      </c>
      <c r="AV1" s="1" t="s">
        <v>17</v>
      </c>
      <c r="AW1" t="s">
        <v>165</v>
      </c>
    </row>
    <row r="2" spans="1:49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39</v>
      </c>
      <c r="L2" t="s">
        <v>13</v>
      </c>
      <c r="M2" t="s">
        <v>41</v>
      </c>
      <c r="N2" t="s">
        <v>155</v>
      </c>
      <c r="O2" t="s">
        <v>10</v>
      </c>
      <c r="P2" t="s">
        <v>36</v>
      </c>
      <c r="Q2" t="s">
        <v>10</v>
      </c>
      <c r="R2" t="s">
        <v>36</v>
      </c>
      <c r="S2" t="s">
        <v>10</v>
      </c>
      <c r="T2" t="s">
        <v>41</v>
      </c>
      <c r="U2" t="s">
        <v>36</v>
      </c>
      <c r="V2" t="s">
        <v>36</v>
      </c>
      <c r="W2" t="s">
        <v>39</v>
      </c>
      <c r="X2" t="s">
        <v>36</v>
      </c>
      <c r="Y2" t="s">
        <v>10</v>
      </c>
      <c r="Z2" t="s">
        <v>10</v>
      </c>
      <c r="AA2" t="s">
        <v>36</v>
      </c>
      <c r="AB2" t="s">
        <v>47</v>
      </c>
      <c r="AC2" t="s">
        <v>117</v>
      </c>
      <c r="AD2" t="s">
        <v>36</v>
      </c>
      <c r="AE2" t="s">
        <v>39</v>
      </c>
      <c r="AF2" t="s">
        <v>41</v>
      </c>
      <c r="AG2" t="s">
        <v>36</v>
      </c>
      <c r="AH2" t="s">
        <v>41</v>
      </c>
      <c r="AI2" t="s">
        <v>47</v>
      </c>
      <c r="AJ2" t="s">
        <v>10</v>
      </c>
      <c r="AK2" t="s">
        <v>46</v>
      </c>
      <c r="AL2" t="s">
        <v>117</v>
      </c>
      <c r="AM2" t="s">
        <v>36</v>
      </c>
      <c r="AN2" t="s">
        <v>50</v>
      </c>
      <c r="AO2" t="s">
        <v>57</v>
      </c>
      <c r="AP2" t="s">
        <v>14</v>
      </c>
      <c r="AQ2" t="s">
        <v>13</v>
      </c>
      <c r="AR2" t="s">
        <v>13</v>
      </c>
      <c r="AS2" t="s">
        <v>57</v>
      </c>
      <c r="AT2" t="s">
        <v>57</v>
      </c>
      <c r="AU2" t="s">
        <v>57</v>
      </c>
      <c r="AV2" t="s">
        <v>10</v>
      </c>
      <c r="AW2" t="s">
        <v>166</v>
      </c>
    </row>
    <row r="3" spans="1:49">
      <c r="A3" s="2" t="s">
        <v>167</v>
      </c>
      <c r="B3" s="2" t="s">
        <v>168</v>
      </c>
      <c r="C3" s="2" t="s">
        <v>128</v>
      </c>
      <c r="D3" s="2" t="s">
        <v>129</v>
      </c>
      <c r="E3" s="2" t="s">
        <v>130</v>
      </c>
      <c r="F3" s="2" t="s">
        <v>131</v>
      </c>
      <c r="G3" s="2" t="s">
        <v>132</v>
      </c>
      <c r="H3" s="2" t="s">
        <v>133</v>
      </c>
      <c r="I3" s="2" t="s">
        <v>134</v>
      </c>
      <c r="J3" s="3" t="s">
        <v>169</v>
      </c>
      <c r="K3" s="3" t="s">
        <v>170</v>
      </c>
      <c r="L3" s="3" t="s">
        <v>171</v>
      </c>
      <c r="M3" s="3" t="s">
        <v>172</v>
      </c>
      <c r="N3" s="3" t="s">
        <v>173</v>
      </c>
      <c r="O3" s="3" t="s">
        <v>174</v>
      </c>
      <c r="P3" s="3" t="s">
        <v>175</v>
      </c>
      <c r="Q3" s="3" t="s">
        <v>459</v>
      </c>
      <c r="R3" s="3" t="s">
        <v>460</v>
      </c>
      <c r="S3" s="3" t="s">
        <v>176</v>
      </c>
      <c r="T3" s="3" t="s">
        <v>177</v>
      </c>
      <c r="U3" s="3" t="s">
        <v>178</v>
      </c>
      <c r="V3" s="3" t="s">
        <v>179</v>
      </c>
      <c r="W3" s="3" t="s">
        <v>180</v>
      </c>
      <c r="X3" s="3" t="s">
        <v>181</v>
      </c>
      <c r="Y3" s="3" t="s">
        <v>182</v>
      </c>
      <c r="Z3" s="3" t="s">
        <v>183</v>
      </c>
      <c r="AA3" s="3" t="s">
        <v>184</v>
      </c>
      <c r="AB3" s="3" t="s">
        <v>148</v>
      </c>
      <c r="AC3" s="3" t="s">
        <v>185</v>
      </c>
      <c r="AD3" s="3" t="s">
        <v>186</v>
      </c>
      <c r="AE3" s="3" t="s">
        <v>187</v>
      </c>
      <c r="AF3" s="3" t="s">
        <v>188</v>
      </c>
      <c r="AG3" s="3" t="s">
        <v>189</v>
      </c>
      <c r="AH3" s="3" t="s">
        <v>190</v>
      </c>
      <c r="AI3" s="3" t="s">
        <v>191</v>
      </c>
      <c r="AJ3" s="3" t="s">
        <v>192</v>
      </c>
      <c r="AK3" s="3" t="s">
        <v>193</v>
      </c>
      <c r="AL3" s="3" t="s">
        <v>194</v>
      </c>
      <c r="AM3" s="3" t="s">
        <v>195</v>
      </c>
      <c r="AN3" s="3" t="s">
        <v>196</v>
      </c>
      <c r="AO3" s="3" t="s">
        <v>197</v>
      </c>
      <c r="AP3" s="3" t="s">
        <v>198</v>
      </c>
      <c r="AQ3" s="3" t="s">
        <v>138</v>
      </c>
      <c r="AR3" s="3" t="s">
        <v>139</v>
      </c>
      <c r="AS3" s="3" t="s">
        <v>199</v>
      </c>
      <c r="AT3" s="3" t="s">
        <v>230</v>
      </c>
      <c r="AU3" s="3" t="s">
        <v>291</v>
      </c>
      <c r="AV3" s="2" t="s">
        <v>140</v>
      </c>
      <c r="AW3" s="7" t="s">
        <v>126</v>
      </c>
    </row>
    <row r="4" spans="1:49">
      <c r="A4" s="3" t="s">
        <v>142</v>
      </c>
      <c r="B4" s="3" t="s">
        <v>143</v>
      </c>
      <c r="C4" s="3" t="s">
        <v>167</v>
      </c>
      <c r="D4" s="3" t="s">
        <v>169</v>
      </c>
      <c r="E4" s="3" t="s">
        <v>145</v>
      </c>
      <c r="F4" s="4">
        <f t="shared" ref="F4:F16" ca="1" si="0">NOW()</f>
        <v>43894.587103819445</v>
      </c>
      <c r="G4" s="3" t="s">
        <v>202</v>
      </c>
      <c r="H4" s="3" t="s">
        <v>169</v>
      </c>
      <c r="I4" s="3" t="s">
        <v>201</v>
      </c>
      <c r="J4" s="3" t="s">
        <v>202</v>
      </c>
      <c r="K4" s="3" t="s">
        <v>203</v>
      </c>
      <c r="L4" s="3" t="s">
        <v>169</v>
      </c>
      <c r="M4" s="3" t="s">
        <v>203</v>
      </c>
      <c r="O4" s="3" t="s">
        <v>203</v>
      </c>
      <c r="P4" s="3" t="s">
        <v>203</v>
      </c>
      <c r="Q4" s="3" t="s">
        <v>261</v>
      </c>
      <c r="R4" s="3" t="s">
        <v>261</v>
      </c>
      <c r="S4" s="3" t="s">
        <v>203</v>
      </c>
      <c r="T4" s="3" t="s">
        <v>515</v>
      </c>
      <c r="U4" s="3" t="s">
        <v>18</v>
      </c>
      <c r="V4" s="3" t="s">
        <v>205</v>
      </c>
      <c r="W4" s="3" t="s">
        <v>321</v>
      </c>
      <c r="X4" s="3" t="s">
        <v>169</v>
      </c>
      <c r="Y4" t="s">
        <v>519</v>
      </c>
      <c r="AA4" s="3" t="s">
        <v>203</v>
      </c>
      <c r="AD4" t="s">
        <v>465</v>
      </c>
      <c r="AE4" s="9" t="s">
        <v>322</v>
      </c>
      <c r="AF4" s="9" t="s">
        <v>322</v>
      </c>
      <c r="AG4" s="3" t="s">
        <v>470</v>
      </c>
      <c r="AH4" s="3" t="s">
        <v>469</v>
      </c>
      <c r="AK4" t="s">
        <v>518</v>
      </c>
      <c r="AM4" s="3" t="s">
        <v>169</v>
      </c>
      <c r="AO4" s="3" t="s">
        <v>169</v>
      </c>
      <c r="AQ4" s="3" t="s">
        <v>150</v>
      </c>
      <c r="AV4" s="3" t="s">
        <v>152</v>
      </c>
      <c r="AW4" s="3" t="s">
        <v>466</v>
      </c>
    </row>
    <row r="5" spans="1:49">
      <c r="A5" s="3" t="s">
        <v>142</v>
      </c>
      <c r="B5" s="3" t="s">
        <v>143</v>
      </c>
      <c r="C5" s="3" t="s">
        <v>167</v>
      </c>
      <c r="D5" s="3" t="s">
        <v>169</v>
      </c>
      <c r="E5" s="3" t="s">
        <v>145</v>
      </c>
      <c r="F5" s="4">
        <f t="shared" ca="1" si="0"/>
        <v>43894.587103819445</v>
      </c>
      <c r="G5" s="3" t="s">
        <v>202</v>
      </c>
      <c r="H5" s="3" t="s">
        <v>169</v>
      </c>
      <c r="I5" s="3" t="s">
        <v>201</v>
      </c>
      <c r="J5" s="3" t="s">
        <v>202</v>
      </c>
      <c r="K5" s="3" t="s">
        <v>203</v>
      </c>
      <c r="L5" s="3" t="s">
        <v>205</v>
      </c>
      <c r="M5" s="3" t="s">
        <v>203</v>
      </c>
      <c r="O5" s="3" t="s">
        <v>203</v>
      </c>
      <c r="P5" s="3" t="s">
        <v>203</v>
      </c>
      <c r="Q5" s="3" t="s">
        <v>261</v>
      </c>
      <c r="R5" s="3" t="s">
        <v>261</v>
      </c>
      <c r="S5" s="3" t="s">
        <v>203</v>
      </c>
      <c r="T5" s="3" t="s">
        <v>169</v>
      </c>
      <c r="U5" t="s">
        <v>204</v>
      </c>
      <c r="V5" s="3" t="s">
        <v>205</v>
      </c>
      <c r="W5" s="3" t="s">
        <v>471</v>
      </c>
      <c r="X5" s="3" t="s">
        <v>169</v>
      </c>
      <c r="Y5" t="s">
        <v>519</v>
      </c>
      <c r="AA5" s="3" t="s">
        <v>203</v>
      </c>
      <c r="AD5" t="s">
        <v>207</v>
      </c>
      <c r="AE5" s="9" t="s">
        <v>321</v>
      </c>
      <c r="AF5" s="9" t="s">
        <v>321</v>
      </c>
      <c r="AG5" t="s">
        <v>204</v>
      </c>
      <c r="AH5" s="3" t="s">
        <v>169</v>
      </c>
      <c r="AK5" t="s">
        <v>518</v>
      </c>
      <c r="AM5" s="3" t="s">
        <v>169</v>
      </c>
      <c r="AO5" s="3" t="s">
        <v>169</v>
      </c>
      <c r="AQ5" s="3" t="s">
        <v>150</v>
      </c>
      <c r="AV5" s="3" t="s">
        <v>152</v>
      </c>
      <c r="AW5" s="3" t="s">
        <v>466</v>
      </c>
    </row>
    <row r="6" spans="1:49">
      <c r="A6" s="3" t="s">
        <v>142</v>
      </c>
      <c r="B6" s="3" t="s">
        <v>143</v>
      </c>
      <c r="C6" s="3" t="s">
        <v>167</v>
      </c>
      <c r="D6" s="3" t="s">
        <v>169</v>
      </c>
      <c r="E6" s="3" t="s">
        <v>145</v>
      </c>
      <c r="F6" s="4">
        <f t="shared" ca="1" si="0"/>
        <v>43894.587103819445</v>
      </c>
      <c r="G6" s="3" t="s">
        <v>202</v>
      </c>
      <c r="H6" s="3" t="s">
        <v>169</v>
      </c>
      <c r="I6" s="3" t="s">
        <v>201</v>
      </c>
      <c r="J6" s="3" t="s">
        <v>202</v>
      </c>
      <c r="K6" s="3" t="s">
        <v>203</v>
      </c>
      <c r="L6" s="3" t="s">
        <v>205</v>
      </c>
      <c r="M6" s="3" t="s">
        <v>203</v>
      </c>
      <c r="O6" s="3" t="s">
        <v>203</v>
      </c>
      <c r="P6" s="3" t="s">
        <v>203</v>
      </c>
      <c r="Q6" s="3" t="s">
        <v>261</v>
      </c>
      <c r="R6" s="3" t="s">
        <v>261</v>
      </c>
      <c r="S6" s="3" t="s">
        <v>203</v>
      </c>
      <c r="T6" s="3" t="s">
        <v>169</v>
      </c>
      <c r="U6" s="3" t="s">
        <v>167</v>
      </c>
      <c r="V6" s="3" t="s">
        <v>205</v>
      </c>
      <c r="W6" s="3" t="s">
        <v>471</v>
      </c>
      <c r="X6" s="3" t="s">
        <v>169</v>
      </c>
      <c r="Y6" t="s">
        <v>519</v>
      </c>
      <c r="AA6" s="3" t="s">
        <v>321</v>
      </c>
      <c r="AD6" t="s">
        <v>207</v>
      </c>
      <c r="AE6" s="9" t="s">
        <v>321</v>
      </c>
      <c r="AF6" s="9" t="s">
        <v>321</v>
      </c>
      <c r="AG6" s="3" t="s">
        <v>512</v>
      </c>
      <c r="AH6" s="3" t="s">
        <v>468</v>
      </c>
      <c r="AK6" t="s">
        <v>518</v>
      </c>
      <c r="AM6" s="3" t="s">
        <v>169</v>
      </c>
      <c r="AO6" s="3" t="s">
        <v>169</v>
      </c>
      <c r="AQ6" s="3" t="s">
        <v>150</v>
      </c>
      <c r="AV6" s="3" t="s">
        <v>152</v>
      </c>
      <c r="AW6" s="3" t="s">
        <v>467</v>
      </c>
    </row>
    <row r="7" spans="1:49">
      <c r="A7" s="3" t="s">
        <v>489</v>
      </c>
      <c r="B7" s="3" t="s">
        <v>490</v>
      </c>
      <c r="C7" s="3" t="s">
        <v>18</v>
      </c>
      <c r="D7" s="3" t="s">
        <v>29</v>
      </c>
      <c r="E7" s="3" t="s">
        <v>484</v>
      </c>
      <c r="F7" s="4">
        <f t="shared" ca="1" si="0"/>
        <v>43894.587103819445</v>
      </c>
      <c r="G7" s="3" t="s">
        <v>483</v>
      </c>
      <c r="H7" s="3" t="s">
        <v>29</v>
      </c>
      <c r="I7" s="3" t="s">
        <v>491</v>
      </c>
      <c r="J7" s="3" t="s">
        <v>483</v>
      </c>
      <c r="K7" s="3" t="s">
        <v>62</v>
      </c>
      <c r="L7" s="3" t="s">
        <v>93</v>
      </c>
      <c r="M7" s="3" t="s">
        <v>62</v>
      </c>
      <c r="O7" s="3" t="s">
        <v>62</v>
      </c>
      <c r="P7" s="3" t="s">
        <v>62</v>
      </c>
      <c r="Q7" s="3" t="s">
        <v>62</v>
      </c>
      <c r="R7" s="3" t="s">
        <v>62</v>
      </c>
      <c r="S7" s="3" t="s">
        <v>62</v>
      </c>
      <c r="T7" s="3" t="s">
        <v>29</v>
      </c>
      <c r="U7" t="s">
        <v>144</v>
      </c>
      <c r="V7" s="3" t="s">
        <v>64</v>
      </c>
      <c r="W7" s="3" t="s">
        <v>473</v>
      </c>
      <c r="X7" s="3" t="s">
        <v>29</v>
      </c>
      <c r="Y7" t="s">
        <v>519</v>
      </c>
      <c r="AA7" s="3" t="s">
        <v>93</v>
      </c>
      <c r="AD7" t="s">
        <v>207</v>
      </c>
      <c r="AE7" s="9" t="s">
        <v>321</v>
      </c>
      <c r="AF7" s="9" t="s">
        <v>321</v>
      </c>
      <c r="AG7" t="s">
        <v>144</v>
      </c>
      <c r="AH7" s="3" t="s">
        <v>29</v>
      </c>
      <c r="AK7" t="s">
        <v>518</v>
      </c>
      <c r="AM7" s="3" t="s">
        <v>29</v>
      </c>
      <c r="AO7" s="3" t="s">
        <v>29</v>
      </c>
      <c r="AQ7" s="3" t="s">
        <v>492</v>
      </c>
      <c r="AV7" s="3" t="s">
        <v>487</v>
      </c>
      <c r="AW7" s="3" t="s">
        <v>493</v>
      </c>
    </row>
    <row r="8" spans="1:49">
      <c r="A8" s="3" t="s">
        <v>494</v>
      </c>
      <c r="B8" s="3" t="s">
        <v>495</v>
      </c>
      <c r="C8" s="3" t="s">
        <v>18</v>
      </c>
      <c r="D8" s="3" t="s">
        <v>29</v>
      </c>
      <c r="E8" s="3" t="s">
        <v>484</v>
      </c>
      <c r="F8" s="4">
        <f t="shared" ca="1" si="0"/>
        <v>43894.587103819445</v>
      </c>
      <c r="G8" s="3" t="s">
        <v>483</v>
      </c>
      <c r="H8" s="3" t="s">
        <v>29</v>
      </c>
      <c r="I8" s="3" t="s">
        <v>491</v>
      </c>
      <c r="J8" s="3" t="s">
        <v>483</v>
      </c>
      <c r="K8" s="3" t="s">
        <v>62</v>
      </c>
      <c r="L8" s="3" t="s">
        <v>93</v>
      </c>
      <c r="M8" s="3" t="s">
        <v>62</v>
      </c>
      <c r="O8" s="3" t="s">
        <v>62</v>
      </c>
      <c r="P8" s="3" t="s">
        <v>62</v>
      </c>
      <c r="Q8" s="3" t="s">
        <v>62</v>
      </c>
      <c r="R8" s="3" t="s">
        <v>62</v>
      </c>
      <c r="S8" s="3" t="s">
        <v>62</v>
      </c>
      <c r="T8" s="3" t="s">
        <v>29</v>
      </c>
      <c r="U8" s="3" t="s">
        <v>525</v>
      </c>
      <c r="V8" s="3" t="s">
        <v>64</v>
      </c>
      <c r="W8" s="3" t="s">
        <v>473</v>
      </c>
      <c r="X8" s="3" t="s">
        <v>29</v>
      </c>
      <c r="Y8" t="s">
        <v>519</v>
      </c>
      <c r="AA8" s="3" t="s">
        <v>93</v>
      </c>
      <c r="AD8" t="s">
        <v>207</v>
      </c>
      <c r="AE8" s="9" t="s">
        <v>321</v>
      </c>
      <c r="AF8" s="9" t="s">
        <v>321</v>
      </c>
      <c r="AG8" s="3" t="s">
        <v>527</v>
      </c>
      <c r="AH8" s="3" t="s">
        <v>62</v>
      </c>
      <c r="AK8" t="s">
        <v>518</v>
      </c>
      <c r="AM8" s="3" t="s">
        <v>29</v>
      </c>
      <c r="AO8" s="3" t="s">
        <v>29</v>
      </c>
      <c r="AQ8" s="3" t="s">
        <v>492</v>
      </c>
      <c r="AV8" s="3" t="s">
        <v>487</v>
      </c>
      <c r="AW8" s="3" t="s">
        <v>467</v>
      </c>
    </row>
    <row r="9" spans="1:49">
      <c r="A9" s="3" t="s">
        <v>494</v>
      </c>
      <c r="B9" s="3" t="s">
        <v>495</v>
      </c>
      <c r="C9" s="3" t="s">
        <v>18</v>
      </c>
      <c r="D9" s="3" t="s">
        <v>29</v>
      </c>
      <c r="E9" s="3" t="s">
        <v>484</v>
      </c>
      <c r="F9" s="4">
        <f t="shared" ca="1" si="0"/>
        <v>43894.587103819445</v>
      </c>
      <c r="G9" s="3" t="s">
        <v>483</v>
      </c>
      <c r="H9" s="3" t="s">
        <v>29</v>
      </c>
      <c r="I9" s="3" t="s">
        <v>491</v>
      </c>
      <c r="J9" s="3" t="s">
        <v>483</v>
      </c>
      <c r="K9" s="3" t="s">
        <v>62</v>
      </c>
      <c r="L9" s="3" t="s">
        <v>496</v>
      </c>
      <c r="M9" s="3" t="s">
        <v>62</v>
      </c>
      <c r="O9" s="3" t="s">
        <v>62</v>
      </c>
      <c r="P9" s="3" t="s">
        <v>62</v>
      </c>
      <c r="Q9" s="3" t="s">
        <v>62</v>
      </c>
      <c r="R9" s="3" t="s">
        <v>62</v>
      </c>
      <c r="S9" s="3" t="s">
        <v>62</v>
      </c>
      <c r="T9" s="3" t="s">
        <v>29</v>
      </c>
      <c r="U9" t="s">
        <v>144</v>
      </c>
      <c r="V9" s="3" t="s">
        <v>64</v>
      </c>
      <c r="W9" s="3" t="s">
        <v>473</v>
      </c>
      <c r="X9" s="3" t="s">
        <v>90</v>
      </c>
      <c r="Y9" t="s">
        <v>519</v>
      </c>
      <c r="AA9" s="3" t="s">
        <v>456</v>
      </c>
      <c r="AD9" t="s">
        <v>517</v>
      </c>
      <c r="AE9" s="9" t="s">
        <v>321</v>
      </c>
      <c r="AF9" s="9" t="s">
        <v>321</v>
      </c>
      <c r="AG9" t="s">
        <v>144</v>
      </c>
      <c r="AH9" s="3" t="s">
        <v>29</v>
      </c>
      <c r="AK9" t="s">
        <v>518</v>
      </c>
      <c r="AM9" s="3" t="s">
        <v>29</v>
      </c>
      <c r="AO9" s="3" t="s">
        <v>29</v>
      </c>
      <c r="AQ9" s="3" t="s">
        <v>492</v>
      </c>
      <c r="AV9" s="3" t="s">
        <v>487</v>
      </c>
      <c r="AW9" s="3" t="s">
        <v>467</v>
      </c>
    </row>
    <row r="10" spans="1:49">
      <c r="A10" s="3" t="s">
        <v>494</v>
      </c>
      <c r="B10" s="3" t="s">
        <v>495</v>
      </c>
      <c r="C10" s="3" t="s">
        <v>18</v>
      </c>
      <c r="D10" s="3" t="s">
        <v>29</v>
      </c>
      <c r="E10" s="3" t="s">
        <v>484</v>
      </c>
      <c r="F10" s="4">
        <f t="shared" ca="1" si="0"/>
        <v>43894.587103819445</v>
      </c>
      <c r="G10" s="3" t="s">
        <v>483</v>
      </c>
      <c r="H10" s="3" t="s">
        <v>29</v>
      </c>
      <c r="I10" s="3" t="s">
        <v>491</v>
      </c>
      <c r="J10" s="3" t="s">
        <v>483</v>
      </c>
      <c r="K10" s="3" t="s">
        <v>62</v>
      </c>
      <c r="L10" s="3" t="s">
        <v>497</v>
      </c>
      <c r="M10" s="3" t="s">
        <v>62</v>
      </c>
      <c r="O10" s="3" t="s">
        <v>62</v>
      </c>
      <c r="P10" s="3" t="s">
        <v>62</v>
      </c>
      <c r="Q10" s="3" t="s">
        <v>62</v>
      </c>
      <c r="R10" s="3" t="s">
        <v>62</v>
      </c>
      <c r="S10" s="3" t="s">
        <v>62</v>
      </c>
      <c r="T10" s="3" t="s">
        <v>29</v>
      </c>
      <c r="U10" s="3" t="s">
        <v>524</v>
      </c>
      <c r="V10" s="3" t="s">
        <v>64</v>
      </c>
      <c r="W10" s="3" t="s">
        <v>473</v>
      </c>
      <c r="X10" s="3" t="s">
        <v>516</v>
      </c>
      <c r="Y10" t="s">
        <v>519</v>
      </c>
      <c r="AA10" s="3" t="s">
        <v>456</v>
      </c>
      <c r="AD10" t="s">
        <v>97</v>
      </c>
      <c r="AE10" s="9" t="s">
        <v>321</v>
      </c>
      <c r="AF10" s="9" t="s">
        <v>321</v>
      </c>
      <c r="AG10" s="3" t="s">
        <v>526</v>
      </c>
      <c r="AH10" s="3" t="s">
        <v>62</v>
      </c>
      <c r="AK10" t="s">
        <v>518</v>
      </c>
      <c r="AM10" s="3" t="s">
        <v>29</v>
      </c>
      <c r="AO10" s="3" t="s">
        <v>29</v>
      </c>
      <c r="AQ10" s="3" t="s">
        <v>492</v>
      </c>
      <c r="AV10" s="3" t="s">
        <v>487</v>
      </c>
      <c r="AW10" s="3" t="s">
        <v>467</v>
      </c>
    </row>
    <row r="11" spans="1:49">
      <c r="A11" s="3" t="s">
        <v>142</v>
      </c>
      <c r="B11" s="3" t="s">
        <v>143</v>
      </c>
      <c r="C11" s="3" t="s">
        <v>167</v>
      </c>
      <c r="D11" s="3" t="s">
        <v>169</v>
      </c>
      <c r="E11" s="3" t="s">
        <v>145</v>
      </c>
      <c r="F11" s="4">
        <f t="shared" ca="1" si="0"/>
        <v>43894.587103819445</v>
      </c>
      <c r="G11" s="3" t="s">
        <v>146</v>
      </c>
      <c r="H11" s="3" t="s">
        <v>169</v>
      </c>
      <c r="I11" s="3" t="s">
        <v>201</v>
      </c>
      <c r="J11" s="3" t="s">
        <v>146</v>
      </c>
      <c r="K11" s="3" t="s">
        <v>203</v>
      </c>
      <c r="L11" s="3" t="s">
        <v>285</v>
      </c>
      <c r="M11" s="3" t="s">
        <v>203</v>
      </c>
      <c r="O11" s="3" t="s">
        <v>203</v>
      </c>
      <c r="P11" s="3" t="s">
        <v>203</v>
      </c>
      <c r="Q11" s="3" t="s">
        <v>261</v>
      </c>
      <c r="R11" s="3" t="s">
        <v>261</v>
      </c>
      <c r="S11" s="3" t="s">
        <v>203</v>
      </c>
      <c r="T11" s="3" t="s">
        <v>457</v>
      </c>
      <c r="U11" s="3" t="s">
        <v>503</v>
      </c>
      <c r="V11" s="3" t="s">
        <v>205</v>
      </c>
      <c r="W11" s="3" t="s">
        <v>321</v>
      </c>
      <c r="X11" s="3" t="s">
        <v>169</v>
      </c>
      <c r="Y11" t="s">
        <v>519</v>
      </c>
      <c r="AA11" s="3" t="s">
        <v>203</v>
      </c>
      <c r="AD11" t="s">
        <v>207</v>
      </c>
      <c r="AE11" s="9" t="s">
        <v>322</v>
      </c>
      <c r="AF11" s="9" t="s">
        <v>322</v>
      </c>
      <c r="AG11" s="3" t="s">
        <v>204</v>
      </c>
      <c r="AH11" s="3" t="s">
        <v>119</v>
      </c>
      <c r="AK11" t="s">
        <v>518</v>
      </c>
      <c r="AM11" s="3" t="s">
        <v>169</v>
      </c>
      <c r="AO11" s="3" t="s">
        <v>169</v>
      </c>
      <c r="AQ11" s="3" t="s">
        <v>150</v>
      </c>
      <c r="AV11" s="3" t="s">
        <v>152</v>
      </c>
      <c r="AW11" s="3" t="s">
        <v>467</v>
      </c>
    </row>
    <row r="12" spans="1:49">
      <c r="A12" s="3" t="s">
        <v>463</v>
      </c>
      <c r="B12" s="3" t="s">
        <v>143</v>
      </c>
      <c r="C12" s="3" t="s">
        <v>167</v>
      </c>
      <c r="D12" s="3" t="s">
        <v>169</v>
      </c>
      <c r="E12" s="3" t="s">
        <v>145</v>
      </c>
      <c r="F12" s="4">
        <f t="shared" ca="1" si="0"/>
        <v>43894.587103819445</v>
      </c>
      <c r="G12" s="3" t="s">
        <v>146</v>
      </c>
      <c r="H12" s="3" t="s">
        <v>169</v>
      </c>
      <c r="I12" s="3" t="s">
        <v>201</v>
      </c>
      <c r="J12" s="3" t="s">
        <v>146</v>
      </c>
      <c r="K12" s="3" t="s">
        <v>203</v>
      </c>
      <c r="L12" s="3" t="s">
        <v>285</v>
      </c>
      <c r="M12" s="3" t="s">
        <v>203</v>
      </c>
      <c r="O12" s="3" t="s">
        <v>203</v>
      </c>
      <c r="P12" s="3" t="s">
        <v>203</v>
      </c>
      <c r="Q12" s="3" t="s">
        <v>261</v>
      </c>
      <c r="R12" s="3" t="s">
        <v>261</v>
      </c>
      <c r="S12" s="3" t="s">
        <v>203</v>
      </c>
      <c r="T12" s="3" t="s">
        <v>457</v>
      </c>
      <c r="U12" s="3" t="s">
        <v>504</v>
      </c>
      <c r="V12" s="3" t="s">
        <v>205</v>
      </c>
      <c r="W12" s="3" t="s">
        <v>321</v>
      </c>
      <c r="X12" s="3" t="s">
        <v>169</v>
      </c>
      <c r="Y12" t="s">
        <v>519</v>
      </c>
      <c r="AA12" s="3" t="s">
        <v>203</v>
      </c>
      <c r="AD12" t="s">
        <v>207</v>
      </c>
      <c r="AE12" s="9" t="s">
        <v>322</v>
      </c>
      <c r="AF12" s="9" t="s">
        <v>322</v>
      </c>
      <c r="AG12" s="3" t="s">
        <v>62</v>
      </c>
      <c r="AH12" s="3" t="s">
        <v>64</v>
      </c>
      <c r="AK12" t="s">
        <v>518</v>
      </c>
      <c r="AM12" s="3" t="s">
        <v>169</v>
      </c>
      <c r="AO12" s="3" t="s">
        <v>169</v>
      </c>
      <c r="AQ12" s="3" t="s">
        <v>150</v>
      </c>
      <c r="AV12" s="3" t="s">
        <v>152</v>
      </c>
      <c r="AW12" s="3" t="s">
        <v>467</v>
      </c>
    </row>
    <row r="13" spans="1:49">
      <c r="A13" s="3" t="s">
        <v>142</v>
      </c>
      <c r="B13" s="3" t="s">
        <v>143</v>
      </c>
      <c r="C13" s="3" t="s">
        <v>167</v>
      </c>
      <c r="D13" s="3" t="s">
        <v>169</v>
      </c>
      <c r="E13" s="3" t="s">
        <v>145</v>
      </c>
      <c r="F13" s="4">
        <f t="shared" ca="1" si="0"/>
        <v>43894.587103819445</v>
      </c>
      <c r="G13" s="3" t="s">
        <v>146</v>
      </c>
      <c r="H13" s="3" t="s">
        <v>169</v>
      </c>
      <c r="I13" s="3" t="s">
        <v>201</v>
      </c>
      <c r="J13" s="3" t="s">
        <v>146</v>
      </c>
      <c r="K13" s="3" t="s">
        <v>203</v>
      </c>
      <c r="L13" s="3" t="s">
        <v>505</v>
      </c>
      <c r="M13" s="3" t="s">
        <v>203</v>
      </c>
      <c r="O13" s="3" t="s">
        <v>203</v>
      </c>
      <c r="P13" s="3" t="s">
        <v>203</v>
      </c>
      <c r="Q13" s="3" t="s">
        <v>62</v>
      </c>
      <c r="R13" s="3" t="s">
        <v>62</v>
      </c>
      <c r="S13" s="3" t="s">
        <v>203</v>
      </c>
      <c r="T13" s="3" t="s">
        <v>507</v>
      </c>
      <c r="U13" s="3" t="s">
        <v>503</v>
      </c>
      <c r="V13" s="3" t="s">
        <v>205</v>
      </c>
      <c r="W13" s="3" t="s">
        <v>509</v>
      </c>
      <c r="X13" s="3" t="s">
        <v>64</v>
      </c>
      <c r="Y13" t="s">
        <v>521</v>
      </c>
      <c r="AA13" s="3" t="s">
        <v>203</v>
      </c>
      <c r="AD13" t="s">
        <v>97</v>
      </c>
      <c r="AE13" s="9" t="s">
        <v>322</v>
      </c>
      <c r="AF13" s="9" t="s">
        <v>322</v>
      </c>
      <c r="AG13" s="3" t="s">
        <v>204</v>
      </c>
      <c r="AH13" s="3" t="s">
        <v>510</v>
      </c>
      <c r="AK13" t="s">
        <v>518</v>
      </c>
      <c r="AM13" s="3" t="s">
        <v>169</v>
      </c>
      <c r="AO13" s="3" t="s">
        <v>169</v>
      </c>
      <c r="AQ13" s="3" t="s">
        <v>150</v>
      </c>
      <c r="AV13" s="3" t="s">
        <v>152</v>
      </c>
      <c r="AW13" s="3" t="s">
        <v>467</v>
      </c>
    </row>
    <row r="14" spans="1:49">
      <c r="A14" s="3" t="s">
        <v>142</v>
      </c>
      <c r="B14" s="3" t="s">
        <v>143</v>
      </c>
      <c r="C14" s="3" t="s">
        <v>167</v>
      </c>
      <c r="D14" s="3" t="s">
        <v>169</v>
      </c>
      <c r="E14" s="3" t="s">
        <v>145</v>
      </c>
      <c r="F14" s="4">
        <f t="shared" ca="1" si="0"/>
        <v>43894.587103819445</v>
      </c>
      <c r="G14" s="3" t="s">
        <v>146</v>
      </c>
      <c r="H14" s="3" t="s">
        <v>169</v>
      </c>
      <c r="I14" s="3" t="s">
        <v>201</v>
      </c>
      <c r="J14" s="3" t="s">
        <v>146</v>
      </c>
      <c r="K14" s="3" t="s">
        <v>203</v>
      </c>
      <c r="L14" s="3" t="s">
        <v>506</v>
      </c>
      <c r="M14" s="3" t="s">
        <v>203</v>
      </c>
      <c r="O14" s="3" t="s">
        <v>203</v>
      </c>
      <c r="P14" s="3" t="s">
        <v>203</v>
      </c>
      <c r="Q14" s="3" t="s">
        <v>261</v>
      </c>
      <c r="R14" s="3" t="s">
        <v>261</v>
      </c>
      <c r="S14" s="3" t="s">
        <v>203</v>
      </c>
      <c r="T14" s="3" t="s">
        <v>508</v>
      </c>
      <c r="U14" s="3" t="s">
        <v>504</v>
      </c>
      <c r="V14" s="3" t="s">
        <v>205</v>
      </c>
      <c r="W14" s="3" t="s">
        <v>509</v>
      </c>
      <c r="X14" s="3" t="s">
        <v>119</v>
      </c>
      <c r="Y14" t="s">
        <v>521</v>
      </c>
      <c r="AA14" s="3" t="s">
        <v>261</v>
      </c>
      <c r="AD14" t="s">
        <v>97</v>
      </c>
      <c r="AE14" s="9" t="s">
        <v>321</v>
      </c>
      <c r="AF14" s="9" t="s">
        <v>321</v>
      </c>
      <c r="AG14" s="3" t="s">
        <v>62</v>
      </c>
      <c r="AH14" s="3" t="s">
        <v>29</v>
      </c>
      <c r="AK14" t="s">
        <v>518</v>
      </c>
      <c r="AM14" s="3" t="s">
        <v>169</v>
      </c>
      <c r="AO14" s="3" t="s">
        <v>169</v>
      </c>
      <c r="AQ14" s="3" t="s">
        <v>150</v>
      </c>
      <c r="AV14" s="3" t="s">
        <v>152</v>
      </c>
      <c r="AW14" s="3" t="s">
        <v>467</v>
      </c>
    </row>
    <row r="15" spans="1:49">
      <c r="A15" s="3" t="s">
        <v>142</v>
      </c>
      <c r="B15" s="3" t="s">
        <v>143</v>
      </c>
      <c r="C15" s="3" t="s">
        <v>167</v>
      </c>
      <c r="D15" s="3" t="s">
        <v>169</v>
      </c>
      <c r="E15" s="3" t="s">
        <v>145</v>
      </c>
      <c r="F15" s="4">
        <f t="shared" ca="1" si="0"/>
        <v>43894.587103819445</v>
      </c>
      <c r="G15" s="3" t="s">
        <v>200</v>
      </c>
      <c r="H15" s="3" t="s">
        <v>169</v>
      </c>
      <c r="I15" s="3" t="s">
        <v>201</v>
      </c>
      <c r="J15" s="3" t="s">
        <v>146</v>
      </c>
      <c r="K15" s="3" t="s">
        <v>203</v>
      </c>
      <c r="L15" s="3" t="s">
        <v>286</v>
      </c>
      <c r="M15" s="3" t="s">
        <v>203</v>
      </c>
      <c r="O15" s="3" t="s">
        <v>203</v>
      </c>
      <c r="P15" s="3" t="s">
        <v>203</v>
      </c>
      <c r="Q15" s="3" t="s">
        <v>261</v>
      </c>
      <c r="R15" s="3" t="s">
        <v>261</v>
      </c>
      <c r="S15" s="3" t="s">
        <v>203</v>
      </c>
      <c r="T15" s="3" t="s">
        <v>458</v>
      </c>
      <c r="U15" t="s">
        <v>204</v>
      </c>
      <c r="V15" s="3" t="s">
        <v>205</v>
      </c>
      <c r="W15" s="3" t="s">
        <v>321</v>
      </c>
      <c r="X15" s="3" t="s">
        <v>169</v>
      </c>
      <c r="Y15" t="s">
        <v>519</v>
      </c>
      <c r="AA15" s="3" t="s">
        <v>203</v>
      </c>
      <c r="AD15" t="s">
        <v>60</v>
      </c>
      <c r="AE15" s="9" t="s">
        <v>261</v>
      </c>
      <c r="AF15" s="9" t="s">
        <v>261</v>
      </c>
      <c r="AG15" t="s">
        <v>204</v>
      </c>
      <c r="AH15" s="3" t="s">
        <v>119</v>
      </c>
      <c r="AK15" t="s">
        <v>518</v>
      </c>
      <c r="AM15" s="3" t="s">
        <v>169</v>
      </c>
      <c r="AO15" s="3" t="s">
        <v>169</v>
      </c>
      <c r="AQ15" s="3" t="s">
        <v>150</v>
      </c>
      <c r="AV15" s="3" t="s">
        <v>152</v>
      </c>
      <c r="AW15" s="3" t="s">
        <v>467</v>
      </c>
    </row>
    <row r="16" spans="1:49">
      <c r="A16" s="3" t="s">
        <v>142</v>
      </c>
      <c r="B16" s="3" t="s">
        <v>143</v>
      </c>
      <c r="C16" s="3" t="s">
        <v>167</v>
      </c>
      <c r="D16" s="3" t="s">
        <v>169</v>
      </c>
      <c r="E16" s="3" t="s">
        <v>145</v>
      </c>
      <c r="F16" s="4">
        <f t="shared" ca="1" si="0"/>
        <v>43894.587103819445</v>
      </c>
      <c r="G16" s="3" t="s">
        <v>146</v>
      </c>
      <c r="H16" s="3" t="s">
        <v>169</v>
      </c>
      <c r="I16" s="3" t="s">
        <v>201</v>
      </c>
      <c r="J16" s="3" t="s">
        <v>146</v>
      </c>
      <c r="K16" s="3" t="s">
        <v>203</v>
      </c>
      <c r="L16" s="3" t="s">
        <v>286</v>
      </c>
      <c r="M16" s="3" t="s">
        <v>203</v>
      </c>
      <c r="O16" s="3" t="s">
        <v>203</v>
      </c>
      <c r="P16" s="3" t="s">
        <v>203</v>
      </c>
      <c r="Q16" s="3" t="s">
        <v>261</v>
      </c>
      <c r="R16" s="3" t="s">
        <v>261</v>
      </c>
      <c r="S16" s="3" t="s">
        <v>203</v>
      </c>
      <c r="T16" s="3" t="s">
        <v>457</v>
      </c>
      <c r="U16" s="3" t="s">
        <v>203</v>
      </c>
      <c r="V16" s="3" t="s">
        <v>205</v>
      </c>
      <c r="W16" s="3" t="s">
        <v>321</v>
      </c>
      <c r="X16" s="3" t="s">
        <v>169</v>
      </c>
      <c r="Y16" t="s">
        <v>519</v>
      </c>
      <c r="AA16" s="3" t="s">
        <v>203</v>
      </c>
      <c r="AD16" t="s">
        <v>60</v>
      </c>
      <c r="AE16" s="9" t="s">
        <v>322</v>
      </c>
      <c r="AF16" s="9" t="s">
        <v>322</v>
      </c>
      <c r="AG16" s="3" t="s">
        <v>203</v>
      </c>
      <c r="AH16" s="3" t="s">
        <v>119</v>
      </c>
      <c r="AK16" t="s">
        <v>518</v>
      </c>
      <c r="AM16" s="3" t="s">
        <v>169</v>
      </c>
      <c r="AO16" s="3" t="s">
        <v>169</v>
      </c>
      <c r="AQ16" s="3" t="s">
        <v>150</v>
      </c>
      <c r="AV16" s="3" t="s">
        <v>152</v>
      </c>
      <c r="AW16" s="3" t="s">
        <v>467</v>
      </c>
    </row>
    <row r="17" spans="1:49">
      <c r="A17" s="3"/>
      <c r="B17" s="3"/>
      <c r="C17" s="3"/>
      <c r="D17" s="3"/>
      <c r="E17" s="3"/>
      <c r="F17" s="4"/>
      <c r="G17" s="3"/>
      <c r="H17" s="3"/>
      <c r="I17" s="3"/>
      <c r="J17" s="3"/>
      <c r="K17" s="3"/>
      <c r="L17" s="3"/>
      <c r="M17" s="3"/>
      <c r="O17" s="3"/>
      <c r="P17" s="3"/>
      <c r="Q17" s="3"/>
      <c r="R17" s="3"/>
      <c r="S17" s="3"/>
      <c r="T17" s="3"/>
      <c r="U17" s="3"/>
      <c r="V17" s="3"/>
      <c r="W17" s="3"/>
      <c r="X17" s="3"/>
      <c r="AA17" s="3"/>
      <c r="AE17" s="9"/>
      <c r="AF17" s="9"/>
      <c r="AG17" s="3"/>
      <c r="AH17" s="3"/>
      <c r="AM17" s="3"/>
      <c r="AO17" s="3"/>
      <c r="AQ17" s="3"/>
      <c r="AV17" s="3"/>
      <c r="AW17" s="3"/>
    </row>
    <row r="18" spans="1:49">
      <c r="A18" s="3"/>
      <c r="B18" s="3"/>
      <c r="C18" s="3"/>
      <c r="D18" s="3"/>
      <c r="E18" s="3"/>
      <c r="F18" s="4"/>
      <c r="G18" s="3"/>
      <c r="H18" s="3"/>
      <c r="I18" s="3"/>
      <c r="J18" s="3"/>
      <c r="K18" s="3"/>
      <c r="L18" s="3"/>
      <c r="M18" s="3"/>
      <c r="O18" s="3"/>
      <c r="P18" s="3"/>
      <c r="Q18" s="3"/>
      <c r="R18" s="3"/>
      <c r="S18" s="3"/>
      <c r="T18" s="3"/>
      <c r="U18" s="3"/>
      <c r="V18" s="3"/>
      <c r="Y18" s="3"/>
      <c r="AC18" s="9"/>
      <c r="AD18" s="9"/>
      <c r="AE18" s="3"/>
      <c r="AF18" s="3"/>
      <c r="AK18" s="3"/>
      <c r="AM18" s="3"/>
      <c r="AO18" s="3"/>
      <c r="AT18" s="3"/>
      <c r="AU18" s="3"/>
    </row>
    <row r="19" spans="1:49">
      <c r="A19" s="3"/>
      <c r="B19" s="3"/>
      <c r="C19" s="3"/>
      <c r="D19" s="3"/>
      <c r="E19" s="3"/>
      <c r="F19" s="4"/>
      <c r="G19" s="3"/>
      <c r="H19" s="3"/>
      <c r="I19" s="3"/>
      <c r="J19" s="3"/>
      <c r="K19" s="3"/>
      <c r="L19" s="3"/>
      <c r="M19" s="3"/>
      <c r="O19" s="3"/>
      <c r="P19" s="3"/>
      <c r="Q19" s="3"/>
      <c r="R19" s="3"/>
      <c r="S19" s="3"/>
      <c r="T19" s="3"/>
      <c r="U19" s="3"/>
      <c r="V19" s="3"/>
      <c r="Y19" s="3"/>
      <c r="AC19" s="9"/>
      <c r="AD19" s="9"/>
      <c r="AE19" s="3"/>
      <c r="AF19" s="3"/>
      <c r="AK19" s="3"/>
      <c r="AM19" s="3"/>
      <c r="AO19" s="3"/>
      <c r="AT19" s="3"/>
      <c r="AU19" s="3"/>
    </row>
    <row r="21" spans="1:49">
      <c r="A21" s="3"/>
      <c r="B21" s="3"/>
      <c r="C21" s="3"/>
      <c r="D21" s="3"/>
      <c r="E21" s="3"/>
      <c r="F21" s="4"/>
      <c r="G21" s="3"/>
      <c r="H21" s="3"/>
      <c r="I21" s="3"/>
      <c r="J21" s="3"/>
      <c r="K21" s="3"/>
      <c r="L21" s="3"/>
      <c r="M21" s="3"/>
      <c r="O21" s="3"/>
      <c r="P21" s="3"/>
      <c r="Q21" s="3"/>
      <c r="R21" s="3"/>
      <c r="S21" s="3"/>
      <c r="T21" s="3"/>
      <c r="U21" s="3"/>
      <c r="V21" s="3"/>
      <c r="Y21" s="3"/>
      <c r="AC21" s="9"/>
      <c r="AD21" s="9"/>
      <c r="AE21" s="3"/>
      <c r="AF21" s="3"/>
      <c r="AK21" s="3"/>
      <c r="AM21" s="3"/>
      <c r="AO21" s="3"/>
      <c r="AT21" s="3"/>
      <c r="AU21" s="3"/>
    </row>
    <row r="22" spans="1:49">
      <c r="A22" s="3"/>
      <c r="B22" s="3"/>
      <c r="C22" s="3"/>
      <c r="D22" s="3"/>
      <c r="E22" s="3"/>
      <c r="F22" s="4"/>
      <c r="G22" s="3"/>
      <c r="H22" s="3"/>
      <c r="I22" s="3"/>
      <c r="J22" s="3"/>
      <c r="K22" s="3"/>
      <c r="L22" s="3"/>
      <c r="M22" s="3"/>
      <c r="O22" s="3"/>
      <c r="P22" s="3"/>
      <c r="Q22" s="3"/>
      <c r="R22" s="3"/>
      <c r="S22" s="3"/>
      <c r="T22" s="3"/>
      <c r="U22" s="3"/>
      <c r="V22" s="3"/>
      <c r="Y22" s="3"/>
      <c r="AC22" s="9"/>
      <c r="AD22" s="9"/>
      <c r="AE22" s="3"/>
      <c r="AF22" s="3"/>
      <c r="AK22" s="3"/>
      <c r="AM22" s="3"/>
      <c r="AO22" s="3"/>
      <c r="AR22" s="3"/>
      <c r="AT22" s="3"/>
      <c r="AU22" s="3"/>
    </row>
    <row r="23" spans="1:49">
      <c r="A23" s="3"/>
      <c r="B23" s="3"/>
      <c r="C23" s="3"/>
      <c r="D23" s="3"/>
      <c r="E23" s="3"/>
      <c r="F23" s="4"/>
      <c r="G23" s="3"/>
      <c r="H23" s="3"/>
      <c r="I23" s="3"/>
      <c r="J23" s="3"/>
      <c r="K23" s="3"/>
      <c r="L23" s="3"/>
      <c r="M23" s="3"/>
      <c r="O23" s="3"/>
      <c r="P23" s="3"/>
      <c r="Q23" s="3"/>
      <c r="R23" s="3"/>
      <c r="S23" s="3"/>
      <c r="T23" s="3"/>
      <c r="U23" s="3"/>
      <c r="V23" s="3"/>
      <c r="Y23" s="3"/>
      <c r="AC23" s="9"/>
      <c r="AD23" s="9"/>
      <c r="AE23" s="3"/>
      <c r="AF23" s="3"/>
      <c r="AK23" s="3"/>
      <c r="AM23" s="3"/>
      <c r="AO23" s="3"/>
      <c r="AR23" s="3"/>
      <c r="AT23" s="3"/>
      <c r="AU23" s="3"/>
    </row>
    <row r="24" spans="1:49">
      <c r="A24" s="3"/>
      <c r="B24" s="3"/>
      <c r="C24" s="3"/>
      <c r="D24" s="3"/>
      <c r="E24" s="3"/>
      <c r="F24" s="4"/>
      <c r="G24" s="3"/>
      <c r="H24" s="3"/>
      <c r="I24" s="3"/>
      <c r="J24" s="3"/>
      <c r="K24" s="3"/>
      <c r="L24" s="3"/>
      <c r="M24" s="3"/>
      <c r="O24" s="3"/>
      <c r="P24" s="3"/>
      <c r="Q24" s="3"/>
      <c r="R24" s="3"/>
      <c r="S24" s="3"/>
      <c r="T24" s="3"/>
      <c r="U24" s="3"/>
      <c r="V24" s="3"/>
      <c r="Y24" s="3"/>
      <c r="AC24" s="9"/>
      <c r="AD24" s="9"/>
      <c r="AE24" s="3"/>
      <c r="AF24" s="3"/>
      <c r="AK24" s="3"/>
      <c r="AM24" s="3"/>
      <c r="AO24" s="3"/>
      <c r="AT24" s="3"/>
      <c r="AU24" s="3"/>
    </row>
    <row r="25" spans="1:49">
      <c r="A25" s="3"/>
      <c r="B25" s="3"/>
      <c r="C25" s="3"/>
      <c r="D25" s="3"/>
      <c r="E25" s="3"/>
      <c r="F25" s="4"/>
      <c r="G25" s="3"/>
      <c r="H25" s="3"/>
      <c r="I25" s="3"/>
      <c r="J25" s="3"/>
      <c r="K25" s="3"/>
      <c r="L25" s="3"/>
      <c r="M25" s="3"/>
      <c r="O25" s="3"/>
      <c r="P25" s="3"/>
      <c r="Q25" s="3"/>
      <c r="R25" s="3"/>
      <c r="S25" s="3"/>
      <c r="T25" s="3"/>
      <c r="U25" s="3"/>
      <c r="V25" s="3"/>
      <c r="Y25" s="3"/>
      <c r="AC25" s="9"/>
      <c r="AD25" s="9"/>
      <c r="AE25" s="3"/>
      <c r="AF25" s="3"/>
      <c r="AK25" s="3"/>
      <c r="AM25" s="3"/>
      <c r="AO25" s="3"/>
      <c r="AT25" s="3"/>
      <c r="AU25" s="3"/>
    </row>
    <row r="30" spans="1:49">
      <c r="AR30" s="3"/>
      <c r="AS30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4"/>
  <sheetViews>
    <sheetView workbookViewId="0">
      <selection activeCell="A4" sqref="A4"/>
    </sheetView>
  </sheetViews>
  <sheetFormatPr defaultRowHeight="14.25"/>
  <cols>
    <col min="6" max="6" width="17.5" customWidth="1"/>
    <col min="21" max="21" width="14.25" customWidth="1"/>
    <col min="25" max="25" width="10.625" customWidth="1"/>
  </cols>
  <sheetData>
    <row r="1" spans="1:3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232</v>
      </c>
      <c r="J1" t="s">
        <v>233</v>
      </c>
      <c r="K1" t="s">
        <v>49</v>
      </c>
      <c r="L1" t="s">
        <v>51</v>
      </c>
      <c r="M1" t="s">
        <v>52</v>
      </c>
      <c r="N1" t="s">
        <v>51</v>
      </c>
      <c r="O1" t="s">
        <v>52</v>
      </c>
      <c r="P1" t="s">
        <v>235</v>
      </c>
      <c r="Q1" t="s">
        <v>236</v>
      </c>
      <c r="R1" t="s">
        <v>237</v>
      </c>
      <c r="S1" t="s">
        <v>238</v>
      </c>
      <c r="T1" t="s">
        <v>239</v>
      </c>
      <c r="U1" t="s">
        <v>33</v>
      </c>
      <c r="V1" t="s">
        <v>45</v>
      </c>
      <c r="W1" t="s">
        <v>240</v>
      </c>
      <c r="X1" t="s">
        <v>241</v>
      </c>
      <c r="Y1" t="s">
        <v>301</v>
      </c>
      <c r="Z1" t="s">
        <v>302</v>
      </c>
      <c r="AA1" t="s">
        <v>38</v>
      </c>
      <c r="AB1" t="s">
        <v>56</v>
      </c>
      <c r="AC1" t="s">
        <v>239</v>
      </c>
      <c r="AD1" t="s">
        <v>33</v>
      </c>
      <c r="AE1" t="s">
        <v>45</v>
      </c>
      <c r="AF1" t="s">
        <v>240</v>
      </c>
      <c r="AG1" t="s">
        <v>241</v>
      </c>
      <c r="AH1" t="s">
        <v>301</v>
      </c>
      <c r="AI1" t="s">
        <v>302</v>
      </c>
      <c r="AJ1" t="s">
        <v>38</v>
      </c>
      <c r="AK1" t="s">
        <v>56</v>
      </c>
    </row>
    <row r="2" spans="1:3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234</v>
      </c>
      <c r="K2" t="s">
        <v>50</v>
      </c>
      <c r="L2" t="s">
        <v>10</v>
      </c>
      <c r="M2" t="s">
        <v>13</v>
      </c>
      <c r="N2" t="s">
        <v>10</v>
      </c>
      <c r="O2" t="s">
        <v>13</v>
      </c>
      <c r="P2" t="s">
        <v>50</v>
      </c>
      <c r="Q2" t="s">
        <v>10</v>
      </c>
      <c r="R2" t="s">
        <v>13</v>
      </c>
      <c r="S2" t="s">
        <v>13</v>
      </c>
      <c r="T2" t="s">
        <v>10</v>
      </c>
      <c r="U2" t="s">
        <v>10</v>
      </c>
      <c r="V2" t="s">
        <v>46</v>
      </c>
      <c r="W2" t="s">
        <v>39</v>
      </c>
      <c r="X2" t="s">
        <v>41</v>
      </c>
      <c r="Y2" t="s">
        <v>39</v>
      </c>
      <c r="Z2" t="s">
        <v>41</v>
      </c>
      <c r="AA2" t="s">
        <v>36</v>
      </c>
      <c r="AB2" t="s">
        <v>57</v>
      </c>
      <c r="AC2" t="s">
        <v>10</v>
      </c>
      <c r="AD2" t="s">
        <v>10</v>
      </c>
      <c r="AE2" t="s">
        <v>46</v>
      </c>
      <c r="AF2" t="s">
        <v>39</v>
      </c>
      <c r="AG2" t="s">
        <v>41</v>
      </c>
      <c r="AH2" t="s">
        <v>39</v>
      </c>
      <c r="AI2" t="s">
        <v>41</v>
      </c>
      <c r="AJ2" t="s">
        <v>36</v>
      </c>
      <c r="AK2" t="s">
        <v>57</v>
      </c>
    </row>
    <row r="3" spans="1:37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215</v>
      </c>
      <c r="I3" s="3" t="s">
        <v>242</v>
      </c>
      <c r="J3" s="3" t="s">
        <v>243</v>
      </c>
      <c r="K3" s="3" t="s">
        <v>83</v>
      </c>
      <c r="L3" s="3" t="s">
        <v>115</v>
      </c>
      <c r="M3" s="3" t="s">
        <v>114</v>
      </c>
      <c r="N3" s="3" t="s">
        <v>227</v>
      </c>
      <c r="O3" s="3" t="s">
        <v>228</v>
      </c>
      <c r="P3" s="3" t="s">
        <v>244</v>
      </c>
      <c r="Q3" s="3" t="s">
        <v>247</v>
      </c>
      <c r="R3" s="3" t="s">
        <v>248</v>
      </c>
      <c r="S3" s="3" t="s">
        <v>249</v>
      </c>
      <c r="T3" s="3" t="s">
        <v>250</v>
      </c>
      <c r="U3" s="3" t="s">
        <v>252</v>
      </c>
      <c r="V3" s="3" t="s">
        <v>253</v>
      </c>
      <c r="W3" s="3" t="s">
        <v>274</v>
      </c>
      <c r="X3" s="3" t="s">
        <v>266</v>
      </c>
      <c r="Y3" s="3" t="s">
        <v>255</v>
      </c>
      <c r="Z3" s="3" t="s">
        <v>256</v>
      </c>
      <c r="AA3" s="3" t="s">
        <v>257</v>
      </c>
      <c r="AB3" s="3" t="s">
        <v>258</v>
      </c>
      <c r="AC3" s="3" t="s">
        <v>263</v>
      </c>
      <c r="AD3" s="3" t="s">
        <v>264</v>
      </c>
      <c r="AE3" s="3" t="s">
        <v>265</v>
      </c>
      <c r="AF3" s="3" t="s">
        <v>278</v>
      </c>
      <c r="AG3" s="3" t="s">
        <v>279</v>
      </c>
      <c r="AH3" s="3" t="s">
        <v>267</v>
      </c>
      <c r="AI3" s="3" t="s">
        <v>268</v>
      </c>
      <c r="AJ3" s="3" t="s">
        <v>262</v>
      </c>
      <c r="AK3" s="3" t="s">
        <v>269</v>
      </c>
    </row>
    <row r="4" spans="1:37">
      <c r="A4" s="3" t="s">
        <v>26</v>
      </c>
      <c r="B4" s="3" t="s">
        <v>27</v>
      </c>
      <c r="C4" s="3" t="s">
        <v>272</v>
      </c>
      <c r="D4" s="3"/>
      <c r="E4" s="3" t="s">
        <v>31</v>
      </c>
      <c r="F4" s="4">
        <f ca="1">NOW()</f>
        <v>43894.587103819445</v>
      </c>
      <c r="G4" s="3" t="s">
        <v>28</v>
      </c>
      <c r="H4" s="3" t="s">
        <v>31</v>
      </c>
      <c r="I4" s="3" t="s">
        <v>246</v>
      </c>
      <c r="P4" s="3" t="s">
        <v>251</v>
      </c>
      <c r="Q4" s="3" t="s">
        <v>246</v>
      </c>
      <c r="R4" s="3" t="s">
        <v>245</v>
      </c>
      <c r="S4" s="3" t="s">
        <v>119</v>
      </c>
      <c r="T4" s="3" t="s">
        <v>285</v>
      </c>
      <c r="U4" t="s">
        <v>293</v>
      </c>
      <c r="V4" t="s">
        <v>273</v>
      </c>
      <c r="W4" s="3" t="s">
        <v>254</v>
      </c>
      <c r="X4" s="3" t="s">
        <v>254</v>
      </c>
      <c r="Y4" s="3" t="s">
        <v>287</v>
      </c>
      <c r="Z4" s="3" t="s">
        <v>251</v>
      </c>
      <c r="AA4" t="s">
        <v>270</v>
      </c>
      <c r="AB4" s="3" t="s">
        <v>251</v>
      </c>
      <c r="AC4" s="3" t="s">
        <v>209</v>
      </c>
      <c r="AD4" t="s">
        <v>293</v>
      </c>
      <c r="AE4" t="s">
        <v>273</v>
      </c>
      <c r="AF4" s="3" t="s">
        <v>259</v>
      </c>
      <c r="AG4" s="3" t="s">
        <v>260</v>
      </c>
      <c r="AH4" s="3" t="s">
        <v>261</v>
      </c>
      <c r="AI4" s="3" t="s">
        <v>254</v>
      </c>
      <c r="AJ4" t="s">
        <v>271</v>
      </c>
      <c r="AK4" s="3" t="s">
        <v>251</v>
      </c>
    </row>
  </sheetData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7"/>
  <sheetViews>
    <sheetView topLeftCell="T1" workbookViewId="0">
      <selection activeCell="Y13" sqref="Y13"/>
    </sheetView>
  </sheetViews>
  <sheetFormatPr defaultRowHeight="14.25"/>
  <cols>
    <col min="6" max="6" width="18.5" customWidth="1"/>
    <col min="32" max="32" width="12.75" customWidth="1"/>
  </cols>
  <sheetData>
    <row r="1" spans="1:43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121</v>
      </c>
      <c r="I1" t="s">
        <v>122</v>
      </c>
      <c r="J1" t="s">
        <v>32</v>
      </c>
      <c r="K1" t="s">
        <v>158</v>
      </c>
      <c r="L1" t="s">
        <v>232</v>
      </c>
      <c r="M1" t="s">
        <v>45</v>
      </c>
      <c r="N1" t="s">
        <v>49</v>
      </c>
      <c r="O1" t="s">
        <v>51</v>
      </c>
      <c r="P1" t="s">
        <v>52</v>
      </c>
      <c r="Q1" t="s">
        <v>51</v>
      </c>
      <c r="R1" t="s">
        <v>52</v>
      </c>
      <c r="S1" t="s">
        <v>235</v>
      </c>
      <c r="T1" t="s">
        <v>236</v>
      </c>
      <c r="U1" t="s">
        <v>237</v>
      </c>
      <c r="V1" t="s">
        <v>238</v>
      </c>
      <c r="W1" t="s">
        <v>239</v>
      </c>
      <c r="X1" t="s">
        <v>33</v>
      </c>
      <c r="Y1" t="s">
        <v>240</v>
      </c>
      <c r="Z1" t="s">
        <v>241</v>
      </c>
      <c r="AA1" t="s">
        <v>301</v>
      </c>
      <c r="AB1" t="s">
        <v>302</v>
      </c>
      <c r="AC1" t="s">
        <v>38</v>
      </c>
      <c r="AD1" t="s">
        <v>56</v>
      </c>
      <c r="AE1" t="s">
        <v>239</v>
      </c>
      <c r="AF1" t="s">
        <v>33</v>
      </c>
      <c r="AG1" t="s">
        <v>240</v>
      </c>
      <c r="AH1" t="s">
        <v>241</v>
      </c>
      <c r="AI1" t="s">
        <v>301</v>
      </c>
      <c r="AJ1" t="s">
        <v>302</v>
      </c>
      <c r="AK1" t="s">
        <v>38</v>
      </c>
      <c r="AL1" t="s">
        <v>56</v>
      </c>
      <c r="AM1" t="s">
        <v>280</v>
      </c>
      <c r="AN1" t="s">
        <v>15</v>
      </c>
      <c r="AO1" t="s">
        <v>16</v>
      </c>
      <c r="AP1" s="1" t="s">
        <v>17</v>
      </c>
      <c r="AQ1" t="s">
        <v>165</v>
      </c>
    </row>
    <row r="2" spans="1:43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10</v>
      </c>
      <c r="L2" t="s">
        <v>13</v>
      </c>
      <c r="M2" t="s">
        <v>46</v>
      </c>
      <c r="N2" t="s">
        <v>50</v>
      </c>
      <c r="O2" t="s">
        <v>10</v>
      </c>
      <c r="P2" t="s">
        <v>13</v>
      </c>
      <c r="Q2" t="s">
        <v>10</v>
      </c>
      <c r="R2" t="s">
        <v>13</v>
      </c>
      <c r="S2" t="s">
        <v>50</v>
      </c>
      <c r="T2" t="s">
        <v>10</v>
      </c>
      <c r="U2" t="s">
        <v>13</v>
      </c>
      <c r="V2" t="s">
        <v>13</v>
      </c>
      <c r="W2" t="s">
        <v>10</v>
      </c>
      <c r="X2" t="s">
        <v>10</v>
      </c>
      <c r="Y2" t="s">
        <v>39</v>
      </c>
      <c r="Z2" t="s">
        <v>41</v>
      </c>
      <c r="AA2" t="s">
        <v>39</v>
      </c>
      <c r="AB2" t="s">
        <v>41</v>
      </c>
      <c r="AC2" t="s">
        <v>36</v>
      </c>
      <c r="AD2" t="s">
        <v>57</v>
      </c>
      <c r="AE2" t="s">
        <v>10</v>
      </c>
      <c r="AF2" t="s">
        <v>10</v>
      </c>
      <c r="AG2" t="s">
        <v>39</v>
      </c>
      <c r="AH2" t="s">
        <v>41</v>
      </c>
      <c r="AI2" t="s">
        <v>39</v>
      </c>
      <c r="AJ2" t="s">
        <v>41</v>
      </c>
      <c r="AK2" t="s">
        <v>36</v>
      </c>
      <c r="AL2" t="s">
        <v>57</v>
      </c>
      <c r="AM2" t="s">
        <v>281</v>
      </c>
      <c r="AN2" t="s">
        <v>13</v>
      </c>
      <c r="AO2" t="s">
        <v>13</v>
      </c>
      <c r="AP2" t="s">
        <v>10</v>
      </c>
      <c r="AQ2" t="s">
        <v>166</v>
      </c>
    </row>
    <row r="3" spans="1:43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2" t="s">
        <v>133</v>
      </c>
      <c r="I3" s="2" t="s">
        <v>134</v>
      </c>
      <c r="J3" s="3" t="s">
        <v>215</v>
      </c>
      <c r="K3" s="3" t="s">
        <v>183</v>
      </c>
      <c r="L3" s="3" t="s">
        <v>242</v>
      </c>
      <c r="M3" s="3" t="s">
        <v>253</v>
      </c>
      <c r="N3" s="3" t="s">
        <v>83</v>
      </c>
      <c r="O3" s="3" t="s">
        <v>115</v>
      </c>
      <c r="P3" s="3" t="s">
        <v>114</v>
      </c>
      <c r="Q3" s="3" t="s">
        <v>227</v>
      </c>
      <c r="R3" s="3" t="s">
        <v>228</v>
      </c>
      <c r="S3" s="3" t="s">
        <v>244</v>
      </c>
      <c r="T3" s="3" t="s">
        <v>247</v>
      </c>
      <c r="U3" s="3" t="s">
        <v>248</v>
      </c>
      <c r="V3" s="3" t="s">
        <v>249</v>
      </c>
      <c r="W3" s="3" t="s">
        <v>250</v>
      </c>
      <c r="X3" s="3" t="s">
        <v>252</v>
      </c>
      <c r="Y3" s="3" t="s">
        <v>274</v>
      </c>
      <c r="Z3" s="3" t="s">
        <v>266</v>
      </c>
      <c r="AA3" s="3" t="s">
        <v>255</v>
      </c>
      <c r="AB3" s="3" t="s">
        <v>256</v>
      </c>
      <c r="AC3" s="3" t="s">
        <v>262</v>
      </c>
      <c r="AD3" s="3" t="s">
        <v>269</v>
      </c>
      <c r="AE3" s="3" t="s">
        <v>263</v>
      </c>
      <c r="AF3" s="3" t="s">
        <v>264</v>
      </c>
      <c r="AG3" s="3" t="s">
        <v>278</v>
      </c>
      <c r="AH3" s="3" t="s">
        <v>279</v>
      </c>
      <c r="AI3" s="3" t="s">
        <v>267</v>
      </c>
      <c r="AJ3" s="3" t="s">
        <v>268</v>
      </c>
      <c r="AK3" s="3" t="s">
        <v>283</v>
      </c>
      <c r="AL3" s="3" t="s">
        <v>284</v>
      </c>
      <c r="AM3" s="3" t="s">
        <v>282</v>
      </c>
      <c r="AN3" s="3" t="s">
        <v>138</v>
      </c>
      <c r="AO3" s="3" t="s">
        <v>139</v>
      </c>
      <c r="AP3" s="2" t="s">
        <v>140</v>
      </c>
      <c r="AQ3" s="7" t="s">
        <v>126</v>
      </c>
    </row>
    <row r="4" spans="1:43">
      <c r="A4" s="3" t="s">
        <v>26</v>
      </c>
      <c r="B4" s="3" t="s">
        <v>27</v>
      </c>
      <c r="C4" s="3" t="s">
        <v>277</v>
      </c>
      <c r="D4" s="3"/>
      <c r="E4" s="3" t="s">
        <v>28</v>
      </c>
      <c r="F4" s="4">
        <f ca="1">NOW()</f>
        <v>43894.587103819445</v>
      </c>
      <c r="G4" s="3" t="s">
        <v>31</v>
      </c>
      <c r="H4" s="3" t="s">
        <v>275</v>
      </c>
      <c r="I4" s="3" t="s">
        <v>276</v>
      </c>
      <c r="J4" s="3" t="s">
        <v>31</v>
      </c>
      <c r="L4" s="3" t="s">
        <v>260</v>
      </c>
      <c r="M4" t="s">
        <v>273</v>
      </c>
      <c r="S4" s="3" t="s">
        <v>251</v>
      </c>
      <c r="T4" s="3" t="s">
        <v>261</v>
      </c>
      <c r="U4" s="3" t="s">
        <v>245</v>
      </c>
      <c r="V4" s="3" t="s">
        <v>119</v>
      </c>
      <c r="W4" s="3" t="s">
        <v>316</v>
      </c>
      <c r="X4" t="s">
        <v>293</v>
      </c>
      <c r="Y4" s="3" t="s">
        <v>254</v>
      </c>
      <c r="Z4" s="3" t="s">
        <v>254</v>
      </c>
      <c r="AA4" s="3" t="s">
        <v>294</v>
      </c>
      <c r="AB4" s="3" t="s">
        <v>251</v>
      </c>
      <c r="AC4" t="s">
        <v>270</v>
      </c>
      <c r="AD4" s="3" t="s">
        <v>251</v>
      </c>
      <c r="AE4" s="3" t="s">
        <v>317</v>
      </c>
      <c r="AF4" t="s">
        <v>293</v>
      </c>
      <c r="AG4" s="3" t="s">
        <v>295</v>
      </c>
      <c r="AH4" s="3" t="s">
        <v>260</v>
      </c>
      <c r="AI4" s="3" t="s">
        <v>261</v>
      </c>
      <c r="AJ4" s="3" t="s">
        <v>254</v>
      </c>
      <c r="AK4" t="s">
        <v>271</v>
      </c>
      <c r="AL4" s="3" t="s">
        <v>251</v>
      </c>
      <c r="AM4" s="3" t="s">
        <v>140</v>
      </c>
      <c r="AQ4" s="3" t="s">
        <v>292</v>
      </c>
    </row>
    <row r="5" spans="1:43">
      <c r="A5" s="3" t="s">
        <v>26</v>
      </c>
      <c r="B5" s="3" t="s">
        <v>27</v>
      </c>
      <c r="C5" s="3" t="s">
        <v>277</v>
      </c>
      <c r="D5" s="3"/>
      <c r="E5" s="3" t="s">
        <v>28</v>
      </c>
      <c r="F5" s="4">
        <f ca="1">NOW()</f>
        <v>43894.587103819445</v>
      </c>
      <c r="G5" s="3" t="s">
        <v>31</v>
      </c>
      <c r="H5" s="3" t="s">
        <v>275</v>
      </c>
      <c r="I5" s="3" t="s">
        <v>276</v>
      </c>
      <c r="J5" s="3" t="s">
        <v>31</v>
      </c>
      <c r="L5" s="3" t="s">
        <v>260</v>
      </c>
      <c r="M5" t="s">
        <v>273</v>
      </c>
      <c r="S5" s="3" t="s">
        <v>251</v>
      </c>
      <c r="T5" s="3" t="s">
        <v>261</v>
      </c>
      <c r="U5" s="3" t="s">
        <v>245</v>
      </c>
      <c r="V5" s="3" t="s">
        <v>119</v>
      </c>
      <c r="W5" s="3" t="s">
        <v>316</v>
      </c>
      <c r="X5" t="s">
        <v>293</v>
      </c>
      <c r="Y5" s="3" t="s">
        <v>254</v>
      </c>
      <c r="Z5" s="3" t="s">
        <v>254</v>
      </c>
      <c r="AA5" s="3" t="s">
        <v>294</v>
      </c>
      <c r="AB5" s="3" t="s">
        <v>251</v>
      </c>
      <c r="AC5" t="s">
        <v>270</v>
      </c>
      <c r="AD5" s="3" t="s">
        <v>251</v>
      </c>
      <c r="AE5" s="3" t="s">
        <v>318</v>
      </c>
      <c r="AF5" t="s">
        <v>293</v>
      </c>
      <c r="AG5" s="3" t="s">
        <v>295</v>
      </c>
      <c r="AH5" s="3" t="s">
        <v>260</v>
      </c>
      <c r="AI5" s="3" t="s">
        <v>261</v>
      </c>
      <c r="AJ5" s="3" t="s">
        <v>254</v>
      </c>
      <c r="AK5" t="s">
        <v>271</v>
      </c>
      <c r="AL5" s="3" t="s">
        <v>251</v>
      </c>
      <c r="AM5" s="3" t="s">
        <v>261</v>
      </c>
      <c r="AQ5" s="3" t="s">
        <v>292</v>
      </c>
    </row>
    <row r="6" spans="1:43">
      <c r="A6" s="3" t="s">
        <v>26</v>
      </c>
      <c r="B6" s="3" t="s">
        <v>27</v>
      </c>
      <c r="C6" s="3" t="s">
        <v>277</v>
      </c>
      <c r="D6" s="3"/>
      <c r="E6" s="3" t="s">
        <v>28</v>
      </c>
      <c r="F6" s="4">
        <f ca="1">NOW()</f>
        <v>43894.587103819445</v>
      </c>
      <c r="G6" s="3" t="s">
        <v>31</v>
      </c>
      <c r="H6" s="3" t="s">
        <v>275</v>
      </c>
      <c r="I6" s="3" t="s">
        <v>276</v>
      </c>
      <c r="J6" s="3" t="s">
        <v>31</v>
      </c>
      <c r="L6" s="3" t="s">
        <v>29</v>
      </c>
      <c r="M6" t="s">
        <v>61</v>
      </c>
      <c r="S6" s="3" t="s">
        <v>29</v>
      </c>
      <c r="T6" s="3" t="s">
        <v>62</v>
      </c>
      <c r="U6" s="3" t="s">
        <v>64</v>
      </c>
      <c r="V6" s="3" t="s">
        <v>64</v>
      </c>
      <c r="W6" s="3" t="s">
        <v>316</v>
      </c>
      <c r="X6" t="s">
        <v>293</v>
      </c>
      <c r="Y6" s="3" t="s">
        <v>62</v>
      </c>
      <c r="Z6" s="3" t="s">
        <v>62</v>
      </c>
      <c r="AA6" s="3" t="s">
        <v>294</v>
      </c>
      <c r="AB6" s="3" t="s">
        <v>29</v>
      </c>
      <c r="AC6" t="s">
        <v>207</v>
      </c>
      <c r="AD6" s="3" t="s">
        <v>29</v>
      </c>
      <c r="AE6" s="3" t="s">
        <v>318</v>
      </c>
      <c r="AF6" t="s">
        <v>293</v>
      </c>
      <c r="AG6" s="3" t="s">
        <v>295</v>
      </c>
      <c r="AH6" s="3" t="s">
        <v>29</v>
      </c>
      <c r="AI6" s="3" t="s">
        <v>62</v>
      </c>
      <c r="AJ6" s="3" t="s">
        <v>62</v>
      </c>
      <c r="AK6" t="s">
        <v>207</v>
      </c>
      <c r="AL6" s="3" t="s">
        <v>29</v>
      </c>
      <c r="AM6" s="3" t="s">
        <v>62</v>
      </c>
      <c r="AQ6" s="3" t="s">
        <v>292</v>
      </c>
    </row>
    <row r="7" spans="1:43">
      <c r="A7" s="3" t="s">
        <v>26</v>
      </c>
      <c r="B7" s="3" t="s">
        <v>27</v>
      </c>
      <c r="C7" s="3" t="s">
        <v>277</v>
      </c>
      <c r="D7" s="3"/>
      <c r="E7" s="3" t="s">
        <v>28</v>
      </c>
      <c r="F7" s="4">
        <f ca="1">NOW()</f>
        <v>43894.587103819445</v>
      </c>
      <c r="G7" s="3" t="s">
        <v>31</v>
      </c>
      <c r="H7" s="3" t="s">
        <v>275</v>
      </c>
      <c r="I7" s="3" t="s">
        <v>276</v>
      </c>
      <c r="J7" s="3" t="s">
        <v>31</v>
      </c>
      <c r="L7" s="3" t="s">
        <v>29</v>
      </c>
      <c r="M7" t="s">
        <v>61</v>
      </c>
      <c r="S7" s="3" t="s">
        <v>29</v>
      </c>
      <c r="T7" s="3" t="s">
        <v>62</v>
      </c>
      <c r="U7" s="3" t="s">
        <v>64</v>
      </c>
      <c r="V7" s="3" t="s">
        <v>64</v>
      </c>
      <c r="W7" s="3" t="s">
        <v>316</v>
      </c>
      <c r="X7" t="s">
        <v>293</v>
      </c>
      <c r="Y7" s="3" t="s">
        <v>62</v>
      </c>
      <c r="Z7" s="3" t="s">
        <v>62</v>
      </c>
      <c r="AA7" s="3" t="s">
        <v>294</v>
      </c>
      <c r="AB7" s="3" t="s">
        <v>29</v>
      </c>
      <c r="AC7" t="s">
        <v>207</v>
      </c>
      <c r="AD7" s="3" t="s">
        <v>29</v>
      </c>
      <c r="AE7" s="3" t="s">
        <v>318</v>
      </c>
      <c r="AF7" t="s">
        <v>293</v>
      </c>
      <c r="AG7" s="3" t="s">
        <v>295</v>
      </c>
      <c r="AH7" s="3" t="s">
        <v>29</v>
      </c>
      <c r="AI7" s="3" t="s">
        <v>62</v>
      </c>
      <c r="AJ7" s="3" t="s">
        <v>62</v>
      </c>
      <c r="AK7" t="s">
        <v>207</v>
      </c>
      <c r="AL7" s="3" t="s">
        <v>29</v>
      </c>
      <c r="AM7" s="3" t="s">
        <v>174</v>
      </c>
      <c r="AQ7" s="3" t="s">
        <v>292</v>
      </c>
    </row>
  </sheetData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C31" sqref="C31"/>
    </sheetView>
  </sheetViews>
  <sheetFormatPr defaultRowHeight="14.25"/>
  <sheetData>
    <row r="1" spans="1:11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33</v>
      </c>
      <c r="J1" t="s">
        <v>45</v>
      </c>
      <c r="K1" s="1" t="s">
        <v>17</v>
      </c>
    </row>
    <row r="2" spans="1:11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46</v>
      </c>
      <c r="K2" t="s">
        <v>10</v>
      </c>
    </row>
    <row r="3" spans="1:11">
      <c r="A3" s="2" t="s">
        <v>324</v>
      </c>
      <c r="B3" s="2" t="s">
        <v>325</v>
      </c>
      <c r="C3" s="2" t="s">
        <v>326</v>
      </c>
      <c r="D3" s="2" t="s">
        <v>327</v>
      </c>
      <c r="E3" s="2" t="s">
        <v>328</v>
      </c>
      <c r="F3" s="2" t="s">
        <v>329</v>
      </c>
      <c r="G3" s="2" t="s">
        <v>330</v>
      </c>
      <c r="H3" s="3" t="s">
        <v>331</v>
      </c>
      <c r="I3" s="3" t="s">
        <v>332</v>
      </c>
      <c r="J3" s="3" t="s">
        <v>333</v>
      </c>
      <c r="K3" s="2" t="s">
        <v>334</v>
      </c>
    </row>
    <row r="4" spans="1:11">
      <c r="A4" s="3" t="s">
        <v>335</v>
      </c>
      <c r="B4" s="3" t="s">
        <v>336</v>
      </c>
      <c r="C4" s="3" t="s">
        <v>337</v>
      </c>
      <c r="D4" s="3"/>
      <c r="E4" s="3" t="s">
        <v>338</v>
      </c>
      <c r="F4" s="4">
        <f ca="1">NOW()</f>
        <v>43894.587103819445</v>
      </c>
      <c r="G4" s="3" t="s">
        <v>339</v>
      </c>
      <c r="H4" s="3" t="s">
        <v>338</v>
      </c>
      <c r="I4" t="s">
        <v>340</v>
      </c>
      <c r="J4" t="s">
        <v>341</v>
      </c>
      <c r="K4" s="3" t="s">
        <v>342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3"/>
  <sheetViews>
    <sheetView workbookViewId="0">
      <selection activeCell="D29" sqref="D29"/>
    </sheetView>
  </sheetViews>
  <sheetFormatPr defaultRowHeight="14.25"/>
  <cols>
    <col min="11" max="11" width="6.625" customWidth="1"/>
    <col min="19" max="19" width="14.375" customWidth="1"/>
  </cols>
  <sheetData>
    <row r="1" spans="1:3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33</v>
      </c>
      <c r="I1" t="s">
        <v>343</v>
      </c>
      <c r="J1" t="s">
        <v>344</v>
      </c>
      <c r="K1" t="s">
        <v>345</v>
      </c>
      <c r="L1" t="s">
        <v>45</v>
      </c>
      <c r="M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10</v>
      </c>
      <c r="K2" t="s">
        <v>346</v>
      </c>
      <c r="L2" t="s">
        <v>46</v>
      </c>
      <c r="M2" t="s">
        <v>10</v>
      </c>
    </row>
    <row r="3" spans="1:36">
      <c r="A3" s="2" t="s">
        <v>347</v>
      </c>
      <c r="B3" s="2" t="s">
        <v>348</v>
      </c>
      <c r="C3" s="2" t="s">
        <v>326</v>
      </c>
      <c r="D3" s="2" t="s">
        <v>349</v>
      </c>
      <c r="E3" s="2" t="s">
        <v>350</v>
      </c>
      <c r="F3" s="2" t="s">
        <v>351</v>
      </c>
      <c r="G3" s="2" t="s">
        <v>352</v>
      </c>
      <c r="H3" s="3" t="s">
        <v>353</v>
      </c>
      <c r="I3" s="3" t="s">
        <v>354</v>
      </c>
      <c r="J3" s="3" t="s">
        <v>355</v>
      </c>
      <c r="K3" s="3" t="s">
        <v>356</v>
      </c>
      <c r="L3" s="3" t="s">
        <v>357</v>
      </c>
      <c r="M3" s="2" t="s">
        <v>334</v>
      </c>
    </row>
    <row r="4" spans="1:36">
      <c r="A4" s="3" t="s">
        <v>358</v>
      </c>
      <c r="B4" s="3" t="s">
        <v>359</v>
      </c>
      <c r="C4" s="3" t="s">
        <v>360</v>
      </c>
      <c r="D4" s="3"/>
      <c r="E4" s="3" t="s">
        <v>361</v>
      </c>
      <c r="F4" s="4">
        <f ca="1">NOW()</f>
        <v>43894.587103819445</v>
      </c>
      <c r="G4" s="3" t="s">
        <v>362</v>
      </c>
      <c r="H4" t="s">
        <v>363</v>
      </c>
      <c r="I4" s="3" t="s">
        <v>364</v>
      </c>
      <c r="J4" s="3" t="s">
        <v>365</v>
      </c>
      <c r="K4" s="3" t="s">
        <v>366</v>
      </c>
      <c r="L4" t="s">
        <v>367</v>
      </c>
      <c r="M4" s="3" t="s">
        <v>368</v>
      </c>
    </row>
    <row r="5" spans="1:36">
      <c r="A5" s="3"/>
      <c r="B5" s="3"/>
      <c r="C5" s="3"/>
      <c r="D5" s="3"/>
      <c r="E5" s="3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T5" s="3"/>
      <c r="U5" s="3"/>
      <c r="Z5" s="3"/>
      <c r="AF5" s="3"/>
      <c r="AJ5" s="3"/>
    </row>
    <row r="6" spans="1:36">
      <c r="A6" s="3"/>
      <c r="B6" s="3"/>
      <c r="C6" s="3"/>
      <c r="D6" s="3"/>
      <c r="E6" s="3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T6" s="3"/>
      <c r="U6" s="3"/>
      <c r="Z6" s="3"/>
      <c r="AF6" s="3"/>
      <c r="AJ6" s="3"/>
    </row>
    <row r="7" spans="1:36">
      <c r="A7" s="3"/>
      <c r="B7" s="3"/>
      <c r="C7" s="3"/>
      <c r="D7" s="3"/>
      <c r="E7" s="3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T7" s="3"/>
      <c r="U7" s="3"/>
      <c r="Z7" s="3"/>
      <c r="AF7" s="3"/>
      <c r="AJ7" s="3"/>
    </row>
    <row r="8" spans="1:36">
      <c r="A8" s="3"/>
      <c r="B8" s="3"/>
      <c r="C8" s="3"/>
      <c r="D8" s="3"/>
      <c r="E8" s="3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T8" s="3"/>
      <c r="U8" s="3"/>
      <c r="Z8" s="3"/>
      <c r="AF8" s="3"/>
      <c r="AJ8" s="3"/>
    </row>
    <row r="9" spans="1:36">
      <c r="A9" s="3"/>
      <c r="B9" s="3"/>
      <c r="C9" s="3"/>
      <c r="D9" s="3"/>
      <c r="E9" s="3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s="3"/>
      <c r="U9" s="3"/>
      <c r="Z9" s="3"/>
      <c r="AF9" s="3"/>
      <c r="AJ9" s="3"/>
    </row>
    <row r="10" spans="1:36">
      <c r="A10" s="3"/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3"/>
      <c r="U10" s="3"/>
      <c r="Z10" s="3"/>
      <c r="AF10" s="3"/>
      <c r="AJ10" s="3"/>
    </row>
    <row r="11" spans="1:36">
      <c r="A11" s="3"/>
      <c r="B11" s="3"/>
      <c r="C11" s="3"/>
      <c r="D11" s="3"/>
      <c r="E11" s="3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s="3"/>
      <c r="U11" s="3"/>
      <c r="Z11" s="3"/>
      <c r="AF11" s="3"/>
      <c r="AJ11" s="3"/>
    </row>
    <row r="12" spans="1:36">
      <c r="A12" s="3"/>
      <c r="B12" s="3"/>
      <c r="C12" s="3"/>
      <c r="D12" s="3"/>
      <c r="E12" s="3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s="3"/>
      <c r="U12" s="3"/>
      <c r="Z12" s="3"/>
      <c r="AF12" s="3"/>
      <c r="AJ12" s="3"/>
    </row>
    <row r="13" spans="1:36">
      <c r="A13" s="3"/>
      <c r="B13" s="3"/>
      <c r="C13" s="3"/>
      <c r="D13" s="3"/>
      <c r="E13" s="3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s="3"/>
      <c r="U13" s="3"/>
      <c r="Z13" s="3"/>
      <c r="AF13" s="3"/>
      <c r="AJ13" s="3"/>
    </row>
    <row r="14" spans="1:36">
      <c r="A14" s="3"/>
      <c r="B14" s="3"/>
      <c r="C14" s="3"/>
      <c r="D14" s="3"/>
      <c r="E14" s="3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s="3"/>
      <c r="U14" s="3"/>
      <c r="Z14" s="3"/>
      <c r="AF14" s="3"/>
      <c r="AJ14" s="3"/>
    </row>
    <row r="15" spans="1:36">
      <c r="A15" s="3"/>
      <c r="B15" s="3"/>
      <c r="C15" s="3"/>
      <c r="D15" s="3"/>
      <c r="E15" s="3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s="3"/>
      <c r="U15" s="3"/>
      <c r="Z15" s="3"/>
      <c r="AF15" s="3"/>
      <c r="AJ15" s="3"/>
    </row>
    <row r="16" spans="1:36">
      <c r="A16" s="3"/>
      <c r="B16" s="3"/>
      <c r="C16" s="3"/>
      <c r="D16" s="3"/>
      <c r="E16" s="3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s="3"/>
      <c r="U16" s="3"/>
      <c r="Z16" s="3"/>
      <c r="AF16" s="3"/>
      <c r="AJ16" s="3"/>
    </row>
    <row r="17" spans="1:36">
      <c r="A17" s="3"/>
      <c r="B17" s="3"/>
      <c r="C17" s="3"/>
      <c r="D17" s="3"/>
      <c r="E17" s="3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3"/>
      <c r="U17" s="3"/>
      <c r="Z17" s="3"/>
      <c r="AF17" s="3"/>
      <c r="AJ17" s="3"/>
    </row>
    <row r="18" spans="1:36">
      <c r="A18" s="3"/>
      <c r="B18" s="3"/>
      <c r="C18" s="3"/>
      <c r="D18" s="3"/>
      <c r="E18" s="3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3"/>
      <c r="U18" s="3"/>
      <c r="Z18" s="3"/>
      <c r="AF18" s="3"/>
      <c r="AJ18" s="3"/>
    </row>
    <row r="19" spans="1:36">
      <c r="A19" s="3"/>
      <c r="B19" s="3"/>
      <c r="C19" s="3"/>
      <c r="D19" s="3"/>
      <c r="E19" s="3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T19" s="3"/>
      <c r="U19" s="3"/>
      <c r="Z19" s="3"/>
      <c r="AF19" s="3"/>
      <c r="AJ19" s="3"/>
    </row>
    <row r="20" spans="1:36">
      <c r="A20" s="3"/>
      <c r="B20" s="3"/>
      <c r="C20" s="3"/>
      <c r="D20" s="3"/>
      <c r="E20" s="3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3"/>
      <c r="U20" s="3"/>
      <c r="Z20" s="3"/>
      <c r="AF20" s="3"/>
      <c r="AJ20" s="3"/>
    </row>
    <row r="21" spans="1:36">
      <c r="A21" s="3"/>
      <c r="B21" s="3"/>
      <c r="C21" s="3"/>
      <c r="D21" s="3"/>
      <c r="E21" s="3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T21" s="3"/>
      <c r="U21" s="3"/>
      <c r="Z21" s="3"/>
      <c r="AF21" s="3"/>
      <c r="AJ21" s="3"/>
    </row>
    <row r="22" spans="1:36">
      <c r="A22" s="3"/>
      <c r="B22" s="3"/>
      <c r="C22" s="3"/>
      <c r="D22" s="3"/>
      <c r="E22" s="3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T22" s="3"/>
      <c r="U22" s="3"/>
      <c r="Z22" s="3"/>
      <c r="AF22" s="3"/>
      <c r="AJ22" s="3"/>
    </row>
    <row r="23" spans="1:36">
      <c r="A23" s="3"/>
      <c r="B23" s="3"/>
      <c r="C23" s="3"/>
      <c r="D23" s="3"/>
      <c r="E23" s="3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T23" s="3"/>
      <c r="U23" s="3"/>
      <c r="Z23" s="3"/>
      <c r="AF23" s="3"/>
      <c r="AJ23" s="3"/>
    </row>
    <row r="24" spans="1:36">
      <c r="A24" s="3"/>
      <c r="B24" s="3"/>
      <c r="C24" s="3"/>
      <c r="D24" s="3"/>
      <c r="E24" s="3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T24" s="3"/>
      <c r="U24" s="3"/>
      <c r="Z24" s="3"/>
      <c r="AF24" s="3"/>
      <c r="AJ24" s="3"/>
    </row>
    <row r="25" spans="1:36">
      <c r="A25" s="3"/>
      <c r="B25" s="3"/>
      <c r="C25" s="3"/>
      <c r="D25" s="3"/>
      <c r="E25" s="3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T25" s="3"/>
      <c r="U25" s="3"/>
      <c r="Z25" s="3"/>
      <c r="AF25" s="3"/>
      <c r="AJ25" s="3"/>
    </row>
    <row r="26" spans="1:36">
      <c r="A26" s="3"/>
      <c r="B26" s="3"/>
      <c r="C26" s="3"/>
      <c r="D26" s="3"/>
      <c r="E26" s="3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T26" s="3"/>
      <c r="U26" s="3"/>
      <c r="Z26" s="3"/>
      <c r="AF26" s="3"/>
      <c r="AJ26" s="3"/>
    </row>
    <row r="27" spans="1:36">
      <c r="A27" s="3"/>
      <c r="B27" s="3"/>
      <c r="C27" s="3"/>
      <c r="D27" s="3"/>
      <c r="E27" s="3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T27" s="3"/>
      <c r="U27" s="3"/>
      <c r="Z27" s="3"/>
      <c r="AF27" s="3"/>
      <c r="AJ27" s="3"/>
    </row>
    <row r="28" spans="1:36">
      <c r="A28" s="3"/>
      <c r="B28" s="3"/>
      <c r="C28" s="3"/>
      <c r="D28" s="3"/>
      <c r="E28" s="3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T28" s="3"/>
      <c r="U28" s="3"/>
      <c r="Z28" s="3"/>
      <c r="AF28" s="3"/>
      <c r="AJ28" s="3"/>
    </row>
    <row r="29" spans="1:36">
      <c r="A29" s="3"/>
      <c r="B29" s="3"/>
      <c r="C29" s="3"/>
      <c r="D29" s="3"/>
      <c r="E29" s="3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T29" s="3"/>
      <c r="U29" s="3"/>
      <c r="Z29" s="3"/>
      <c r="AF29" s="3"/>
      <c r="AJ29" s="3"/>
    </row>
    <row r="30" spans="1:36">
      <c r="A30" s="3"/>
      <c r="B30" s="3"/>
      <c r="C30" s="3"/>
      <c r="D30" s="3"/>
      <c r="E30" s="3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T30" s="3"/>
      <c r="U30" s="3"/>
      <c r="Z30" s="3"/>
      <c r="AF30" s="3"/>
      <c r="AJ30" s="3"/>
    </row>
    <row r="31" spans="1:36">
      <c r="A31" s="3"/>
      <c r="B31" s="3"/>
      <c r="C31" s="3"/>
      <c r="D31" s="3"/>
      <c r="E31" s="3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T31" s="3"/>
      <c r="U31" s="3"/>
      <c r="Z31" s="3"/>
      <c r="AF31" s="3"/>
      <c r="AJ31" s="3"/>
    </row>
    <row r="32" spans="1:36">
      <c r="A32" s="3"/>
      <c r="B32" s="3"/>
      <c r="C32" s="3"/>
      <c r="D32" s="3"/>
      <c r="E32" s="3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T32" s="3"/>
      <c r="U32" s="3"/>
      <c r="Z32" s="3"/>
      <c r="AF32" s="3"/>
      <c r="AJ32" s="3"/>
    </row>
    <row r="33" spans="1:36">
      <c r="A33" s="3"/>
      <c r="B33" s="3"/>
      <c r="C33" s="3"/>
      <c r="D33" s="3"/>
      <c r="E33" s="3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T33" s="3"/>
      <c r="U33" s="3"/>
      <c r="Z33" s="3"/>
      <c r="AF33" s="3"/>
      <c r="AJ33" s="3"/>
    </row>
    <row r="34" spans="1:36">
      <c r="A34" s="3"/>
      <c r="B34" s="3"/>
      <c r="C34" s="3"/>
      <c r="D34" s="3"/>
      <c r="E34" s="3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T34" s="3"/>
      <c r="U34" s="3"/>
      <c r="Z34" s="3"/>
      <c r="AF34" s="3"/>
      <c r="AJ34" s="3"/>
    </row>
    <row r="35" spans="1:36">
      <c r="A35" s="3"/>
      <c r="B35" s="3"/>
      <c r="C35" s="3"/>
      <c r="D35" s="3"/>
      <c r="E35" s="3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T35" s="3"/>
      <c r="U35" s="3"/>
      <c r="Z35" s="3"/>
      <c r="AF35" s="3"/>
      <c r="AJ35" s="3"/>
    </row>
    <row r="36" spans="1:36">
      <c r="A36" s="3"/>
      <c r="B36" s="3"/>
      <c r="C36" s="3"/>
      <c r="D36" s="3"/>
      <c r="E36" s="3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T36" s="3"/>
      <c r="U36" s="3"/>
      <c r="Z36" s="3"/>
      <c r="AF36" s="3"/>
      <c r="AJ36" s="3"/>
    </row>
    <row r="37" spans="1:36">
      <c r="A37" s="3"/>
      <c r="B37" s="3"/>
      <c r="C37" s="3"/>
      <c r="D37" s="3"/>
      <c r="E37" s="3"/>
      <c r="F37" s="4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T37" s="3"/>
      <c r="U37" s="3"/>
      <c r="Z37" s="3"/>
      <c r="AF37" s="3"/>
      <c r="AJ37" s="3"/>
    </row>
    <row r="38" spans="1:36">
      <c r="A38" s="3"/>
      <c r="B38" s="3"/>
      <c r="C38" s="3"/>
      <c r="D38" s="3"/>
      <c r="E38" s="3"/>
      <c r="F38" s="4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T38" s="3"/>
      <c r="U38" s="3"/>
      <c r="Z38" s="3"/>
      <c r="AF38" s="3"/>
      <c r="AJ38" s="3"/>
    </row>
    <row r="39" spans="1:36">
      <c r="A39" s="3"/>
      <c r="B39" s="3"/>
      <c r="C39" s="3"/>
      <c r="D39" s="3"/>
      <c r="E39" s="3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T39" s="3"/>
      <c r="U39" s="3"/>
      <c r="Z39" s="3"/>
      <c r="AF39" s="3"/>
      <c r="AJ39" s="3"/>
    </row>
    <row r="40" spans="1:36">
      <c r="A40" s="3"/>
      <c r="B40" s="3"/>
      <c r="C40" s="3"/>
      <c r="D40" s="3"/>
      <c r="E40" s="3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T40" s="3"/>
      <c r="U40" s="3"/>
      <c r="Z40" s="3"/>
      <c r="AF40" s="3"/>
      <c r="AJ40" s="3"/>
    </row>
    <row r="41" spans="1:36">
      <c r="A41" s="3"/>
      <c r="B41" s="3"/>
      <c r="C41" s="3"/>
      <c r="D41" s="3"/>
      <c r="E41" s="3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T41" s="3"/>
      <c r="U41" s="3"/>
      <c r="Z41" s="3"/>
      <c r="AF41" s="3"/>
      <c r="AJ41" s="3"/>
    </row>
    <row r="42" spans="1:36">
      <c r="A42" s="3"/>
      <c r="B42" s="3"/>
      <c r="C42" s="3"/>
      <c r="D42" s="3"/>
      <c r="E42" s="3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T42" s="3"/>
      <c r="U42" s="3"/>
      <c r="Z42" s="3"/>
      <c r="AF42" s="3"/>
      <c r="AJ42" s="3"/>
    </row>
    <row r="43" spans="1:36">
      <c r="A43" s="3"/>
      <c r="B43" s="3"/>
      <c r="C43" s="3"/>
      <c r="D43" s="3"/>
      <c r="E43" s="3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T43" s="3"/>
      <c r="U43" s="3"/>
      <c r="Z43" s="3"/>
      <c r="AF43" s="3"/>
      <c r="AJ43" s="3"/>
    </row>
    <row r="44" spans="1:36">
      <c r="A44" s="3"/>
      <c r="B44" s="3"/>
      <c r="C44" s="3"/>
      <c r="D44" s="3"/>
      <c r="E44" s="3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T44" s="3"/>
      <c r="U44" s="3"/>
      <c r="Z44" s="3"/>
      <c r="AF44" s="3"/>
      <c r="AJ44" s="3"/>
    </row>
    <row r="45" spans="1:36">
      <c r="A45" s="3"/>
      <c r="B45" s="3"/>
      <c r="C45" s="3"/>
      <c r="D45" s="3"/>
      <c r="E45" s="3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T45" s="3"/>
      <c r="U45" s="3"/>
      <c r="Z45" s="3"/>
      <c r="AF45" s="3"/>
      <c r="AJ45" s="3"/>
    </row>
    <row r="46" spans="1:36">
      <c r="A46" s="3"/>
      <c r="B46" s="3"/>
      <c r="C46" s="3"/>
      <c r="D46" s="3"/>
      <c r="E46" s="3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T46" s="3"/>
      <c r="U46" s="3"/>
      <c r="Z46" s="3"/>
      <c r="AF46" s="3"/>
      <c r="AJ46" s="3"/>
    </row>
    <row r="47" spans="1:36">
      <c r="A47" s="3"/>
      <c r="B47" s="3"/>
      <c r="C47" s="3"/>
      <c r="D47" s="3"/>
      <c r="E47" s="3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T47" s="3"/>
      <c r="U47" s="3"/>
      <c r="Z47" s="3"/>
      <c r="AF47" s="3"/>
      <c r="AJ47" s="3"/>
    </row>
    <row r="48" spans="1:36">
      <c r="A48" s="3"/>
      <c r="B48" s="3"/>
      <c r="C48" s="3"/>
      <c r="D48" s="3"/>
      <c r="E48" s="3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T48" s="3"/>
      <c r="U48" s="3"/>
      <c r="Z48" s="3"/>
      <c r="AF48" s="3"/>
      <c r="AJ48" s="3"/>
    </row>
    <row r="49" spans="1:36">
      <c r="A49" s="3"/>
      <c r="B49" s="3"/>
      <c r="C49" s="3"/>
      <c r="D49" s="3"/>
      <c r="E49" s="3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T49" s="3"/>
      <c r="U49" s="3"/>
      <c r="Z49" s="3"/>
      <c r="AF49" s="3"/>
      <c r="AJ49" s="3"/>
    </row>
    <row r="50" spans="1:36">
      <c r="A50" s="3"/>
      <c r="B50" s="3"/>
      <c r="C50" s="3"/>
      <c r="D50" s="3"/>
      <c r="E50" s="3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T50" s="3"/>
      <c r="U50" s="3"/>
      <c r="Z50" s="3"/>
      <c r="AF50" s="3"/>
      <c r="AJ50" s="3"/>
    </row>
    <row r="51" spans="1:36">
      <c r="A51" s="3"/>
      <c r="B51" s="3"/>
      <c r="C51" s="3"/>
      <c r="D51" s="3"/>
      <c r="E51" s="3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T51" s="3"/>
      <c r="U51" s="3"/>
      <c r="Z51" s="3"/>
      <c r="AF51" s="3"/>
      <c r="AJ51" s="3"/>
    </row>
    <row r="52" spans="1:36">
      <c r="A52" s="3"/>
      <c r="B52" s="3"/>
      <c r="C52" s="3"/>
      <c r="D52" s="3"/>
      <c r="E52" s="3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T52" s="3"/>
      <c r="U52" s="3"/>
      <c r="Z52" s="3"/>
      <c r="AF52" s="3"/>
      <c r="AJ52" s="3"/>
    </row>
    <row r="53" spans="1:36">
      <c r="A53" s="3"/>
      <c r="B53" s="3"/>
      <c r="C53" s="3"/>
      <c r="D53" s="3"/>
      <c r="E53" s="3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T53" s="3"/>
      <c r="U53" s="3"/>
      <c r="Z53" s="3"/>
      <c r="AF53" s="3"/>
      <c r="AJ53" s="3"/>
    </row>
    <row r="54" spans="1:36">
      <c r="A54" s="3"/>
      <c r="B54" s="3"/>
      <c r="C54" s="3"/>
      <c r="D54" s="3"/>
      <c r="E54" s="3"/>
      <c r="F54" s="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  <c r="U54" s="3"/>
      <c r="Z54" s="3"/>
      <c r="AF54" s="3"/>
      <c r="AJ54" s="3"/>
    </row>
    <row r="55" spans="1:36">
      <c r="A55" s="3"/>
      <c r="B55" s="3"/>
      <c r="C55" s="3"/>
      <c r="D55" s="3"/>
      <c r="E55" s="3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T55" s="3"/>
      <c r="U55" s="3"/>
      <c r="Z55" s="3"/>
      <c r="AF55" s="3"/>
      <c r="AJ55" s="3"/>
    </row>
    <row r="56" spans="1:36">
      <c r="A56" s="3"/>
      <c r="B56" s="3"/>
      <c r="C56" s="3"/>
      <c r="D56" s="3"/>
      <c r="E56" s="3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T56" s="3"/>
      <c r="U56" s="3"/>
      <c r="Z56" s="3"/>
      <c r="AF56" s="3"/>
      <c r="AJ56" s="3"/>
    </row>
    <row r="57" spans="1:36">
      <c r="A57" s="3"/>
      <c r="B57" s="3"/>
      <c r="C57" s="3"/>
      <c r="D57" s="3"/>
      <c r="E57" s="3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T57" s="3"/>
      <c r="U57" s="3"/>
      <c r="Z57" s="3"/>
      <c r="AF57" s="3"/>
      <c r="AJ57" s="3"/>
    </row>
    <row r="58" spans="1:36">
      <c r="A58" s="3"/>
      <c r="B58" s="3"/>
      <c r="C58" s="3"/>
      <c r="D58" s="3"/>
      <c r="E58" s="3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T58" s="3"/>
      <c r="U58" s="3"/>
      <c r="Z58" s="3"/>
      <c r="AF58" s="3"/>
      <c r="AJ58" s="3"/>
    </row>
    <row r="59" spans="1:36">
      <c r="A59" s="3"/>
      <c r="B59" s="3"/>
      <c r="C59" s="3"/>
      <c r="D59" s="3"/>
      <c r="E59" s="3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T59" s="3"/>
      <c r="U59" s="3"/>
      <c r="Z59" s="3"/>
      <c r="AF59" s="3"/>
      <c r="AJ59" s="3"/>
    </row>
    <row r="60" spans="1:36">
      <c r="A60" s="3"/>
      <c r="B60" s="3"/>
      <c r="C60" s="3"/>
      <c r="D60" s="3"/>
      <c r="E60" s="3"/>
      <c r="F60" s="4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T60" s="3"/>
      <c r="U60" s="3"/>
      <c r="Z60" s="3"/>
      <c r="AF60" s="3"/>
      <c r="AJ60" s="3"/>
    </row>
    <row r="61" spans="1:36">
      <c r="A61" s="3"/>
      <c r="B61" s="3"/>
      <c r="C61" s="3"/>
      <c r="D61" s="3"/>
      <c r="E61" s="3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T61" s="3"/>
      <c r="U61" s="3"/>
      <c r="Z61" s="3"/>
      <c r="AF61" s="3"/>
      <c r="AJ61" s="3"/>
    </row>
    <row r="62" spans="1:36">
      <c r="A62" s="3"/>
      <c r="B62" s="3"/>
      <c r="C62" s="3"/>
      <c r="D62" s="3"/>
      <c r="E62" s="3"/>
      <c r="F62" s="4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T62" s="3"/>
      <c r="U62" s="3"/>
      <c r="Z62" s="3"/>
      <c r="AF62" s="3"/>
      <c r="AJ62" s="3"/>
    </row>
    <row r="63" spans="1:36">
      <c r="A63" s="3"/>
      <c r="B63" s="3"/>
      <c r="C63" s="3"/>
      <c r="D63" s="3"/>
      <c r="E63" s="3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T63" s="3"/>
      <c r="U63" s="3"/>
      <c r="Z63" s="3"/>
      <c r="AF63" s="3"/>
      <c r="AJ63" s="3"/>
    </row>
    <row r="64" spans="1:36">
      <c r="A64" s="3"/>
      <c r="B64" s="3"/>
      <c r="C64" s="3"/>
      <c r="D64" s="3"/>
      <c r="E64" s="3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T64" s="3"/>
      <c r="U64" s="3"/>
      <c r="Z64" s="3"/>
      <c r="AF64" s="3"/>
      <c r="AJ64" s="3"/>
    </row>
    <row r="65" spans="1:36">
      <c r="A65" s="3"/>
      <c r="B65" s="3"/>
      <c r="C65" s="3"/>
      <c r="D65" s="3"/>
      <c r="E65" s="3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T65" s="3"/>
      <c r="U65" s="3"/>
      <c r="Z65" s="3"/>
      <c r="AF65" s="3"/>
      <c r="AJ65" s="3"/>
    </row>
    <row r="66" spans="1:36">
      <c r="A66" s="3"/>
      <c r="B66" s="3"/>
      <c r="C66" s="3"/>
      <c r="D66" s="3"/>
      <c r="E66" s="3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T66" s="3"/>
      <c r="U66" s="3"/>
      <c r="Z66" s="3"/>
      <c r="AF66" s="3"/>
      <c r="AJ66" s="3"/>
    </row>
    <row r="67" spans="1:36">
      <c r="A67" s="3"/>
      <c r="B67" s="3"/>
      <c r="C67" s="3"/>
      <c r="D67" s="3"/>
      <c r="E67" s="3"/>
      <c r="F67" s="4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T67" s="3"/>
      <c r="U67" s="3"/>
      <c r="Z67" s="3"/>
      <c r="AF67" s="3"/>
      <c r="AJ67" s="3"/>
    </row>
    <row r="68" spans="1:36">
      <c r="A68" s="3"/>
      <c r="B68" s="3"/>
      <c r="C68" s="3"/>
      <c r="D68" s="3"/>
      <c r="E68" s="3"/>
      <c r="F68" s="4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T68" s="3"/>
      <c r="U68" s="3"/>
      <c r="Z68" s="3"/>
      <c r="AF68" s="3"/>
      <c r="AJ68" s="3"/>
    </row>
    <row r="69" spans="1:36">
      <c r="A69" s="3"/>
      <c r="B69" s="3"/>
      <c r="C69" s="3"/>
      <c r="D69" s="3"/>
      <c r="E69" s="3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T69" s="3"/>
      <c r="U69" s="3"/>
      <c r="Z69" s="3"/>
      <c r="AF69" s="3"/>
      <c r="AJ69" s="3"/>
    </row>
    <row r="70" spans="1:36">
      <c r="A70" s="3"/>
      <c r="B70" s="3"/>
      <c r="C70" s="3"/>
      <c r="D70" s="3"/>
      <c r="E70" s="3"/>
      <c r="F70" s="4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T70" s="3"/>
      <c r="U70" s="3"/>
      <c r="Z70" s="3"/>
      <c r="AF70" s="3"/>
      <c r="AJ70" s="3"/>
    </row>
    <row r="71" spans="1:36">
      <c r="A71" s="3"/>
      <c r="B71" s="3"/>
      <c r="C71" s="3"/>
      <c r="D71" s="3"/>
      <c r="E71" s="3"/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T71" s="3"/>
      <c r="U71" s="3"/>
      <c r="Z71" s="3"/>
      <c r="AF71" s="3"/>
      <c r="AJ71" s="3"/>
    </row>
    <row r="72" spans="1:36">
      <c r="A72" s="3"/>
      <c r="B72" s="3"/>
      <c r="C72" s="3"/>
      <c r="D72" s="3"/>
      <c r="E72" s="3"/>
      <c r="F72" s="4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T72" s="3"/>
      <c r="U72" s="3"/>
      <c r="Z72" s="3"/>
      <c r="AF72" s="3"/>
      <c r="AJ72" s="3"/>
    </row>
    <row r="73" spans="1:36">
      <c r="A73" s="3"/>
      <c r="B73" s="3"/>
      <c r="C73" s="3"/>
      <c r="D73" s="3"/>
      <c r="E73" s="3"/>
      <c r="F73" s="4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T73" s="3"/>
      <c r="U73" s="3"/>
      <c r="Z73" s="3"/>
      <c r="AF73" s="3"/>
      <c r="AJ73" s="3"/>
    </row>
    <row r="74" spans="1:36">
      <c r="A74" s="3"/>
      <c r="B74" s="3"/>
      <c r="C74" s="3"/>
      <c r="D74" s="3"/>
      <c r="E74" s="3"/>
      <c r="F74" s="4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T74" s="3"/>
      <c r="U74" s="3"/>
      <c r="Z74" s="3"/>
      <c r="AF74" s="3"/>
      <c r="AJ74" s="3"/>
    </row>
    <row r="75" spans="1:36">
      <c r="A75" s="3"/>
      <c r="B75" s="3"/>
      <c r="C75" s="3"/>
      <c r="D75" s="3"/>
      <c r="E75" s="3"/>
      <c r="F75" s="4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T75" s="3"/>
      <c r="U75" s="3"/>
      <c r="Z75" s="3"/>
      <c r="AF75" s="3"/>
      <c r="AJ75" s="3"/>
    </row>
    <row r="76" spans="1:36">
      <c r="A76" s="3"/>
      <c r="B76" s="3"/>
      <c r="C76" s="3"/>
      <c r="D76" s="3"/>
      <c r="E76" s="3"/>
      <c r="F76" s="4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T76" s="3"/>
      <c r="U76" s="3"/>
      <c r="Z76" s="3"/>
      <c r="AF76" s="3"/>
      <c r="AJ76" s="3"/>
    </row>
    <row r="77" spans="1:36">
      <c r="A77" s="3"/>
      <c r="B77" s="3"/>
      <c r="C77" s="3"/>
      <c r="D77" s="3"/>
      <c r="E77" s="3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T77" s="3"/>
      <c r="U77" s="3"/>
      <c r="Z77" s="3"/>
      <c r="AF77" s="3"/>
      <c r="AJ77" s="3"/>
    </row>
    <row r="78" spans="1:36">
      <c r="A78" s="3"/>
      <c r="B78" s="3"/>
      <c r="C78" s="3"/>
      <c r="D78" s="3"/>
      <c r="E78" s="3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T78" s="3"/>
      <c r="U78" s="3"/>
      <c r="Z78" s="3"/>
      <c r="AF78" s="3"/>
      <c r="AJ78" s="3"/>
    </row>
    <row r="79" spans="1:36">
      <c r="A79" s="3"/>
      <c r="B79" s="3"/>
      <c r="C79" s="3"/>
      <c r="D79" s="3"/>
      <c r="E79" s="3"/>
      <c r="F79" s="4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T79" s="3"/>
      <c r="U79" s="3"/>
      <c r="Z79" s="3"/>
      <c r="AF79" s="3"/>
      <c r="AJ79" s="3"/>
    </row>
    <row r="80" spans="1:36">
      <c r="A80" s="3"/>
      <c r="B80" s="3"/>
      <c r="C80" s="3"/>
      <c r="D80" s="3"/>
      <c r="E80" s="3"/>
      <c r="F80" s="4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T80" s="3"/>
      <c r="U80" s="3"/>
      <c r="Z80" s="3"/>
      <c r="AF80" s="3"/>
      <c r="AJ80" s="3"/>
    </row>
    <row r="81" spans="1:36">
      <c r="A81" s="3"/>
      <c r="B81" s="3"/>
      <c r="C81" s="3"/>
      <c r="D81" s="3"/>
      <c r="E81" s="3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T81" s="3"/>
      <c r="U81" s="3"/>
      <c r="Z81" s="3"/>
      <c r="AF81" s="3"/>
      <c r="AJ81" s="3"/>
    </row>
    <row r="82" spans="1:36">
      <c r="A82" s="3"/>
      <c r="B82" s="3"/>
      <c r="C82" s="3"/>
      <c r="D82" s="3"/>
      <c r="E82" s="3"/>
      <c r="F82" s="4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T82" s="3"/>
      <c r="U82" s="3"/>
      <c r="Z82" s="3"/>
      <c r="AF82" s="3"/>
      <c r="AJ82" s="3"/>
    </row>
    <row r="83" spans="1:36">
      <c r="A83" s="3"/>
      <c r="B83" s="3"/>
      <c r="C83" s="3"/>
      <c r="D83" s="3"/>
      <c r="E83" s="3"/>
      <c r="F83" s="4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T83" s="3"/>
      <c r="U83" s="3"/>
      <c r="Z83" s="3"/>
      <c r="AF83" s="3"/>
      <c r="AJ83" s="3"/>
    </row>
    <row r="84" spans="1:36">
      <c r="A84" s="3"/>
      <c r="B84" s="3"/>
      <c r="C84" s="3"/>
      <c r="D84" s="3"/>
      <c r="E84" s="3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T84" s="3"/>
      <c r="U84" s="3"/>
      <c r="Z84" s="3"/>
      <c r="AF84" s="3"/>
      <c r="AJ84" s="3"/>
    </row>
    <row r="85" spans="1:36">
      <c r="A85" s="3"/>
      <c r="B85" s="3"/>
      <c r="C85" s="3"/>
      <c r="D85" s="3"/>
      <c r="E85" s="3"/>
      <c r="F85" s="4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T85" s="3"/>
      <c r="U85" s="3"/>
      <c r="Z85" s="3"/>
      <c r="AF85" s="3"/>
      <c r="AJ85" s="3"/>
    </row>
    <row r="86" spans="1:36">
      <c r="A86" s="3"/>
      <c r="B86" s="3"/>
      <c r="C86" s="3"/>
      <c r="D86" s="3"/>
      <c r="E86" s="3"/>
      <c r="F86" s="4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T86" s="3"/>
      <c r="U86" s="3"/>
      <c r="Z86" s="3"/>
      <c r="AF86" s="3"/>
      <c r="AJ86" s="3"/>
    </row>
    <row r="87" spans="1:36">
      <c r="A87" s="3"/>
      <c r="B87" s="3"/>
      <c r="C87" s="3"/>
      <c r="D87" s="3"/>
      <c r="E87" s="3"/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T87" s="3"/>
      <c r="U87" s="3"/>
      <c r="Z87" s="3"/>
      <c r="AF87" s="3"/>
      <c r="AJ87" s="3"/>
    </row>
    <row r="88" spans="1:36">
      <c r="A88" s="3"/>
      <c r="B88" s="3"/>
      <c r="C88" s="3"/>
      <c r="D88" s="3"/>
      <c r="E88" s="3"/>
      <c r="F88" s="4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T88" s="3"/>
      <c r="U88" s="3"/>
      <c r="Z88" s="3"/>
      <c r="AF88" s="3"/>
      <c r="AJ88" s="3"/>
    </row>
    <row r="89" spans="1:36">
      <c r="A89" s="3"/>
      <c r="B89" s="3"/>
      <c r="C89" s="3"/>
      <c r="D89" s="3"/>
      <c r="E89" s="3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T89" s="3"/>
      <c r="U89" s="3"/>
      <c r="Z89" s="3"/>
      <c r="AF89" s="3"/>
      <c r="AJ89" s="3"/>
    </row>
    <row r="90" spans="1:36">
      <c r="A90" s="3"/>
      <c r="B90" s="3"/>
      <c r="C90" s="3"/>
      <c r="D90" s="3"/>
      <c r="E90" s="3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T90" s="3"/>
      <c r="U90" s="3"/>
      <c r="Z90" s="3"/>
      <c r="AF90" s="3"/>
      <c r="AJ90" s="3"/>
    </row>
    <row r="91" spans="1:36">
      <c r="A91" s="3"/>
      <c r="B91" s="3"/>
      <c r="C91" s="3"/>
      <c r="D91" s="3"/>
      <c r="E91" s="3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T91" s="3"/>
      <c r="U91" s="3"/>
      <c r="Z91" s="3"/>
      <c r="AF91" s="3"/>
      <c r="AJ91" s="3"/>
    </row>
    <row r="92" spans="1:36">
      <c r="A92" s="3"/>
      <c r="B92" s="3"/>
      <c r="C92" s="3"/>
      <c r="D92" s="3"/>
      <c r="E92" s="3"/>
      <c r="F92" s="4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T92" s="3"/>
      <c r="U92" s="3"/>
      <c r="Z92" s="3"/>
      <c r="AF92" s="3"/>
      <c r="AJ92" s="3"/>
    </row>
    <row r="93" spans="1:36">
      <c r="A93" s="3"/>
      <c r="B93" s="3"/>
      <c r="C93" s="3"/>
      <c r="D93" s="3"/>
      <c r="E93" s="3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T93" s="3"/>
      <c r="U93" s="3"/>
      <c r="Z93" s="3"/>
      <c r="AF93" s="3"/>
      <c r="AJ93" s="3"/>
    </row>
    <row r="94" spans="1:36">
      <c r="A94" s="3"/>
      <c r="B94" s="3"/>
      <c r="C94" s="3"/>
      <c r="D94" s="3"/>
      <c r="E94" s="3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T94" s="3"/>
      <c r="U94" s="3"/>
      <c r="Z94" s="3"/>
      <c r="AF94" s="3"/>
      <c r="AJ94" s="3"/>
    </row>
    <row r="95" spans="1:36">
      <c r="A95" s="3"/>
      <c r="B95" s="3"/>
      <c r="C95" s="3"/>
      <c r="D95" s="3"/>
      <c r="E95" s="3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T95" s="3"/>
      <c r="U95" s="3"/>
      <c r="Z95" s="3"/>
      <c r="AF95" s="3"/>
      <c r="AJ95" s="3"/>
    </row>
    <row r="96" spans="1:36">
      <c r="A96" s="3"/>
      <c r="B96" s="3"/>
      <c r="C96" s="3"/>
      <c r="D96" s="3"/>
      <c r="E96" s="3"/>
      <c r="F96" s="4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T96" s="3"/>
      <c r="U96" s="3"/>
      <c r="Z96" s="3"/>
      <c r="AF96" s="3"/>
      <c r="AJ96" s="3"/>
    </row>
    <row r="97" spans="1:36">
      <c r="A97" s="3"/>
      <c r="B97" s="3"/>
      <c r="C97" s="3"/>
      <c r="D97" s="3"/>
      <c r="E97" s="3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T97" s="3"/>
      <c r="U97" s="3"/>
      <c r="Z97" s="3"/>
      <c r="AF97" s="3"/>
      <c r="AJ97" s="3"/>
    </row>
    <row r="98" spans="1:36">
      <c r="A98" s="3"/>
      <c r="B98" s="3"/>
      <c r="C98" s="3"/>
      <c r="D98" s="3"/>
      <c r="E98" s="3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T98" s="3"/>
      <c r="U98" s="3"/>
      <c r="Z98" s="3"/>
      <c r="AF98" s="3"/>
      <c r="AJ98" s="3"/>
    </row>
    <row r="99" spans="1:36">
      <c r="A99" s="3"/>
      <c r="B99" s="3"/>
      <c r="C99" s="3"/>
      <c r="D99" s="3"/>
      <c r="E99" s="3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T99" s="3"/>
      <c r="U99" s="3"/>
      <c r="Z99" s="3"/>
      <c r="AF99" s="3"/>
      <c r="AJ99" s="3"/>
    </row>
    <row r="100" spans="1:36">
      <c r="A100" s="3"/>
      <c r="B100" s="3"/>
      <c r="C100" s="3"/>
      <c r="D100" s="3"/>
      <c r="E100" s="3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T100" s="3"/>
      <c r="U100" s="3"/>
      <c r="Z100" s="3"/>
      <c r="AF100" s="3"/>
      <c r="AJ100" s="3"/>
    </row>
    <row r="101" spans="1:36">
      <c r="A101" s="3"/>
      <c r="B101" s="3"/>
      <c r="C101" s="3"/>
      <c r="D101" s="3"/>
      <c r="E101" s="3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T101" s="3"/>
      <c r="U101" s="3"/>
      <c r="Z101" s="3"/>
      <c r="AF101" s="3"/>
      <c r="AJ101" s="3"/>
    </row>
    <row r="102" spans="1:36">
      <c r="A102" s="3"/>
      <c r="B102" s="3"/>
      <c r="C102" s="3"/>
      <c r="D102" s="3"/>
      <c r="E102" s="3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T102" s="3"/>
      <c r="U102" s="3"/>
      <c r="Z102" s="3"/>
      <c r="AF102" s="3"/>
      <c r="AJ102" s="3"/>
    </row>
    <row r="103" spans="1:36">
      <c r="A103" s="3"/>
      <c r="B103" s="3"/>
      <c r="C103" s="3"/>
      <c r="D103" s="3"/>
      <c r="E103" s="3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T103" s="3"/>
      <c r="U103" s="3"/>
      <c r="Z103" s="3"/>
      <c r="AF103" s="3"/>
      <c r="AJ103" s="3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"/>
  <sheetViews>
    <sheetView workbookViewId="0">
      <selection activeCell="P35" sqref="P35"/>
    </sheetView>
  </sheetViews>
  <sheetFormatPr defaultRowHeight="14.25"/>
  <cols>
    <col min="6" max="6" width="17" customWidth="1"/>
    <col min="7" max="7" width="13" customWidth="1"/>
    <col min="21" max="21" width="9.5" bestFit="1" customWidth="1"/>
  </cols>
  <sheetData>
    <row r="1" spans="1:35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33</v>
      </c>
      <c r="I1" t="s">
        <v>369</v>
      </c>
      <c r="J1" t="s">
        <v>370</v>
      </c>
      <c r="K1" t="s">
        <v>371</v>
      </c>
      <c r="L1" t="s">
        <v>372</v>
      </c>
      <c r="M1" t="s">
        <v>373</v>
      </c>
      <c r="N1" t="s">
        <v>45</v>
      </c>
      <c r="O1" t="s">
        <v>374</v>
      </c>
      <c r="P1" t="s">
        <v>375</v>
      </c>
      <c r="Q1" t="s">
        <v>376</v>
      </c>
      <c r="R1" t="s">
        <v>344</v>
      </c>
      <c r="S1" t="s">
        <v>377</v>
      </c>
      <c r="T1" t="s">
        <v>378</v>
      </c>
      <c r="U1" t="s">
        <v>379</v>
      </c>
      <c r="V1" t="s">
        <v>380</v>
      </c>
      <c r="W1" t="s">
        <v>381</v>
      </c>
      <c r="X1" t="s">
        <v>382</v>
      </c>
      <c r="Y1" t="s">
        <v>383</v>
      </c>
      <c r="Z1" t="s">
        <v>384</v>
      </c>
      <c r="AA1" t="s">
        <v>385</v>
      </c>
      <c r="AB1" t="s">
        <v>386</v>
      </c>
      <c r="AC1" t="s">
        <v>387</v>
      </c>
      <c r="AD1" t="s">
        <v>343</v>
      </c>
      <c r="AE1" t="s">
        <v>388</v>
      </c>
      <c r="AF1" t="s">
        <v>389</v>
      </c>
      <c r="AG1" t="s">
        <v>390</v>
      </c>
      <c r="AH1" s="1" t="s">
        <v>17</v>
      </c>
      <c r="AI1" t="s">
        <v>391</v>
      </c>
    </row>
    <row r="2" spans="1:35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10</v>
      </c>
      <c r="J2" t="s">
        <v>10</v>
      </c>
      <c r="K2" t="s">
        <v>392</v>
      </c>
      <c r="L2" t="s">
        <v>13</v>
      </c>
      <c r="M2" t="s">
        <v>39</v>
      </c>
      <c r="N2" t="s">
        <v>46</v>
      </c>
      <c r="O2" t="s">
        <v>117</v>
      </c>
      <c r="P2" t="s">
        <v>393</v>
      </c>
      <c r="Q2" t="s">
        <v>10</v>
      </c>
      <c r="R2" t="s">
        <v>10</v>
      </c>
      <c r="S2" t="s">
        <v>10</v>
      </c>
      <c r="T2" t="s">
        <v>13</v>
      </c>
      <c r="U2" t="s">
        <v>117</v>
      </c>
      <c r="V2" t="s">
        <v>10</v>
      </c>
      <c r="W2" t="s">
        <v>50</v>
      </c>
      <c r="X2" t="s">
        <v>13</v>
      </c>
      <c r="Y2" t="s">
        <v>117</v>
      </c>
      <c r="Z2" t="s">
        <v>117</v>
      </c>
      <c r="AA2" t="s">
        <v>10</v>
      </c>
      <c r="AB2" t="s">
        <v>393</v>
      </c>
      <c r="AC2" t="s">
        <v>393</v>
      </c>
      <c r="AD2" t="s">
        <v>10</v>
      </c>
      <c r="AE2" t="s">
        <v>50</v>
      </c>
      <c r="AF2" t="s">
        <v>41</v>
      </c>
      <c r="AG2" t="s">
        <v>41</v>
      </c>
      <c r="AH2" t="s">
        <v>10</v>
      </c>
      <c r="AI2" t="s">
        <v>394</v>
      </c>
    </row>
    <row r="3" spans="1:35">
      <c r="A3" s="2" t="s">
        <v>347</v>
      </c>
      <c r="B3" s="2" t="s">
        <v>348</v>
      </c>
      <c r="C3" s="2" t="s">
        <v>326</v>
      </c>
      <c r="D3" s="2" t="s">
        <v>349</v>
      </c>
      <c r="E3" s="2" t="s">
        <v>350</v>
      </c>
      <c r="F3" s="2" t="s">
        <v>351</v>
      </c>
      <c r="G3" s="2" t="s">
        <v>352</v>
      </c>
      <c r="H3" s="3" t="s">
        <v>395</v>
      </c>
      <c r="I3" s="3" t="s">
        <v>396</v>
      </c>
      <c r="J3" s="3" t="s">
        <v>397</v>
      </c>
      <c r="K3" s="3" t="s">
        <v>398</v>
      </c>
      <c r="L3" s="3" t="s">
        <v>399</v>
      </c>
      <c r="M3" s="3" t="s">
        <v>400</v>
      </c>
      <c r="N3" s="3" t="s">
        <v>401</v>
      </c>
      <c r="O3" s="3" t="s">
        <v>402</v>
      </c>
      <c r="P3" s="3" t="s">
        <v>403</v>
      </c>
      <c r="Q3" s="3" t="s">
        <v>404</v>
      </c>
      <c r="R3" s="3" t="s">
        <v>405</v>
      </c>
      <c r="S3" s="3" t="s">
        <v>406</v>
      </c>
      <c r="T3" s="3" t="s">
        <v>407</v>
      </c>
      <c r="U3" s="3" t="s">
        <v>408</v>
      </c>
      <c r="V3" s="3" t="s">
        <v>409</v>
      </c>
      <c r="W3" s="3" t="s">
        <v>410</v>
      </c>
      <c r="X3" s="3" t="s">
        <v>411</v>
      </c>
      <c r="Y3" s="3" t="s">
        <v>412</v>
      </c>
      <c r="Z3" s="3" t="s">
        <v>413</v>
      </c>
      <c r="AA3" s="3" t="s">
        <v>414</v>
      </c>
      <c r="AB3" s="3" t="s">
        <v>415</v>
      </c>
      <c r="AC3" s="3" t="s">
        <v>416</v>
      </c>
      <c r="AD3" s="3" t="s">
        <v>417</v>
      </c>
      <c r="AE3" s="3" t="s">
        <v>418</v>
      </c>
      <c r="AF3" s="3" t="s">
        <v>419</v>
      </c>
      <c r="AG3" s="3" t="s">
        <v>420</v>
      </c>
      <c r="AH3" s="2" t="s">
        <v>334</v>
      </c>
      <c r="AI3" s="7" t="s">
        <v>421</v>
      </c>
    </row>
    <row r="4" spans="1:35">
      <c r="A4" s="3" t="s">
        <v>358</v>
      </c>
      <c r="B4" s="3" t="s">
        <v>359</v>
      </c>
      <c r="C4" s="3" t="s">
        <v>422</v>
      </c>
      <c r="D4" s="3"/>
      <c r="E4" s="3" t="s">
        <v>423</v>
      </c>
      <c r="F4" s="4">
        <f ca="1">NOW()</f>
        <v>43894.587103819445</v>
      </c>
      <c r="G4" s="3" t="s">
        <v>424</v>
      </c>
      <c r="H4" s="3" t="s">
        <v>363</v>
      </c>
      <c r="I4" s="3" t="s">
        <v>366</v>
      </c>
      <c r="J4" s="3" t="s">
        <v>425</v>
      </c>
      <c r="K4" s="3" t="s">
        <v>426</v>
      </c>
      <c r="L4" s="3" t="s">
        <v>366</v>
      </c>
      <c r="M4" s="3" t="s">
        <v>427</v>
      </c>
      <c r="N4" s="3" t="s">
        <v>367</v>
      </c>
      <c r="O4" s="3" t="s">
        <v>428</v>
      </c>
      <c r="P4" s="3" t="s">
        <v>429</v>
      </c>
      <c r="Q4" t="s">
        <v>430</v>
      </c>
      <c r="R4" t="s">
        <v>431</v>
      </c>
      <c r="S4" t="s">
        <v>367</v>
      </c>
      <c r="T4" s="3" t="s">
        <v>432</v>
      </c>
      <c r="U4" s="3" t="s">
        <v>433</v>
      </c>
      <c r="V4" s="3" t="s">
        <v>432</v>
      </c>
      <c r="W4" s="3" t="s">
        <v>434</v>
      </c>
      <c r="X4" s="3" t="s">
        <v>435</v>
      </c>
      <c r="Y4" s="3" t="s">
        <v>433</v>
      </c>
      <c r="Z4" s="3" t="s">
        <v>433</v>
      </c>
      <c r="AA4" s="3" t="s">
        <v>436</v>
      </c>
      <c r="AB4" s="3" t="s">
        <v>436</v>
      </c>
      <c r="AC4" s="3" t="s">
        <v>436</v>
      </c>
      <c r="AD4" t="s">
        <v>437</v>
      </c>
      <c r="AE4" s="3" t="s">
        <v>438</v>
      </c>
      <c r="AF4" s="3" t="s">
        <v>439</v>
      </c>
      <c r="AG4" s="3" t="s">
        <v>436</v>
      </c>
      <c r="AH4" s="3" t="s">
        <v>368</v>
      </c>
      <c r="AI4" s="3" t="s">
        <v>440</v>
      </c>
    </row>
    <row r="5" spans="1:35">
      <c r="J5" s="3"/>
      <c r="N5" s="3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P8" sqref="P8"/>
    </sheetView>
  </sheetViews>
  <sheetFormatPr defaultRowHeight="14.25"/>
  <sheetData>
    <row r="1" spans="1:1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121</v>
      </c>
      <c r="I1" t="s">
        <v>32</v>
      </c>
      <c r="J1" t="s">
        <v>303</v>
      </c>
      <c r="K1" t="s">
        <v>232</v>
      </c>
      <c r="L1" t="s">
        <v>304</v>
      </c>
      <c r="M1" t="s">
        <v>238</v>
      </c>
      <c r="N1" t="s">
        <v>33</v>
      </c>
      <c r="O1" t="s">
        <v>45</v>
      </c>
      <c r="P1" t="s">
        <v>15</v>
      </c>
      <c r="Q1" t="s">
        <v>16</v>
      </c>
    </row>
    <row r="2" spans="1:1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13</v>
      </c>
      <c r="L2" t="s">
        <v>13</v>
      </c>
      <c r="M2" t="s">
        <v>13</v>
      </c>
      <c r="N2" t="s">
        <v>10</v>
      </c>
      <c r="O2" t="s">
        <v>46</v>
      </c>
      <c r="P2" t="s">
        <v>13</v>
      </c>
      <c r="Q2" t="s">
        <v>13</v>
      </c>
    </row>
    <row r="3" spans="1:17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2" t="s">
        <v>133</v>
      </c>
      <c r="I3" s="3" t="s">
        <v>29</v>
      </c>
      <c r="J3" s="3" t="s">
        <v>313</v>
      </c>
      <c r="K3" s="3" t="s">
        <v>312</v>
      </c>
      <c r="L3" s="3" t="s">
        <v>311</v>
      </c>
      <c r="M3" s="3" t="s">
        <v>310</v>
      </c>
      <c r="N3" s="3" t="s">
        <v>306</v>
      </c>
      <c r="O3" s="3" t="s">
        <v>307</v>
      </c>
      <c r="P3" s="3" t="s">
        <v>308</v>
      </c>
      <c r="Q3" s="3" t="s">
        <v>309</v>
      </c>
    </row>
    <row r="4" spans="1:17">
      <c r="A4" s="3" t="s">
        <v>26</v>
      </c>
      <c r="B4" s="3" t="s">
        <v>27</v>
      </c>
      <c r="C4" s="3" t="s">
        <v>314</v>
      </c>
      <c r="D4" s="3"/>
      <c r="E4" s="3" t="s">
        <v>28</v>
      </c>
      <c r="F4" s="4">
        <f ca="1">NOW()</f>
        <v>43894.587103819445</v>
      </c>
      <c r="G4" s="3" t="s">
        <v>31</v>
      </c>
      <c r="H4" s="3" t="s">
        <v>275</v>
      </c>
      <c r="I4" s="3" t="s">
        <v>31</v>
      </c>
      <c r="J4" s="3" t="s">
        <v>29</v>
      </c>
      <c r="K4" s="3" t="s">
        <v>29</v>
      </c>
      <c r="L4" s="3" t="s">
        <v>285</v>
      </c>
      <c r="M4" s="3" t="s">
        <v>315</v>
      </c>
      <c r="N4" t="s">
        <v>293</v>
      </c>
      <c r="O4" t="s">
        <v>305</v>
      </c>
      <c r="P4" s="3" t="s">
        <v>62</v>
      </c>
      <c r="Q4" s="3" t="s">
        <v>62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T30" sqref="T30"/>
    </sheetView>
  </sheetViews>
  <sheetFormatPr defaultRowHeight="14.25"/>
  <sheetData>
    <row r="1" spans="1:14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121</v>
      </c>
      <c r="I1" t="s">
        <v>210</v>
      </c>
      <c r="J1" t="s">
        <v>211</v>
      </c>
      <c r="K1" t="s">
        <v>212</v>
      </c>
      <c r="L1" t="s">
        <v>158</v>
      </c>
      <c r="M1" s="1" t="s">
        <v>17</v>
      </c>
      <c r="N1" t="s">
        <v>441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442</v>
      </c>
    </row>
    <row r="3" spans="1:14">
      <c r="A3" s="2" t="s">
        <v>443</v>
      </c>
      <c r="B3" s="2" t="s">
        <v>444</v>
      </c>
      <c r="C3" s="2" t="s">
        <v>326</v>
      </c>
      <c r="D3" s="2" t="s">
        <v>349</v>
      </c>
      <c r="E3" s="2" t="s">
        <v>350</v>
      </c>
      <c r="F3" s="2" t="s">
        <v>351</v>
      </c>
      <c r="G3" s="2" t="s">
        <v>352</v>
      </c>
      <c r="H3" s="2" t="s">
        <v>445</v>
      </c>
      <c r="I3" s="2" t="s">
        <v>446</v>
      </c>
      <c r="J3" s="3" t="s">
        <v>447</v>
      </c>
      <c r="K3" s="2" t="s">
        <v>448</v>
      </c>
      <c r="L3" s="3" t="s">
        <v>449</v>
      </c>
      <c r="M3" s="2" t="s">
        <v>334</v>
      </c>
      <c r="N3" s="7" t="s">
        <v>421</v>
      </c>
    </row>
    <row r="4" spans="1:14">
      <c r="A4" s="3" t="s">
        <v>358</v>
      </c>
      <c r="B4" s="3" t="s">
        <v>359</v>
      </c>
      <c r="C4" s="3" t="s">
        <v>450</v>
      </c>
      <c r="D4" s="3" t="s">
        <v>451</v>
      </c>
      <c r="E4" s="3" t="s">
        <v>423</v>
      </c>
      <c r="F4" s="4">
        <f t="shared" ref="F4" ca="1" si="0">NOW()</f>
        <v>43894.587103819445</v>
      </c>
      <c r="G4" s="3" t="s">
        <v>452</v>
      </c>
      <c r="H4" s="3" t="s">
        <v>451</v>
      </c>
      <c r="I4" s="3" t="s">
        <v>453</v>
      </c>
      <c r="J4" t="s">
        <v>454</v>
      </c>
      <c r="K4" s="3" t="s">
        <v>451</v>
      </c>
      <c r="M4" s="3" t="s">
        <v>368</v>
      </c>
      <c r="N4" s="3" t="s">
        <v>455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opLeftCell="Z1" workbookViewId="0">
      <selection activeCell="AQ29" sqref="AQ29"/>
    </sheetView>
  </sheetViews>
  <sheetFormatPr defaultRowHeight="14.25"/>
  <cols>
    <col min="6" max="6" width="15.5" customWidth="1"/>
  </cols>
  <sheetData>
    <row r="1" spans="1:14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121</v>
      </c>
      <c r="I1" t="s">
        <v>210</v>
      </c>
      <c r="J1" t="s">
        <v>211</v>
      </c>
      <c r="K1" t="s">
        <v>216</v>
      </c>
      <c r="L1" t="s">
        <v>158</v>
      </c>
      <c r="M1" s="1" t="s">
        <v>17</v>
      </c>
      <c r="N1" t="s">
        <v>165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166</v>
      </c>
    </row>
    <row r="3" spans="1:14">
      <c r="A3" s="2" t="s">
        <v>167</v>
      </c>
      <c r="B3" s="2" t="s">
        <v>168</v>
      </c>
      <c r="C3" s="2" t="s">
        <v>128</v>
      </c>
      <c r="D3" s="2" t="s">
        <v>129</v>
      </c>
      <c r="E3" s="2" t="s">
        <v>130</v>
      </c>
      <c r="F3" s="2" t="s">
        <v>131</v>
      </c>
      <c r="G3" s="2" t="s">
        <v>132</v>
      </c>
      <c r="H3" s="2" t="s">
        <v>133</v>
      </c>
      <c r="I3" s="2" t="s">
        <v>213</v>
      </c>
      <c r="J3" s="3" t="s">
        <v>214</v>
      </c>
      <c r="K3" s="2" t="s">
        <v>217</v>
      </c>
      <c r="L3" s="3" t="s">
        <v>183</v>
      </c>
      <c r="M3" s="2" t="s">
        <v>140</v>
      </c>
      <c r="N3" s="7" t="s">
        <v>141</v>
      </c>
    </row>
    <row r="4" spans="1:14">
      <c r="A4" s="3" t="s">
        <v>142</v>
      </c>
      <c r="B4" s="3" t="s">
        <v>143</v>
      </c>
      <c r="C4" s="3" t="s">
        <v>218</v>
      </c>
      <c r="D4" s="3" t="s">
        <v>169</v>
      </c>
      <c r="E4" s="3" t="s">
        <v>145</v>
      </c>
      <c r="F4" s="4">
        <f t="shared" ref="F4" ca="1" si="0">NOW()</f>
        <v>43894.587103819445</v>
      </c>
      <c r="G4" s="3" t="s">
        <v>200</v>
      </c>
      <c r="H4" s="3" t="s">
        <v>169</v>
      </c>
      <c r="I4" s="3" t="s">
        <v>201</v>
      </c>
      <c r="J4" t="s">
        <v>206</v>
      </c>
      <c r="K4" s="3" t="s">
        <v>169</v>
      </c>
      <c r="M4" s="3" t="s">
        <v>152</v>
      </c>
      <c r="N4" s="3" t="s">
        <v>219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selection activeCell="O23" sqref="O23"/>
    </sheetView>
  </sheetViews>
  <sheetFormatPr defaultRowHeight="14.25"/>
  <cols>
    <col min="6" max="6" width="16.5" bestFit="1" customWidth="1"/>
  </cols>
  <sheetData>
    <row r="1" spans="1:1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15</v>
      </c>
      <c r="N1" t="s">
        <v>16</v>
      </c>
      <c r="O1" s="1" t="s">
        <v>17</v>
      </c>
      <c r="P1" t="s">
        <v>126</v>
      </c>
    </row>
    <row r="2" spans="1:1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13</v>
      </c>
      <c r="K2" t="s">
        <v>13</v>
      </c>
      <c r="L2" t="s">
        <v>14</v>
      </c>
      <c r="M2" t="s">
        <v>13</v>
      </c>
      <c r="N2" t="s">
        <v>13</v>
      </c>
      <c r="O2" t="s">
        <v>10</v>
      </c>
      <c r="P2" t="s">
        <v>127</v>
      </c>
    </row>
    <row r="3" spans="1:16" s="7" customFormat="1">
      <c r="A3" s="2" t="s">
        <v>18</v>
      </c>
      <c r="B3" s="2" t="s">
        <v>19</v>
      </c>
      <c r="C3" s="2" t="s">
        <v>128</v>
      </c>
      <c r="D3" s="2" t="s">
        <v>129</v>
      </c>
      <c r="E3" s="2" t="s">
        <v>130</v>
      </c>
      <c r="F3" s="2" t="s">
        <v>131</v>
      </c>
      <c r="G3" s="2" t="s">
        <v>132</v>
      </c>
      <c r="H3" s="2" t="s">
        <v>133</v>
      </c>
      <c r="I3" s="2" t="s">
        <v>134</v>
      </c>
      <c r="J3" s="2" t="s">
        <v>135</v>
      </c>
      <c r="K3" s="2" t="s">
        <v>136</v>
      </c>
      <c r="L3" s="2" t="s">
        <v>137</v>
      </c>
      <c r="M3" s="2" t="s">
        <v>138</v>
      </c>
      <c r="N3" s="2" t="s">
        <v>139</v>
      </c>
      <c r="O3" s="2" t="s">
        <v>140</v>
      </c>
      <c r="P3" s="7" t="s">
        <v>141</v>
      </c>
    </row>
    <row r="4" spans="1:16">
      <c r="A4" s="3" t="s">
        <v>142</v>
      </c>
      <c r="B4" s="3" t="s">
        <v>143</v>
      </c>
      <c r="C4" s="3" t="s">
        <v>144</v>
      </c>
      <c r="D4" s="3" t="s">
        <v>29</v>
      </c>
      <c r="E4" s="3" t="s">
        <v>145</v>
      </c>
      <c r="F4" s="4">
        <f ca="1">NOW()</f>
        <v>43894.587103819445</v>
      </c>
      <c r="G4" s="3" t="s">
        <v>146</v>
      </c>
      <c r="H4" s="3" t="s">
        <v>29</v>
      </c>
      <c r="I4" s="3" t="s">
        <v>147</v>
      </c>
      <c r="J4" s="3" t="s">
        <v>62</v>
      </c>
      <c r="K4" s="3" t="s">
        <v>148</v>
      </c>
      <c r="L4" t="s">
        <v>149</v>
      </c>
      <c r="M4" s="3" t="s">
        <v>150</v>
      </c>
      <c r="N4" s="3" t="s">
        <v>151</v>
      </c>
      <c r="O4" s="3" t="s">
        <v>152</v>
      </c>
      <c r="P4" s="3" t="s">
        <v>153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req</vt:lpstr>
      <vt:lpstr>rtn</vt:lpstr>
      <vt:lpstr>casedescription</vt:lpstr>
      <vt:lpstr>NewOrderSingle</vt:lpstr>
      <vt:lpstr>OrderCancelRequest</vt:lpstr>
      <vt:lpstr>OrderCancelReplaceRequest</vt:lpstr>
      <vt:lpstr>ExecutionReporttest</vt:lpstr>
      <vt:lpstr>ExecutionReport</vt:lpstr>
      <vt:lpstr>MassQuote</vt:lpstr>
      <vt:lpstr>MassQuoteAcknowledgement</vt:lpstr>
      <vt:lpstr>OrderStatusRequest</vt:lpstr>
      <vt:lpstr>SecurityDefinitionRequest</vt:lpstr>
      <vt:lpstr>SecurityDefinition</vt:lpstr>
      <vt:lpstr>QuoteCancel</vt:lpstr>
      <vt:lpstr>Reject</vt:lpstr>
      <vt:lpstr>BusinessMessageReject</vt:lpstr>
      <vt:lpstr>OnRspUserLogin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2020-03-04T06:17:29Z</dcterms:modified>
</cp:coreProperties>
</file>