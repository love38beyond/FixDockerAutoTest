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50715" yWindow="0" windowWidth="22260" windowHeight="12645" tabRatio="888" activeTab="3"/>
  </bookViews>
  <sheets>
    <sheet name="req" sheetId="4" r:id="rId1"/>
    <sheet name="rtn" sheetId="6" r:id="rId2"/>
    <sheet name="casedescription" sheetId="15" r:id="rId3"/>
    <sheet name="NewOrderSingleConditional" sheetId="22" r:id="rId4"/>
    <sheet name="ExecutionReportConditionalOrder" sheetId="10" r:id="rId5"/>
    <sheet name="MassQuote" sheetId="14" state="hidden" r:id="rId6"/>
    <sheet name="MassQuoteAcknowledgement" sheetId="16" state="hidden" r:id="rId7"/>
    <sheet name="OrderStatusRequest" sheetId="18" state="hidden" r:id="rId8"/>
    <sheet name="SecurityDefinitionRequest" sheetId="19" state="hidden" r:id="rId9"/>
    <sheet name="SecurityDefinition" sheetId="20" state="hidden" r:id="rId10"/>
    <sheet name="QuoteCancel" sheetId="17" state="hidden" r:id="rId11"/>
    <sheet name="Reject" sheetId="21" state="hidden" r:id="rId12"/>
    <sheet name="BusinessMessageReject" sheetId="12" state="hidden" r:id="rId13"/>
    <sheet name="OnRspUserLogin" sheetId="8" r:id="rId14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2" i="6" l="1"/>
  <c r="B73" i="6"/>
  <c r="D72" i="6"/>
  <c r="D73" i="6"/>
  <c r="F33" i="22"/>
  <c r="F32" i="22"/>
  <c r="F74" i="10"/>
  <c r="F73" i="10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B30" i="4"/>
  <c r="B31" i="4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25" i="10"/>
  <c r="F46" i="10"/>
  <c r="F45" i="10"/>
  <c r="F44" i="10"/>
  <c r="F43" i="10"/>
  <c r="F42" i="10"/>
  <c r="F41" i="10"/>
  <c r="F40" i="10"/>
  <c r="F39" i="10"/>
  <c r="F38" i="10"/>
  <c r="F37" i="10"/>
  <c r="F36" i="10"/>
  <c r="F31" i="10"/>
  <c r="F35" i="10"/>
  <c r="F34" i="10"/>
  <c r="F33" i="10"/>
  <c r="F32" i="10"/>
  <c r="F30" i="10"/>
  <c r="F29" i="10"/>
  <c r="F28" i="10"/>
  <c r="F27" i="10"/>
  <c r="F26" i="10"/>
  <c r="F24" i="10"/>
  <c r="F23" i="10"/>
  <c r="F22" i="10"/>
  <c r="F21" i="10"/>
  <c r="F20" i="10"/>
  <c r="F19" i="10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4" i="6"/>
  <c r="B5" i="6"/>
  <c r="B6" i="6"/>
  <c r="B7" i="6"/>
  <c r="B8" i="6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2" i="6"/>
  <c r="D3" i="6"/>
  <c r="B3" i="6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18" i="10"/>
  <c r="F17" i="10"/>
  <c r="F16" i="10"/>
  <c r="F15" i="10"/>
  <c r="F14" i="10"/>
  <c r="F9" i="22"/>
  <c r="F8" i="22"/>
  <c r="F7" i="22"/>
  <c r="F6" i="22"/>
  <c r="F5" i="22"/>
  <c r="F4" i="22"/>
  <c r="F13" i="10"/>
  <c r="F12" i="10"/>
  <c r="F11" i="10"/>
  <c r="F10" i="10"/>
  <c r="F4" i="21"/>
  <c r="F4" i="20"/>
  <c r="F4" i="19"/>
  <c r="F4" i="18"/>
  <c r="F7" i="16"/>
  <c r="F6" i="16"/>
  <c r="F4" i="17"/>
  <c r="F5" i="16"/>
  <c r="F4" i="16"/>
  <c r="F4" i="14"/>
  <c r="F9" i="10"/>
  <c r="F8" i="10"/>
  <c r="F7" i="10"/>
  <c r="F6" i="10"/>
  <c r="F5" i="10"/>
  <c r="F4" i="10"/>
  <c r="D2" i="6"/>
  <c r="F4" i="12"/>
  <c r="F4" i="8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N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O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python字典key值重复时默认取最后一次的值，现在消息里面会有两个77和20001，所以判断后面的77和20001</t>
        </r>
      </text>
    </comment>
  </commentList>
</comments>
</file>

<file path=xl/sharedStrings.xml><?xml version="1.0" encoding="utf-8"?>
<sst xmlns="http://schemas.openxmlformats.org/spreadsheetml/2006/main" count="4495" uniqueCount="630">
  <si>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</si>
  <si>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</si>
  <si>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</si>
  <si>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</si>
  <si>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</si>
  <si>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</si>
  <si>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</si>
  <si>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</si>
  <si>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</si>
  <si>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</si>
  <si>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</si>
  <si>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</si>
  <si>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</si>
  <si>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</si>
  <si>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</si>
  <si>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</si>
  <si>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</si>
  <si>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</si>
  <si>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</si>
  <si>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</si>
  <si>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</si>
  <si>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</si>
  <si>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</si>
  <si>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</si>
  <si>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</si>
  <si>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</si>
  <si>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</si>
  <si>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</si>
  <si>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</si>
  <si>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</si>
  <si>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</si>
  <si>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00001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</si>
  <si>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</si>
  <si>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</si>
  <si>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</si>
  <si>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</si>
  <si>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</si>
  <si>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</si>
  <si>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</si>
  <si>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</si>
  <si>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</si>
  <si>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</si>
  <si>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</si>
  <si>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</si>
  <si>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</si>
  <si>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</si>
  <si>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</si>
  <si>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</si>
  <si>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</si>
  <si>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</si>
  <si>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</si>
  <si>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</si>
  <si>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</si>
  <si>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</si>
  <si>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</si>
  <si>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</si>
  <si>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</si>
  <si>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</si>
  <si>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</si>
  <si>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</si>
  <si>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</si>
  <si>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</si>
  <si>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</si>
  <si>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</si>
  <si>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</si>
  <si>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</si>
  <si>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</si>
  <si>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</si>
  <si>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</si>
  <si>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</si>
  <si>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</si>
  <si>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</si>
  <si>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</si>
  <si>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</si>
  <si>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</si>
  <si>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</si>
  <si>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</si>
  <si>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</si>
  <si>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</si>
  <si>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</si>
  <si>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</si>
  <si>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</si>
  <si>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</si>
  <si>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</si>
  <si>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</si>
  <si>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</si>
  <si>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</si>
  <si>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1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</si>
  <si>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</si>
  <si>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</si>
  <si>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</si>
  <si>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</si>
  <si>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OrderID</t>
  </si>
  <si>
    <t>0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</si>
  <si>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</si>
  <si>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</si>
  <si>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</si>
  <si>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</si>
  <si>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2</t>
    <phoneticPr fontId="2" type="noConversion"/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</si>
  <si>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</si>
  <si>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</si>
  <si>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</si>
  <si>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</si>
  <si>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</si>
  <si>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</si>
  <si>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</si>
  <si>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</si>
  <si>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</si>
  <si>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</si>
  <si>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</si>
  <si>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</si>
  <si>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</si>
  <si>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</si>
  <si>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</si>
  <si>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</si>
  <si>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</si>
  <si>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</si>
  <si>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</si>
  <si>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</si>
  <si>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</si>
  <si>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</si>
  <si>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</si>
  <si>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</si>
  <si>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</si>
  <si>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</si>
  <si>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</si>
  <si>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</si>
  <si>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</si>
  <si>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</si>
  <si>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</si>
  <si>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</si>
  <si>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</si>
  <si>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</si>
  <si>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</si>
  <si>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</si>
  <si>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</si>
  <si>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</si>
  <si>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</si>
  <si>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</si>
  <si>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EffectiveTime</t>
  </si>
  <si>
    <t>SecondaryOrderID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</si>
  <si>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</si>
  <si>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</si>
  <si>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</si>
  <si>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</si>
  <si>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</si>
  <si>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</si>
  <si>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</si>
  <si>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</si>
  <si>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</si>
  <si>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</si>
  <si>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</si>
  <si>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</si>
  <si>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</si>
  <si>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</si>
  <si>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</si>
  <si>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</si>
  <si>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</si>
  <si>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</si>
  <si>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</si>
  <si>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</si>
  <si>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</si>
  <si>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</si>
  <si>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</si>
  <si>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</si>
  <si>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</si>
  <si>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</si>
  <si>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</si>
  <si>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168</t>
    <phoneticPr fontId="2" type="noConversion"/>
  </si>
  <si>
    <t>198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</si>
  <si>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</si>
  <si>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</si>
  <si>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</si>
  <si>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</si>
  <si>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</si>
  <si>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</si>
  <si>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</si>
  <si>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00001</t>
    <phoneticPr fontId="2" type="noConversion"/>
  </si>
  <si>
    <t>61441</t>
    <phoneticPr fontId="2" type="noConversion"/>
  </si>
  <si>
    <t>0</t>
    <phoneticPr fontId="2" type="noConversion"/>
  </si>
  <si>
    <t>2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</si>
  <si>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</si>
  <si>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</si>
  <si>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</si>
  <si>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4</t>
    <phoneticPr fontId="2" type="noConversion"/>
  </si>
  <si>
    <t>6</t>
    <phoneticPr fontId="2" type="noConversion"/>
  </si>
  <si>
    <t>RefSeqNum</t>
  </si>
  <si>
    <t>RefMsgType</t>
  </si>
  <si>
    <t>SessionRejectReason</t>
  </si>
  <si>
    <t>45</t>
    <phoneticPr fontId="2" type="noConversion"/>
  </si>
  <si>
    <t>372</t>
    <phoneticPr fontId="2" type="noConversion"/>
  </si>
  <si>
    <t>1</t>
    <phoneticPr fontId="2" type="noConversion"/>
  </si>
  <si>
    <t>BusinessRejectReason</t>
  </si>
  <si>
    <t>380</t>
    <phoneticPr fontId="2" type="noConversion"/>
  </si>
  <si>
    <t>j</t>
    <phoneticPr fontId="2" type="noConversion"/>
  </si>
  <si>
    <t>['35','372','380']</t>
    <phoneticPr fontId="2" type="noConversion"/>
  </si>
  <si>
    <t>OnRspUserLogin</t>
  </si>
  <si>
    <t>FunctionName</t>
    <phoneticPr fontId="2" type="noConversion"/>
  </si>
  <si>
    <t>116</t>
    <phoneticPr fontId="2" type="noConversion"/>
  </si>
  <si>
    <t>4481</t>
    <phoneticPr fontId="2" type="noConversion"/>
  </si>
  <si>
    <t>4521</t>
    <phoneticPr fontId="2" type="noConversion"/>
  </si>
  <si>
    <t>20009</t>
    <phoneticPr fontId="2" type="noConversion"/>
  </si>
  <si>
    <t>OptSelfCloseFlag</t>
  </si>
  <si>
    <t>QuoteID</t>
  </si>
  <si>
    <t>QuoteReqID</t>
  </si>
  <si>
    <t>string</t>
  </si>
  <si>
    <t>NoQuoteSets</t>
  </si>
  <si>
    <t>QuoteSetID</t>
  </si>
  <si>
    <t>TotNoQuoteEntries</t>
  </si>
  <si>
    <t>NoQuoteEntries</t>
  </si>
  <si>
    <t>QuoteEntryID</t>
  </si>
  <si>
    <t>BidPx</t>
  </si>
  <si>
    <t>BidSize</t>
  </si>
  <si>
    <t>117</t>
    <phoneticPr fontId="2" type="noConversion"/>
  </si>
  <si>
    <t>131</t>
    <phoneticPr fontId="2" type="noConversion"/>
  </si>
  <si>
    <t>296</t>
    <phoneticPr fontId="2" type="noConversion"/>
  </si>
  <si>
    <t>2</t>
    <phoneticPr fontId="2" type="noConversion"/>
  </si>
  <si>
    <t>1</t>
    <phoneticPr fontId="2" type="noConversion"/>
  </si>
  <si>
    <t>302</t>
    <phoneticPr fontId="2" type="noConversion"/>
  </si>
  <si>
    <t>304</t>
    <phoneticPr fontId="2" type="noConversion"/>
  </si>
  <si>
    <t>295</t>
    <phoneticPr fontId="2" type="noConversion"/>
  </si>
  <si>
    <t>299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</si>
  <si>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</si>
  <si>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</si>
  <si>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</si>
  <si>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0</t>
    <phoneticPr fontId="2" type="noConversion"/>
  </si>
  <si>
    <t>133</t>
    <phoneticPr fontId="2" type="noConversion"/>
  </si>
  <si>
    <t>135</t>
    <phoneticPr fontId="2" type="noConversion"/>
  </si>
  <si>
    <t>77</t>
    <phoneticPr fontId="2" type="noConversion"/>
  </si>
  <si>
    <t>20001</t>
    <phoneticPr fontId="2" type="noConversion"/>
  </si>
  <si>
    <t>99</t>
    <phoneticPr fontId="2" type="noConversion"/>
  </si>
  <si>
    <t>1</t>
    <phoneticPr fontId="2" type="noConversion"/>
  </si>
  <si>
    <t>0</t>
    <phoneticPr fontId="2" type="noConversion"/>
  </si>
  <si>
    <t>771</t>
    <phoneticPr fontId="2" type="noConversion"/>
  </si>
  <si>
    <t>2991</t>
    <phoneticPr fontId="2" type="noConversion"/>
  </si>
  <si>
    <t>551</t>
    <phoneticPr fontId="2" type="noConversion"/>
  </si>
  <si>
    <t>2071</t>
    <phoneticPr fontId="2" type="noConversion"/>
  </si>
  <si>
    <t>1341</t>
    <phoneticPr fontId="2" type="noConversion"/>
  </si>
  <si>
    <t>1331</t>
    <phoneticPr fontId="2" type="noConversion"/>
  </si>
  <si>
    <t>1351</t>
    <phoneticPr fontId="2" type="noConversion"/>
  </si>
  <si>
    <t>200011</t>
    <phoneticPr fontId="2" type="noConversion"/>
  </si>
  <si>
    <t>O</t>
    <phoneticPr fontId="2" type="noConversion"/>
  </si>
  <si>
    <t>O</t>
    <phoneticPr fontId="2" type="noConversion"/>
  </si>
  <si>
    <t>i</t>
    <phoneticPr fontId="2" type="noConversion"/>
  </si>
  <si>
    <t>SHFE</t>
    <phoneticPr fontId="2" type="noConversion"/>
  </si>
  <si>
    <t>1321</t>
    <phoneticPr fontId="2" type="noConversion"/>
  </si>
  <si>
    <t>0</t>
    <phoneticPr fontId="2" type="noConversion"/>
  </si>
  <si>
    <t>61461</t>
    <phoneticPr fontId="2" type="noConversion"/>
  </si>
  <si>
    <t>b</t>
    <phoneticPr fontId="2" type="noConversion"/>
  </si>
  <si>
    <t>132</t>
    <phoneticPr fontId="2" type="noConversion"/>
  </si>
  <si>
    <t>134</t>
    <phoneticPr fontId="2" type="noConversion"/>
  </si>
  <si>
    <t>QuoteAckStatus</t>
  </si>
  <si>
    <t>int</t>
    <phoneticPr fontId="2" type="noConversion"/>
  </si>
  <si>
    <t>297</t>
    <phoneticPr fontId="2" type="noConversion"/>
  </si>
  <si>
    <t>77</t>
    <phoneticPr fontId="2" type="noConversion"/>
  </si>
  <si>
    <t>20001</t>
    <phoneticPr fontId="2" type="noConversion"/>
  </si>
  <si>
    <t>5</t>
    <phoneticPr fontId="2" type="noConversion"/>
  </si>
  <si>
    <t>100</t>
    <phoneticPr fontId="2" type="noConversion"/>
  </si>
  <si>
    <t>ExecResult</t>
  </si>
  <si>
    <t>20010</t>
    <phoneticPr fontId="2" type="noConversion"/>
  </si>
  <si>
    <t>['35','297','132','77','133','134','135','20001','55','1','56','116']</t>
    <phoneticPr fontId="2" type="noConversion"/>
  </si>
  <si>
    <t>cu1202c66000</t>
    <phoneticPr fontId="2" type="noConversion"/>
  </si>
  <si>
    <t>100.000000</t>
    <phoneticPr fontId="2" type="noConversion"/>
  </si>
  <si>
    <t>99.000000</t>
    <phoneticPr fontId="2" type="noConversion"/>
  </si>
  <si>
    <t>OfferPx</t>
  </si>
  <si>
    <t>OfferSize</t>
  </si>
  <si>
    <t>QuoteMsgID</t>
  </si>
  <si>
    <t>QuoteCancelType</t>
  </si>
  <si>
    <t>SHFE</t>
    <phoneticPr fontId="2" type="noConversion"/>
  </si>
  <si>
    <t>55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</si>
  <si>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</si>
  <si>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</si>
  <si>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</si>
  <si>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295</t>
    <phoneticPr fontId="2" type="noConversion"/>
  </si>
  <si>
    <t>298</t>
    <phoneticPr fontId="2" type="noConversion"/>
  </si>
  <si>
    <t>117</t>
    <phoneticPr fontId="2" type="noConversion"/>
  </si>
  <si>
    <t>1166</t>
    <phoneticPr fontId="2" type="noConversion"/>
  </si>
  <si>
    <t>Z</t>
    <phoneticPr fontId="2" type="noConversion"/>
  </si>
  <si>
    <t>1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</si>
  <si>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</si>
  <si>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</si>
  <si>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</si>
  <si>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0</t>
  </si>
  <si>
    <t>0</t>
    <phoneticPr fontId="2" type="noConversion"/>
  </si>
  <si>
    <t>0</t>
    <phoneticPr fontId="2" type="noConversion"/>
  </si>
  <si>
    <t>0</t>
    <phoneticPr fontId="2" type="noConversion"/>
  </si>
  <si>
    <t>8</t>
    <phoneticPr fontId="2" type="noConversion"/>
  </si>
  <si>
    <t>9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</si>
  <si>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</si>
  <si>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</si>
  <si>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</si>
  <si>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</si>
  <si>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</si>
  <si>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</si>
  <si>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</si>
  <si>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</si>
  <si>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</si>
  <si>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</si>
  <si>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</si>
  <si>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H</t>
    <phoneticPr fontId="2" type="noConversion"/>
  </si>
  <si>
    <t>00001</t>
    <phoneticPr fontId="2" type="noConversion"/>
  </si>
  <si>
    <t>4444</t>
    <phoneticPr fontId="2" type="noConversion"/>
  </si>
  <si>
    <t>cu1202</t>
    <phoneticPr fontId="2" type="noConversion"/>
  </si>
  <si>
    <t>SHFE</t>
    <phoneticPr fontId="2" type="noConversion"/>
  </si>
  <si>
    <t>135</t>
    <phoneticPr fontId="2" type="noConversion"/>
  </si>
  <si>
    <t>SecurityGroup</t>
  </si>
  <si>
    <t>SecurityReqID</t>
  </si>
  <si>
    <t>SecurityRequestType</t>
  </si>
  <si>
    <t>int</t>
    <phoneticPr fontId="2" type="noConversion"/>
  </si>
  <si>
    <t>8</t>
    <phoneticPr fontId="2" type="noConversion"/>
  </si>
  <si>
    <t>9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</si>
  <si>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</si>
  <si>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</si>
  <si>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</si>
  <si>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</si>
  <si>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55</t>
    <phoneticPr fontId="2" type="noConversion"/>
  </si>
  <si>
    <t>1151</t>
    <phoneticPr fontId="2" type="noConversion"/>
  </si>
  <si>
    <t>320</t>
    <phoneticPr fontId="2" type="noConversion"/>
  </si>
  <si>
    <t>321</t>
    <phoneticPr fontId="2" type="noConversion"/>
  </si>
  <si>
    <t>207</t>
    <phoneticPr fontId="2" type="noConversion"/>
  </si>
  <si>
    <t>FIX.4.2</t>
    <phoneticPr fontId="2" type="noConversion"/>
  </si>
  <si>
    <t>111</t>
    <phoneticPr fontId="2" type="noConversion"/>
  </si>
  <si>
    <t>c</t>
    <phoneticPr fontId="2" type="noConversion"/>
  </si>
  <si>
    <t>00001</t>
    <phoneticPr fontId="2" type="noConversion"/>
  </si>
  <si>
    <t>4444</t>
    <phoneticPr fontId="2" type="noConversion"/>
  </si>
  <si>
    <t>cu1202c63000</t>
    <phoneticPr fontId="2" type="noConversion"/>
  </si>
  <si>
    <t>0</t>
    <phoneticPr fontId="2" type="noConversion"/>
  </si>
  <si>
    <t>0</t>
    <phoneticPr fontId="2" type="noConversion"/>
  </si>
  <si>
    <t>1</t>
    <phoneticPr fontId="2" type="noConversion"/>
  </si>
  <si>
    <t>SHFE</t>
    <phoneticPr fontId="2" type="noConversion"/>
  </si>
  <si>
    <t>135</t>
    <phoneticPr fontId="2" type="noConversion"/>
  </si>
  <si>
    <t>SecurityDesc</t>
  </si>
  <si>
    <t>SecurityType</t>
  </si>
  <si>
    <t>MaturityMonthYear</t>
  </si>
  <si>
    <t>PutOrCall</t>
  </si>
  <si>
    <t>StrikePrice</t>
  </si>
  <si>
    <t>IssueDate</t>
  </si>
  <si>
    <t>ContractMultiplier</t>
  </si>
  <si>
    <t>UnderlyingSymbol</t>
  </si>
  <si>
    <t>SecurityResponseID</t>
  </si>
  <si>
    <t>TotalNumSecurities</t>
  </si>
  <si>
    <t>MaturityDate</t>
  </si>
  <si>
    <t>SecuritySubType</t>
  </si>
  <si>
    <t>NoEvents</t>
  </si>
  <si>
    <t>EventType</t>
  </si>
  <si>
    <t>EventDate</t>
  </si>
  <si>
    <t>DatedDate</t>
  </si>
  <si>
    <t>SecurityStatus</t>
  </si>
  <si>
    <t>StrikeMultiplier</t>
  </si>
  <si>
    <t>MinPriceIncrement</t>
  </si>
  <si>
    <t>NoMarketSegments</t>
  </si>
  <si>
    <t>MaxTradeVol</t>
  </si>
  <si>
    <t>MinTradeVol</t>
  </si>
  <si>
    <t>keylist</t>
    <phoneticPr fontId="2" type="noConversion"/>
  </si>
  <si>
    <t>MonthYear</t>
  </si>
  <si>
    <t>float</t>
  </si>
  <si>
    <t>String</t>
    <phoneticPr fontId="2" type="noConversion"/>
  </si>
  <si>
    <t>55</t>
    <phoneticPr fontId="2" type="noConversion"/>
  </si>
  <si>
    <t>107</t>
    <phoneticPr fontId="2" type="noConversion"/>
  </si>
  <si>
    <t>167</t>
    <phoneticPr fontId="2" type="noConversion"/>
  </si>
  <si>
    <t>200</t>
    <phoneticPr fontId="2" type="noConversion"/>
  </si>
  <si>
    <t>201</t>
    <phoneticPr fontId="2" type="noConversion"/>
  </si>
  <si>
    <t>202</t>
    <phoneticPr fontId="2" type="noConversion"/>
  </si>
  <si>
    <t>207</t>
    <phoneticPr fontId="2" type="noConversion"/>
  </si>
  <si>
    <t>225</t>
    <phoneticPr fontId="2" type="noConversion"/>
  </si>
  <si>
    <t>231</t>
    <phoneticPr fontId="2" type="noConversion"/>
  </si>
  <si>
    <t>311</t>
    <phoneticPr fontId="2" type="noConversion"/>
  </si>
  <si>
    <t>320</t>
    <phoneticPr fontId="2" type="noConversion"/>
  </si>
  <si>
    <t>322</t>
    <phoneticPr fontId="2" type="noConversion"/>
  </si>
  <si>
    <t>393</t>
    <phoneticPr fontId="2" type="noConversion"/>
  </si>
  <si>
    <t>541</t>
    <phoneticPr fontId="2" type="noConversion"/>
  </si>
  <si>
    <t>762</t>
    <phoneticPr fontId="2" type="noConversion"/>
  </si>
  <si>
    <t>864</t>
    <phoneticPr fontId="2" type="noConversion"/>
  </si>
  <si>
    <t>865</t>
    <phoneticPr fontId="2" type="noConversion"/>
  </si>
  <si>
    <t>866</t>
    <phoneticPr fontId="2" type="noConversion"/>
  </si>
  <si>
    <t>873</t>
    <phoneticPr fontId="2" type="noConversion"/>
  </si>
  <si>
    <t>965</t>
    <phoneticPr fontId="2" type="noConversion"/>
  </si>
  <si>
    <t>967</t>
    <phoneticPr fontId="2" type="noConversion"/>
  </si>
  <si>
    <t>969</t>
    <phoneticPr fontId="2" type="noConversion"/>
  </si>
  <si>
    <t>1151</t>
    <phoneticPr fontId="2" type="noConversion"/>
  </si>
  <si>
    <t>1310</t>
    <phoneticPr fontId="2" type="noConversion"/>
  </si>
  <si>
    <t>1140</t>
    <phoneticPr fontId="2" type="noConversion"/>
  </si>
  <si>
    <t>562</t>
    <phoneticPr fontId="2" type="noConversion"/>
  </si>
  <si>
    <t>keylist</t>
    <phoneticPr fontId="2" type="noConversion"/>
  </si>
  <si>
    <t>d</t>
    <phoneticPr fontId="2" type="noConversion"/>
  </si>
  <si>
    <t>4444</t>
    <phoneticPr fontId="2" type="noConversion"/>
  </si>
  <si>
    <t>00001</t>
    <phoneticPr fontId="2" type="noConversion"/>
  </si>
  <si>
    <t>OPT</t>
    <phoneticPr fontId="2" type="noConversion"/>
  </si>
  <si>
    <t>201202</t>
    <phoneticPr fontId="2" type="noConversion"/>
  </si>
  <si>
    <t>63000</t>
    <phoneticPr fontId="2" type="noConversion"/>
  </si>
  <si>
    <t>20110131</t>
    <phoneticPr fontId="2" type="noConversion"/>
  </si>
  <si>
    <t>5</t>
    <phoneticPr fontId="2" type="noConversion"/>
  </si>
  <si>
    <t>cu1202</t>
    <phoneticPr fontId="2" type="noConversion"/>
  </si>
  <si>
    <t>O</t>
    <phoneticPr fontId="2" type="noConversion"/>
  </si>
  <si>
    <t>0</t>
    <phoneticPr fontId="2" type="noConversion"/>
  </si>
  <si>
    <t>20120125</t>
    <phoneticPr fontId="2" type="noConversion"/>
  </si>
  <si>
    <t>2</t>
    <phoneticPr fontId="2" type="noConversion"/>
  </si>
  <si>
    <t>13</t>
    <phoneticPr fontId="2" type="noConversion"/>
  </si>
  <si>
    <t>1</t>
    <phoneticPr fontId="2" type="noConversion"/>
  </si>
  <si>
    <t>cu_o</t>
    <phoneticPr fontId="2" type="noConversion"/>
  </si>
  <si>
    <t>2</t>
    <phoneticPr fontId="2" type="noConversion"/>
  </si>
  <si>
    <t>30</t>
    <phoneticPr fontId="2" type="noConversion"/>
  </si>
  <si>
    <t>['35','202','167','965','207','55','56']</t>
    <phoneticPr fontId="2" type="noConversion"/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</si>
  <si>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</si>
  <si>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</si>
  <si>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</si>
  <si>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</si>
  <si>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57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</si>
  <si>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</si>
  <si>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</si>
  <si>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</si>
  <si>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58</t>
    <phoneticPr fontId="2" type="noConversion"/>
  </si>
  <si>
    <t>3</t>
    <phoneticPr fontId="2" type="noConversion"/>
  </si>
  <si>
    <t>1</t>
    <phoneticPr fontId="2" type="noConversion"/>
  </si>
  <si>
    <t>00001</t>
    <phoneticPr fontId="2" type="noConversion"/>
  </si>
  <si>
    <t>61441</t>
    <phoneticPr fontId="2" type="noConversion"/>
  </si>
  <si>
    <t>cu1202</t>
    <phoneticPr fontId="2" type="noConversion"/>
  </si>
  <si>
    <t>['35','372','373']</t>
    <phoneticPr fontId="2" type="noConversion"/>
  </si>
  <si>
    <t>31</t>
    <phoneticPr fontId="2" type="noConversion"/>
  </si>
  <si>
    <t>32</t>
    <phoneticPr fontId="2" type="noConversion"/>
  </si>
  <si>
    <t>LastPx</t>
    <phoneticPr fontId="2" type="noConversion"/>
  </si>
  <si>
    <t>LastQty</t>
  </si>
  <si>
    <t>FIX.4.2</t>
    <phoneticPr fontId="2" type="noConversion"/>
  </si>
  <si>
    <t>5</t>
    <phoneticPr fontId="2" type="noConversion"/>
  </si>
  <si>
    <t>00003</t>
  </si>
  <si>
    <t>00003</t>
    <phoneticPr fontId="2" type="noConversion"/>
  </si>
  <si>
    <t>NewOrderSingleConditional</t>
  </si>
  <si>
    <t>100</t>
    <phoneticPr fontId="2" type="noConversion"/>
  </si>
  <si>
    <t>101</t>
  </si>
  <si>
    <t>102</t>
  </si>
  <si>
    <t>103</t>
  </si>
  <si>
    <t>104</t>
  </si>
  <si>
    <t>5</t>
  </si>
  <si>
    <t>5. 条件单：tag59-有效期类型=0-当日有效，tag20006-触发条件= 7- 最新价小于条件价 。 结果：tag150=M，尚未触发 。</t>
    <phoneticPr fontId="8" type="noConversion"/>
  </si>
  <si>
    <t>3. 条件单：tag59-有效期类型=0-当日有效，tag20006-触发条件= 5 -最新价大于条件价 。 结果：tag150=M-尚未触发 。</t>
    <phoneticPr fontId="8" type="noConversion"/>
  </si>
  <si>
    <t>4. 条件单：tag59-有效期类型=0-当日有效，tag20006-触发条件= 5 -最新价大于条件价 。 结果：tag150=M-&gt;L-&gt;A-&gt;0，立即触发 。</t>
    <phoneticPr fontId="8" type="noConversion"/>
  </si>
  <si>
    <t>6. 条件单：tag59-有效期类型=0-当日有效，tag20006-触发条件= 7- 最新价小于条件价 。 结果：tag150=M-&gt;L-&gt;A-&gt;0，立即触发 。</t>
    <phoneticPr fontId="8" type="noConversion"/>
  </si>
  <si>
    <t>9 条件单：tag59-有效期类型=1-撤销前有效，tag20006-触发条件= 6- 最新价大于等于条件价。 结果：tag150=M，尚未触发 。</t>
    <phoneticPr fontId="8" type="noConversion"/>
  </si>
  <si>
    <t>10 条件单：tag59-有效期类型=1-撤销前有效，tag20006-触发条件= 6- 最新价大于等于条件价。 结果：tag150=M-&gt;L-&gt;A-&gt;8，已触发 ，报单被交易所拒绝。</t>
    <phoneticPr fontId="8" type="noConversion"/>
  </si>
  <si>
    <t>7</t>
  </si>
  <si>
    <t>5</t>
    <phoneticPr fontId="2" type="noConversion"/>
  </si>
  <si>
    <t>7</t>
    <phoneticPr fontId="2" type="noConversion"/>
  </si>
  <si>
    <t>6</t>
    <phoneticPr fontId="2" type="noConversion"/>
  </si>
  <si>
    <t>305</t>
    <phoneticPr fontId="2" type="noConversion"/>
  </si>
  <si>
    <t>100</t>
    <phoneticPr fontId="2" type="noConversion"/>
  </si>
  <si>
    <t>102</t>
    <phoneticPr fontId="2" type="noConversion"/>
  </si>
  <si>
    <t>103</t>
    <phoneticPr fontId="2" type="noConversion"/>
  </si>
  <si>
    <t>1</t>
    <phoneticPr fontId="2" type="noConversion"/>
  </si>
  <si>
    <t>F</t>
    <phoneticPr fontId="2" type="noConversion"/>
  </si>
  <si>
    <t>305</t>
    <phoneticPr fontId="2" type="noConversion"/>
  </si>
  <si>
    <t>1</t>
    <phoneticPr fontId="2" type="noConversion"/>
  </si>
  <si>
    <t>M</t>
    <phoneticPr fontId="2" type="noConversion"/>
  </si>
  <si>
    <t>G</t>
    <phoneticPr fontId="2" type="noConversion"/>
  </si>
  <si>
    <t>L</t>
    <phoneticPr fontId="2" type="noConversion"/>
  </si>
  <si>
    <t>A</t>
    <phoneticPr fontId="2" type="noConversion"/>
  </si>
  <si>
    <t>105</t>
    <phoneticPr fontId="2" type="noConversion"/>
  </si>
  <si>
    <t>104</t>
    <phoneticPr fontId="2" type="noConversion"/>
  </si>
  <si>
    <t>105</t>
    <phoneticPr fontId="2" type="noConversion"/>
  </si>
  <si>
    <t>8</t>
    <phoneticPr fontId="2" type="noConversion"/>
  </si>
  <si>
    <t>8</t>
    <phoneticPr fontId="2" type="noConversion"/>
  </si>
  <si>
    <t>1</t>
    <phoneticPr fontId="2" type="noConversion"/>
  </si>
  <si>
    <t>7</t>
    <phoneticPr fontId="2" type="noConversion"/>
  </si>
  <si>
    <t>['35','40','54','77','44','38','39','150','20001','59','55','1','56','116','14','151','39','150']</t>
    <phoneticPr fontId="2" type="noConversion"/>
  </si>
  <si>
    <t>11 条件单：tag59-有效期类型=2-集合竞价有效，tag20006-触发条件= 8- 最新价小于等于条件价。 结果：tag150=M，尚未触发。</t>
    <phoneticPr fontId="8" type="noConversion"/>
  </si>
  <si>
    <t>12 条件单：tag59-有效期类型=2-集合竞价有效，tag20006-触发条件= 8- 最新价小于等于条件价。 结果：tag150=M-&gt;L-&gt;A-&gt;8，已触发，报单被交易所拒绝。</t>
    <phoneticPr fontId="8" type="noConversion"/>
  </si>
  <si>
    <t>13 造卖一价：报普通单，价格=315。</t>
    <phoneticPr fontId="8" type="noConversion"/>
  </si>
  <si>
    <t>14 条件单：tag59-有效期类型=3-立即完成否则撤销（FAK单），tag20006-触发条件=9- 卖一价大于条件价。 结果：tag150=M，尚未触发。</t>
    <phoneticPr fontId="8" type="noConversion"/>
  </si>
  <si>
    <t>16 条件单：tag59-有效期类型=3-立即完成否则撤销（FAK单），tag20006-触发条件=9- 卖一价大于条件价。 结果：tag150=M-&gt;L-&gt;A-&gt;4，立即触发后被撤单。</t>
    <phoneticPr fontId="8" type="noConversion"/>
  </si>
  <si>
    <t>17 条件单：tag59-有效期类型=3-立即完成否则撤销（FAK单），tag20006-触发条件=A- 卖一价大于等于条件价。 结果：tag150=M，尚未触发。（自动化时，将触发价=卖一价，以下若有等号的，均如此设计）</t>
    <phoneticPr fontId="8" type="noConversion"/>
  </si>
  <si>
    <t xml:space="preserve">18 条件单：tag59-有效期类型=3-立即完成否则撤销（FAK单），tag20006-触发条件=A- 卖一价大于等于条件价。 结果：tag150=M-&gt;L-&gt;A-&gt;4，触发后被撤单。 </t>
    <phoneticPr fontId="8" type="noConversion"/>
  </si>
  <si>
    <t xml:space="preserve">19 条件单：tag59-有效期类型=3-立即完成否则撤销（FAK单），tag20006-触发条件=B- 卖一价小于条件价 。 结果：tag150=M，尚未触发。 </t>
    <phoneticPr fontId="8" type="noConversion"/>
  </si>
  <si>
    <t xml:space="preserve">20 条件单：tag59-有效期类型=3-立即完成否则撤销（FAK单），tag20006-触发条件=B- 卖一价小于条件价 。 结果：tag150=M-&gt;L-&gt;A-&gt;4，触发后被撤单。 </t>
    <phoneticPr fontId="8" type="noConversion"/>
  </si>
  <si>
    <t xml:space="preserve">21 条件单：tag59-有效期类型=3-立即完成否则撤销（FAK单），tag20006-触发条件=C- 卖一价小于等于条件价 。 结果：tag150=M，尚未触发。 </t>
    <phoneticPr fontId="8" type="noConversion"/>
  </si>
  <si>
    <t xml:space="preserve">22 条件单：tag59-有效期类型=3-立即完成否则撤销（FAK单），tag20006-触发条件=C- 卖一价小于等于条件价 。 结果：tag150=M-&gt;L-&gt;A-&gt;4，触发后被撤单。 </t>
    <phoneticPr fontId="8" type="noConversion"/>
  </si>
  <si>
    <t>23 造买一价：普通报单，买一价=310。</t>
    <phoneticPr fontId="8" type="noConversion"/>
  </si>
  <si>
    <t xml:space="preserve">24 条件单：tag59-有效期类型=4-全部成交或全部撤销（FOK单），tag20006-触发条件=D- 买一价大于条件价 。 结果：tag150=M，尚未触发。 </t>
    <phoneticPr fontId="8" type="noConversion"/>
  </si>
  <si>
    <t xml:space="preserve">25 条件单：tag59-有效期类型=4-全部成交或全部撤销（FOK单），tag20006-触发条件=D- 买一价大于条件价 。 结果：tag150=M-&gt;L-&gt;A-&gt;4，触发后被撤单。 </t>
    <phoneticPr fontId="8" type="noConversion"/>
  </si>
  <si>
    <t xml:space="preserve">26 条件单：tag59-有效期类型=4-全部成交或全部撤销（FOK单），tag20006-触发条件=H- 买一价小于等于条件价。 结果：tag150=M，尚未触发。 </t>
    <phoneticPr fontId="8" type="noConversion"/>
  </si>
  <si>
    <t xml:space="preserve">27 条件单：tag59-有效期类型=4-全部成交或全部撤销（FOK单），tag20006-触发条件=H- 买一价小于等于条件价。 结果：tag150=M-&gt;L-&gt;A-&gt;4，触发后被撤单。 </t>
    <phoneticPr fontId="8" type="noConversion"/>
  </si>
  <si>
    <t xml:space="preserve">28 条件单：tag59-有效期类型=4-全部成交或全部撤销（FOK单），tag20006-触发条件=E- 买一价大于等于条件价。 结果：tag150=M，尚未触发。 </t>
    <phoneticPr fontId="8" type="noConversion"/>
  </si>
  <si>
    <t xml:space="preserve">29 条件单：tag59-有效期类型=4-全部成交或全部撤销（FOK单），tag20006-触发条件=E- 买一价大于等于条件价。 结果：tag150=M-&gt;L-&gt;A-&gt;4，触发后被撤单。 </t>
    <phoneticPr fontId="8" type="noConversion"/>
  </si>
  <si>
    <t xml:space="preserve">30 条件单：tag59-有效期类型=4-全部成交或全部撤销（FOK单），tag20006-触发条件=F- 买一价小于条件价。 结果：tag150=M，尚未触发。 </t>
    <phoneticPr fontId="8" type="noConversion"/>
  </si>
  <si>
    <t xml:space="preserve">31 条件单：tag59-有效期类型=4-全部成交或全部撤销（FOK单），tag20006-触发条件=F- 买一价小于条件价。 结果：tag150=M-&gt;L-&gt;A-&gt;4，触发后被撤单。 </t>
    <phoneticPr fontId="8" type="noConversion"/>
  </si>
  <si>
    <t xml:space="preserve">32 条件单：tag59-有效期类型=6- 指定日期前有效 ，tag20006-触发条件=F- 买一价小于条件价。 结果：tag150=M，尚未触发。 </t>
    <phoneticPr fontId="8" type="noConversion"/>
  </si>
  <si>
    <t xml:space="preserve">33 条件单：tag59-有效期类型=7- 本节有效 ，tag20006-触发条件=F- 买一价小于条件价。 结果：tag150=M-&gt;L-&gt;A-&gt;8，触发后被拒绝。 </t>
    <phoneticPr fontId="8" type="noConversion"/>
  </si>
  <si>
    <t>106</t>
    <phoneticPr fontId="2" type="noConversion"/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</si>
  <si>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</si>
  <si>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</si>
  <si>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</si>
  <si>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</si>
  <si>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</si>
  <si>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</si>
  <si>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</si>
  <si>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</si>
  <si>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</si>
  <si>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</si>
  <si>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</si>
  <si>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</si>
  <si>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</si>
  <si>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</si>
  <si>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</si>
  <si>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</si>
  <si>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</si>
  <si>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</si>
  <si>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</si>
  <si>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</si>
  <si>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</si>
  <si>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8</t>
    <phoneticPr fontId="2" type="noConversion"/>
  </si>
  <si>
    <t>315</t>
    <phoneticPr fontId="2" type="noConversion"/>
  </si>
  <si>
    <t>3</t>
    <phoneticPr fontId="2" type="noConversion"/>
  </si>
  <si>
    <t>9</t>
    <phoneticPr fontId="2" type="noConversion"/>
  </si>
  <si>
    <t>9</t>
    <phoneticPr fontId="2" type="noConversion"/>
  </si>
  <si>
    <t>3</t>
    <phoneticPr fontId="2" type="noConversion"/>
  </si>
  <si>
    <t>315</t>
    <phoneticPr fontId="2" type="noConversion"/>
  </si>
  <si>
    <t>A</t>
    <phoneticPr fontId="2" type="noConversion"/>
  </si>
  <si>
    <t>B</t>
    <phoneticPr fontId="2" type="noConversion"/>
  </si>
  <si>
    <t>B</t>
    <phoneticPr fontId="2" type="noConversion"/>
  </si>
  <si>
    <t>C</t>
    <phoneticPr fontId="2" type="noConversion"/>
  </si>
  <si>
    <t>C</t>
    <phoneticPr fontId="2" type="noConversion"/>
  </si>
  <si>
    <t>310</t>
    <phoneticPr fontId="2" type="noConversion"/>
  </si>
  <si>
    <t>4</t>
    <phoneticPr fontId="2" type="noConversion"/>
  </si>
  <si>
    <t>D</t>
    <phoneticPr fontId="2" type="noConversion"/>
  </si>
  <si>
    <t>H</t>
    <phoneticPr fontId="2" type="noConversion"/>
  </si>
  <si>
    <t>E</t>
    <phoneticPr fontId="2" type="noConversion"/>
  </si>
  <si>
    <t>E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</si>
  <si>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</si>
  <si>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</si>
  <si>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</si>
  <si>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6</t>
    <phoneticPr fontId="2" type="noConversion"/>
  </si>
  <si>
    <t>测试案例说明（注1：所有的条件中是 ‘大于等于’或‘小于等于’，那么触发条件取得就是等号成立的情况。注2：下面说明文字前的数字序号 对应 本地小工具测试案例中的步骤序号。）</t>
    <phoneticPr fontId="2" type="noConversion"/>
  </si>
  <si>
    <t>ExecutionReportConditionalOrder</t>
    <phoneticPr fontId="2" type="noConversion"/>
  </si>
  <si>
    <t>106</t>
    <phoneticPr fontId="2" type="noConversion"/>
  </si>
  <si>
    <t>107</t>
    <phoneticPr fontId="2" type="noConversion"/>
  </si>
  <si>
    <t>109</t>
    <phoneticPr fontId="2" type="noConversion"/>
  </si>
  <si>
    <t>2</t>
    <phoneticPr fontId="2" type="noConversion"/>
  </si>
  <si>
    <t>8</t>
    <phoneticPr fontId="2" type="noConversion"/>
  </si>
  <si>
    <t>['35','40','54','77','44','38','39','150','20001','59','55','1','56','116','14','151','39','150','20006']</t>
    <phoneticPr fontId="2" type="noConversion"/>
  </si>
  <si>
    <t>315</t>
    <phoneticPr fontId="2" type="noConversion"/>
  </si>
  <si>
    <t>0</t>
    <phoneticPr fontId="2" type="noConversion"/>
  </si>
  <si>
    <t>0</t>
    <phoneticPr fontId="2" type="noConversion"/>
  </si>
  <si>
    <t>1</t>
    <phoneticPr fontId="2" type="noConversion"/>
  </si>
  <si>
    <t>112</t>
    <phoneticPr fontId="2" type="noConversion"/>
  </si>
  <si>
    <t>3</t>
    <phoneticPr fontId="2" type="noConversion"/>
  </si>
  <si>
    <t>8</t>
    <phoneticPr fontId="2" type="noConversion"/>
  </si>
  <si>
    <t>4</t>
    <phoneticPr fontId="2" type="noConversion"/>
  </si>
  <si>
    <t>9</t>
    <phoneticPr fontId="2" type="noConversion"/>
  </si>
  <si>
    <t>A</t>
    <phoneticPr fontId="2" type="noConversion"/>
  </si>
  <si>
    <t>4</t>
    <phoneticPr fontId="2" type="noConversion"/>
  </si>
  <si>
    <t>113</t>
    <phoneticPr fontId="2" type="noConversion"/>
  </si>
  <si>
    <t>114</t>
    <phoneticPr fontId="2" type="noConversion"/>
  </si>
  <si>
    <t>115</t>
    <phoneticPr fontId="2" type="noConversion"/>
  </si>
  <si>
    <t>B</t>
    <phoneticPr fontId="2" type="noConversion"/>
  </si>
  <si>
    <t>C</t>
    <phoneticPr fontId="2" type="noConversion"/>
  </si>
  <si>
    <t>117</t>
    <phoneticPr fontId="2" type="noConversion"/>
  </si>
  <si>
    <t>1</t>
    <phoneticPr fontId="2" type="noConversion"/>
  </si>
  <si>
    <t>FIX.4.2</t>
    <phoneticPr fontId="2" type="noConversion"/>
  </si>
  <si>
    <t>111</t>
    <phoneticPr fontId="2" type="noConversion"/>
  </si>
  <si>
    <t>1</t>
    <phoneticPr fontId="2" type="noConversion"/>
  </si>
  <si>
    <t>61441</t>
    <phoneticPr fontId="2" type="noConversion"/>
  </si>
  <si>
    <t>0</t>
    <phoneticPr fontId="2" type="noConversion"/>
  </si>
  <si>
    <t>108</t>
    <phoneticPr fontId="2" type="noConversion"/>
  </si>
  <si>
    <t>1</t>
    <phoneticPr fontId="2" type="noConversion"/>
  </si>
  <si>
    <t>A</t>
    <phoneticPr fontId="2" type="noConversion"/>
  </si>
  <si>
    <t>2</t>
    <phoneticPr fontId="2" type="noConversion"/>
  </si>
  <si>
    <t>315</t>
    <phoneticPr fontId="2" type="noConversion"/>
  </si>
  <si>
    <t>O</t>
    <phoneticPr fontId="2" type="noConversion"/>
  </si>
  <si>
    <t>A</t>
    <phoneticPr fontId="2" type="noConversion"/>
  </si>
  <si>
    <t>SHFE</t>
    <phoneticPr fontId="2" type="noConversion"/>
  </si>
  <si>
    <t>100</t>
    <phoneticPr fontId="2" type="noConversion"/>
  </si>
  <si>
    <t>FIX.4.2</t>
    <phoneticPr fontId="2" type="noConversion"/>
  </si>
  <si>
    <t>8</t>
    <phoneticPr fontId="2" type="noConversion"/>
  </si>
  <si>
    <t>4444</t>
    <phoneticPr fontId="2" type="noConversion"/>
  </si>
  <si>
    <t>61441</t>
    <phoneticPr fontId="2" type="noConversion"/>
  </si>
  <si>
    <t>0</t>
    <phoneticPr fontId="2" type="noConversion"/>
  </si>
  <si>
    <t>0</t>
    <phoneticPr fontId="2" type="noConversion"/>
  </si>
  <si>
    <t>0</t>
    <phoneticPr fontId="2" type="noConversion"/>
  </si>
  <si>
    <t>2</t>
    <phoneticPr fontId="2" type="noConversion"/>
  </si>
  <si>
    <t>315</t>
    <phoneticPr fontId="2" type="noConversion"/>
  </si>
  <si>
    <t>O</t>
    <phoneticPr fontId="2" type="noConversion"/>
  </si>
  <si>
    <t>1</t>
    <phoneticPr fontId="2" type="noConversion"/>
  </si>
  <si>
    <t>135</t>
    <phoneticPr fontId="2" type="noConversion"/>
  </si>
  <si>
    <t>['35','40','54','77','44','38','39','150','20001','59','55','1','56','116','14','151','39','150']</t>
    <phoneticPr fontId="2" type="noConversion"/>
  </si>
  <si>
    <t>118</t>
    <phoneticPr fontId="2" type="noConversion"/>
  </si>
  <si>
    <t>119</t>
    <phoneticPr fontId="2" type="noConversion"/>
  </si>
  <si>
    <t>120</t>
    <phoneticPr fontId="2" type="noConversion"/>
  </si>
  <si>
    <t>121</t>
    <phoneticPr fontId="2" type="noConversion"/>
  </si>
  <si>
    <t>4</t>
    <phoneticPr fontId="2" type="noConversion"/>
  </si>
  <si>
    <t>H</t>
    <phoneticPr fontId="2" type="noConversion"/>
  </si>
  <si>
    <t>E</t>
    <phoneticPr fontId="2" type="noConversion"/>
  </si>
  <si>
    <t>122</t>
    <phoneticPr fontId="2" type="noConversion"/>
  </si>
  <si>
    <t>123</t>
    <phoneticPr fontId="2" type="noConversion"/>
  </si>
  <si>
    <t>124</t>
    <phoneticPr fontId="2" type="noConversion"/>
  </si>
  <si>
    <t>125</t>
    <phoneticPr fontId="2" type="noConversion"/>
  </si>
  <si>
    <t>126</t>
    <phoneticPr fontId="2" type="noConversion"/>
  </si>
  <si>
    <t>127</t>
    <phoneticPr fontId="2" type="noConversion"/>
  </si>
  <si>
    <t>7</t>
    <phoneticPr fontId="2" type="noConversion"/>
  </si>
  <si>
    <t>2019/12/30</t>
    <phoneticPr fontId="2" type="noConversion"/>
  </si>
  <si>
    <t>2019/12/30</t>
    <phoneticPr fontId="2" type="noConversion"/>
  </si>
  <si>
    <t>被CTP拒绝的条件单：tag59-有效期类型=4-全部成交或全部撤销（FOK单），tag20006-触发条件=E- 买一价大于等于条件价 （结果：35=3）。</t>
    <phoneticPr fontId="8" type="noConversion"/>
  </si>
  <si>
    <t>被Fix拒绝的条件单：tag59-有效期类型=4-全部成交或全部撤销（FOK单），tag20006-触发条件=E- 买一价大于等于条件价（结果：35=j）。</t>
    <phoneticPr fontId="8" type="noConversion"/>
  </si>
  <si>
    <t>RefMsgType</t>
    <phoneticPr fontId="2" type="noConversion"/>
  </si>
  <si>
    <t>1</t>
    <phoneticPr fontId="2" type="noConversion"/>
  </si>
  <si>
    <t>0</t>
    <phoneticPr fontId="2" type="noConversion"/>
  </si>
  <si>
    <t>128</t>
    <phoneticPr fontId="2" type="noConversion"/>
  </si>
  <si>
    <t>D</t>
    <phoneticPr fontId="2" type="noConversion"/>
  </si>
  <si>
    <t>D</t>
    <phoneticPr fontId="2" type="noConversion"/>
  </si>
  <si>
    <t>['35','372']</t>
    <phoneticPr fontId="2" type="noConversion"/>
  </si>
  <si>
    <t>FIX.4.2</t>
    <phoneticPr fontId="2" type="noConversion"/>
  </si>
  <si>
    <t>111</t>
    <phoneticPr fontId="2" type="noConversion"/>
  </si>
  <si>
    <t>j</t>
    <phoneticPr fontId="2" type="noConversion"/>
  </si>
  <si>
    <t>61441</t>
    <phoneticPr fontId="2" type="noConversion"/>
  </si>
  <si>
    <t>129</t>
    <phoneticPr fontId="2" type="noConversion"/>
  </si>
  <si>
    <t>135</t>
    <phoneticPr fontId="2" type="noConversion"/>
  </si>
  <si>
    <t>['35','372']</t>
    <phoneticPr fontId="2" type="noConversion"/>
  </si>
  <si>
    <t>FIX.4.2</t>
    <phoneticPr fontId="2" type="noConversion"/>
  </si>
  <si>
    <t>128</t>
    <phoneticPr fontId="2" type="noConversion"/>
  </si>
  <si>
    <t>0</t>
    <phoneticPr fontId="2" type="noConversion"/>
  </si>
  <si>
    <t>3</t>
    <phoneticPr fontId="2" type="noConversion"/>
  </si>
  <si>
    <t>2</t>
    <phoneticPr fontId="2" type="noConversion"/>
  </si>
  <si>
    <t>310</t>
    <phoneticPr fontId="2" type="noConversion"/>
  </si>
  <si>
    <t>310</t>
    <phoneticPr fontId="2" type="noConversion"/>
  </si>
  <si>
    <t>SHFE</t>
    <phoneticPr fontId="2" type="noConversion"/>
  </si>
  <si>
    <t>N</t>
    <phoneticPr fontId="2" type="noConversion"/>
  </si>
  <si>
    <t>E</t>
    <phoneticPr fontId="2" type="noConversion"/>
  </si>
  <si>
    <t>111</t>
    <phoneticPr fontId="2" type="noConversion"/>
  </si>
  <si>
    <t>4444</t>
    <phoneticPr fontId="2" type="noConversion"/>
  </si>
  <si>
    <t>129</t>
  </si>
  <si>
    <t>6</t>
    <phoneticPr fontId="2" type="noConversion"/>
  </si>
  <si>
    <t>自动化测试用例 设计说明：
1、执行环境：使用 au1203合约，行情最新价=305.71，涨/跌停价分别为 320.99、290.42；
2、条件单 约束条件为 最新价相关的 报单：委托价 tag44=305，触发价tag99有 300、305.71、315等3个值。
3、报普通单造的数据：卖一价=315、买一价=310。
4、条件单 约束条件为 卖一价相关的 报单：卖开，委托价 tag44=315，触发价tag99有 310、315、318等3个值。
5、条件单 约束条件为 买一价相关的 报单：买开，委托价 tag44=310，触发价tag99有 300、310、318等3个值。</t>
  </si>
  <si>
    <t>au1203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</si>
</sst>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9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10"/>
      <color theme="1"/>
      <name val="等线"/>
      <family val="2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0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0" fontId="0" fillId="0" borderId="0" xfId="0" quotePrefix="1" applyAlignment="1">
      <alignment horizontal="left"/>
    </xf>
    <xf numFmtId="0" fontId="7" fillId="0" borderId="0" xfId="0" quotePrefix="1" applyFont="1"/>
    <xf numFmtId="0" fontId="9" fillId="0" borderId="0" xfId="0" applyFont="1" applyAlignment="1">
      <alignment vertical="center"/>
    </xf>
    <xf numFmtId="0" fontId="10" fillId="0" borderId="0" xfId="0" quotePrefix="1" applyFont="1"/>
    <xf numFmtId="49" fontId="7" fillId="0" borderId="0" xfId="0" quotePrefix="1" applyNumberFormat="1" applyFont="1"/>
    <xf numFmtId="0" fontId="12" fillId="0" borderId="0" xfId="0" quotePrefix="1" applyFont="1"/>
    <xf numFmtId="176" fontId="0" fillId="0" borderId="0" xfId="0" quotePrefix="1" applyNumberFormat="1"/>
    <xf numFmtId="0" fontId="0" fillId="2" borderId="0" xfId="0" quotePrefix="1" applyFill="1"/>
    <xf numFmtId="49" fontId="0" fillId="2" borderId="0" xfId="0" quotePrefix="1" applyNumberFormat="1" applyFill="1"/>
    <xf numFmtId="22" fontId="0" fillId="2" borderId="0" xfId="0" applyNumberFormat="1" applyFill="1"/>
    <xf numFmtId="0" fontId="0" fillId="2" borderId="0" xfId="0" applyFill="1"/>
    <xf numFmtId="0" fontId="3" fillId="2" borderId="0" xfId="1" applyFill="1"/>
    <xf numFmtId="0" fontId="0" fillId="0" borderId="0" xfId="0" quotePrefix="1" applyFill="1"/>
    <xf numFmtId="49" fontId="0" fillId="0" borderId="0" xfId="0" quotePrefix="1" applyNumberFormat="1" applyFill="1"/>
    <xf numFmtId="22" fontId="0" fillId="0" borderId="0" xfId="0" applyNumberFormat="1" applyFill="1"/>
    <xf numFmtId="0" fontId="0" fillId="0" borderId="0" xfId="0" applyFill="1"/>
    <xf numFmtId="176" fontId="0" fillId="0" borderId="0" xfId="0" quotePrefix="1" applyNumberFormat="1" applyFill="1"/>
    <xf numFmtId="49" fontId="0" fillId="2" borderId="0" xfId="0" applyNumberFormat="1" applyFill="1"/>
    <xf numFmtId="0" fontId="0" fillId="2" borderId="0" xfId="0" quotePrefix="1" applyFill="1" applyAlignment="1">
      <alignment horizontal="left"/>
    </xf>
    <xf numFmtId="0" fontId="9" fillId="2" borderId="0" xfId="0" applyFont="1" applyFill="1" applyAlignment="1">
      <alignment vertical="center"/>
    </xf>
    <xf numFmtId="0" fontId="3" fillId="0" borderId="0" xfId="1" applyFill="1"/>
    <xf numFmtId="0" fontId="0" fillId="3" borderId="0" xfId="0" quotePrefix="1" applyFill="1"/>
    <xf numFmtId="49" fontId="0" fillId="3" borderId="0" xfId="0" quotePrefix="1" applyNumberFormat="1" applyFill="1"/>
    <xf numFmtId="22" fontId="0" fillId="3" borderId="0" xfId="0" applyNumberFormat="1" applyFill="1"/>
    <xf numFmtId="0" fontId="0" fillId="3" borderId="0" xfId="0" applyFill="1"/>
    <xf numFmtId="0" fontId="9" fillId="0" borderId="0" xfId="0" applyFont="1" applyFill="1" applyAlignment="1">
      <alignment vertical="center"/>
    </xf>
    <xf numFmtId="0" fontId="3" fillId="3" borderId="0" xfId="1" applyFill="1"/>
    <xf numFmtId="0" fontId="9" fillId="3" borderId="0" xfId="0" applyFont="1" applyFill="1" applyAlignment="1">
      <alignment vertical="center"/>
    </xf>
    <xf numFmtId="0" fontId="11" fillId="0" borderId="0" xfId="0" applyFont="1" applyFill="1" applyAlignment="1"/>
    <xf numFmtId="0" fontId="0" fillId="0" borderId="0" xfId="0" quotePrefix="1" applyFont="1" applyFill="1"/>
    <xf numFmtId="0" fontId="0" fillId="0" borderId="0" xfId="0" applyFont="1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quotePrefix="1" applyNumberFormat="1" applyAlignment="1">
      <alignment vertical="center"/>
    </xf>
    <xf numFmtId="0" fontId="0" fillId="0" borderId="0" xfId="0" quotePrefix="1" applyAlignment="1">
      <alignment vertical="center"/>
    </xf>
    <xf numFmtId="22" fontId="0" fillId="0" borderId="0" xfId="0" applyNumberFormat="1" applyAlignment="1">
      <alignment vertical="center"/>
    </xf>
    <xf numFmtId="22" fontId="0" fillId="0" borderId="0" xfId="0" quotePrefix="1" applyNumberFormat="1" applyAlignment="1">
      <alignment vertical="center"/>
    </xf>
    <xf numFmtId="0" fontId="0" fillId="2" borderId="0" xfId="0" applyFill="1" applyAlignment="1">
      <alignment vertical="center"/>
    </xf>
    <xf numFmtId="22" fontId="0" fillId="2" borderId="0" xfId="0" applyNumberFormat="1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quotePrefix="1" applyFill="1" applyAlignment="1">
      <alignment vertical="center"/>
    </xf>
    <xf numFmtId="0" fontId="0" fillId="3" borderId="0" xfId="0" applyFill="1" applyAlignment="1">
      <alignment vertical="center"/>
    </xf>
    <xf numFmtId="22" fontId="0" fillId="3" borderId="0" xfId="0" applyNumberFormat="1" applyFill="1" applyAlignment="1">
      <alignment vertical="center"/>
    </xf>
    <xf numFmtId="0" fontId="0" fillId="3" borderId="0" xfId="0" quotePrefix="1" applyFill="1" applyAlignment="1">
      <alignment vertical="center"/>
    </xf>
    <xf numFmtId="0" fontId="0" fillId="0" borderId="0" xfId="0" quotePrefix="1" applyFont="1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quotePrefix="1" applyFont="1" applyFill="1"/>
    <xf numFmtId="0" fontId="0" fillId="3" borderId="0" xfId="0" quotePrefix="1" applyFont="1" applyFill="1"/>
    <xf numFmtId="176" fontId="13" fillId="0" borderId="0" xfId="0" quotePrefix="1" applyNumberFormat="1" applyFont="1"/>
    <xf numFmtId="176" fontId="13" fillId="2" borderId="0" xfId="0" quotePrefix="1" applyNumberFormat="1" applyFont="1" applyFill="1"/>
    <xf numFmtId="0" fontId="10" fillId="0" borderId="0" xfId="0" quotePrefix="1" applyFont="1" applyFill="1"/>
    <xf numFmtId="0" fontId="10" fillId="2" borderId="0" xfId="0" quotePrefix="1" applyFont="1" applyFill="1"/>
    <xf numFmtId="0" fontId="12" fillId="0" borderId="0" xfId="0" quotePrefix="1" applyFont="1" applyFill="1"/>
    <xf numFmtId="0" fontId="13" fillId="2" borderId="0" xfId="0" quotePrefix="1" applyFont="1" applyFill="1"/>
    <xf numFmtId="0" fontId="13" fillId="0" borderId="0" xfId="0" quotePrefix="1" applyFont="1" applyFill="1"/>
    <xf numFmtId="0" fontId="13" fillId="3" borderId="0" xfId="0" quotePrefix="1" applyFont="1" applyFill="1"/>
    <xf numFmtId="0" fontId="14" fillId="0" borderId="0" xfId="0" quotePrefix="1" applyFont="1" applyFill="1"/>
    <xf numFmtId="176" fontId="13" fillId="0" borderId="0" xfId="0" quotePrefix="1" applyNumberFormat="1" applyFont="1" applyFill="1"/>
    <xf numFmtId="176" fontId="13" fillId="3" borderId="0" xfId="0" quotePrefix="1" applyNumberFormat="1" applyFont="1" applyFill="1"/>
    <xf numFmtId="0" fontId="13" fillId="0" borderId="0" xfId="0" quotePrefix="1" applyFont="1"/>
    <xf numFmtId="0" fontId="15" fillId="0" borderId="0" xfId="0" applyFont="1" applyAlignment="1">
      <alignment vertical="center"/>
    </xf>
    <xf numFmtId="0" fontId="0" fillId="0" borderId="0" xfId="0" quotePrefix="1" applyFill="1" applyAlignment="1">
      <alignment horizontal="left"/>
    </xf>
    <xf numFmtId="49" fontId="0" fillId="0" borderId="0" xfId="0" applyNumberFormat="1" applyFill="1"/>
    <xf numFmtId="0" fontId="16" fillId="2" borderId="0" xfId="0" quotePrefix="1" applyFont="1" applyFill="1"/>
    <xf numFmtId="0" fontId="16" fillId="0" borderId="0" xfId="0" quotePrefix="1" applyFont="1" applyFill="1"/>
    <xf numFmtId="0" fontId="17" fillId="2" borderId="0" xfId="0" quotePrefix="1" applyFont="1" applyFill="1"/>
    <xf numFmtId="22" fontId="18" fillId="2" borderId="0" xfId="0" applyNumberFormat="1" applyFont="1" applyFill="1"/>
    <xf numFmtId="49" fontId="18" fillId="2" borderId="0" xfId="0" quotePrefix="1" applyNumberFormat="1" applyFont="1" applyFill="1"/>
    <xf numFmtId="0" fontId="18" fillId="2" borderId="0" xfId="0" applyFont="1" applyFill="1"/>
    <xf numFmtId="49" fontId="18" fillId="2" borderId="0" xfId="0" applyNumberFormat="1" applyFont="1" applyFill="1"/>
    <xf numFmtId="0" fontId="18" fillId="2" borderId="0" xfId="0" quotePrefix="1" applyFont="1" applyFill="1" applyAlignment="1">
      <alignment horizontal="left"/>
    </xf>
    <xf numFmtId="0" fontId="17" fillId="0" borderId="0" xfId="0" quotePrefix="1" applyFont="1" applyFill="1"/>
    <xf numFmtId="22" fontId="18" fillId="0" borderId="0" xfId="0" applyNumberFormat="1" applyFont="1" applyFill="1"/>
    <xf numFmtId="49" fontId="18" fillId="0" borderId="0" xfId="0" quotePrefix="1" applyNumberFormat="1" applyFont="1" applyFill="1"/>
    <xf numFmtId="0" fontId="18" fillId="0" borderId="0" xfId="0" applyFont="1" applyFill="1"/>
    <xf numFmtId="49" fontId="18" fillId="0" borderId="0" xfId="0" applyNumberFormat="1" applyFont="1" applyFill="1"/>
    <xf numFmtId="0" fontId="18" fillId="0" borderId="0" xfId="0" quotePrefix="1" applyFont="1" applyFill="1"/>
    <xf numFmtId="0" fontId="18" fillId="0" borderId="0" xfId="0" quotePrefix="1" applyFont="1" applyFill="1" applyAlignment="1">
      <alignment horizontal="left"/>
    </xf>
    <xf numFmtId="0" fontId="17" fillId="3" borderId="0" xfId="0" quotePrefix="1" applyFont="1" applyFill="1"/>
    <xf numFmtId="22" fontId="18" fillId="3" borderId="0" xfId="0" applyNumberFormat="1" applyFont="1" applyFill="1"/>
    <xf numFmtId="49" fontId="18" fillId="3" borderId="0" xfId="0" quotePrefix="1" applyNumberFormat="1" applyFont="1" applyFill="1"/>
    <xf numFmtId="0" fontId="14" fillId="3" borderId="0" xfId="0" quotePrefix="1" applyFont="1" applyFill="1"/>
    <xf numFmtId="0" fontId="18" fillId="3" borderId="0" xfId="0" applyFont="1" applyFill="1"/>
    <xf numFmtId="49" fontId="18" fillId="3" borderId="0" xfId="0" applyNumberFormat="1" applyFont="1" applyFill="1"/>
    <xf numFmtId="0" fontId="18" fillId="3" borderId="0" xfId="0" quotePrefix="1" applyFont="1" applyFill="1"/>
    <xf numFmtId="0" fontId="18" fillId="3" borderId="0" xfId="0" quotePrefix="1" applyFont="1" applyFill="1" applyAlignment="1">
      <alignment horizontal="left"/>
    </xf>
    <xf numFmtId="0" fontId="10" fillId="0" borderId="0" xfId="0" applyFont="1"/>
    <xf numFmtId="49" fontId="14" fillId="0" borderId="0" xfId="0" applyNumberFormat="1" applyFont="1" applyFill="1"/>
    <xf numFmtId="49" fontId="13" fillId="0" borderId="0" xfId="0" applyNumberFormat="1" applyFont="1" applyFill="1"/>
    <xf numFmtId="0" fontId="13" fillId="0" borderId="0" xfId="0" applyFont="1"/>
    <xf numFmtId="0" fontId="4" fillId="0" borderId="0" xfId="0" applyFont="1" applyAlignment="1">
      <alignment vertical="center"/>
    </xf>
    <xf numFmtId="0" fontId="3" fillId="0" borderId="0" xfId="1" applyAlignment="1">
      <alignment vertical="center"/>
    </xf>
    <xf numFmtId="0" fontId="3" fillId="2" borderId="0" xfId="1" applyFill="1" applyAlignment="1">
      <alignment vertical="center"/>
    </xf>
    <xf numFmtId="0" fontId="3" fillId="3" borderId="0" xfId="1" applyFill="1" applyAlignment="1">
      <alignment vertical="center"/>
    </xf>
    <xf numFmtId="176" fontId="0" fillId="2" borderId="0" xfId="0" quotePrefix="1" applyNumberFormat="1" applyFill="1"/>
    <xf numFmtId="0" fontId="0" fillId="0" borderId="0" xfId="0" quotePrefix="1" applyFont="1" applyAlignment="1">
      <alignment horizontal="left" vertical="center" wrapText="1"/>
    </xf>
    <xf numFmtId="0" fontId="0" fillId="0" borderId="0" xfId="0" quotePrefix="1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topLeftCell="A22" workbookViewId="0">
      <selection activeCell="B30" sqref="B30"/>
    </sheetView>
  </sheetViews>
  <sheetFormatPr defaultRowHeight="14.25"/>
  <cols>
    <col min="2" max="2" width="25.75" customWidth="1"/>
    <col min="3" max="3" width="24.375" customWidth="1"/>
    <col min="5" max="5" width="9" style="38"/>
    <col min="6" max="35" width="9" style="23"/>
  </cols>
  <sheetData>
    <row r="1" spans="1:35">
      <c r="A1" t="s">
        <v>67</v>
      </c>
      <c r="B1" s="5" t="s">
        <v>65</v>
      </c>
      <c r="C1" s="5" t="s">
        <v>197</v>
      </c>
      <c r="D1" s="5" t="s">
        <v>66</v>
      </c>
      <c r="E1" s="36"/>
    </row>
    <row r="2" spans="1:35" ht="16.5">
      <c r="A2">
        <v>1</v>
      </c>
      <c r="B2" s="6" t="str">
        <f t="shared" ref="B2:B31" si="0">HYPERLINK("#"&amp;C2&amp;"!A"&amp;(D2+3),C2)</f>
        <v>NewOrderSingleConditional</v>
      </c>
      <c r="C2" t="s">
        <v>426</v>
      </c>
      <c r="D2">
        <v>1</v>
      </c>
      <c r="E2" s="33"/>
    </row>
    <row r="3" spans="1:35" ht="16.5">
      <c r="A3">
        <v>2</v>
      </c>
      <c r="B3" s="6" t="str">
        <f t="shared" si="0"/>
        <v>NewOrderSingleConditional</v>
      </c>
      <c r="C3" t="s">
        <v>426</v>
      </c>
      <c r="D3">
        <v>2</v>
      </c>
      <c r="E3" s="33"/>
    </row>
    <row r="4" spans="1:35" ht="16.5">
      <c r="A4">
        <v>3</v>
      </c>
      <c r="B4" s="6" t="str">
        <f t="shared" si="0"/>
        <v>NewOrderSingleConditional</v>
      </c>
      <c r="C4" t="s">
        <v>426</v>
      </c>
      <c r="D4">
        <v>3</v>
      </c>
      <c r="E4" s="33"/>
    </row>
    <row r="5" spans="1:35" ht="16.5">
      <c r="A5">
        <v>4</v>
      </c>
      <c r="B5" s="6" t="str">
        <f t="shared" si="0"/>
        <v>NewOrderSingleConditional</v>
      </c>
      <c r="C5" t="s">
        <v>426</v>
      </c>
      <c r="D5">
        <v>4</v>
      </c>
      <c r="E5" s="33"/>
    </row>
    <row r="6" spans="1:35" ht="16.5">
      <c r="A6">
        <v>5</v>
      </c>
      <c r="B6" s="6" t="str">
        <f t="shared" si="0"/>
        <v>NewOrderSingleConditional</v>
      </c>
      <c r="C6" t="s">
        <v>426</v>
      </c>
      <c r="D6">
        <v>5</v>
      </c>
      <c r="E6" s="33"/>
    </row>
    <row r="7" spans="1:35" s="18" customFormat="1" ht="16.5">
      <c r="A7" s="18">
        <v>6</v>
      </c>
      <c r="B7" s="19" t="str">
        <f t="shared" si="0"/>
        <v>NewOrderSingleConditional</v>
      </c>
      <c r="C7" s="18" t="s">
        <v>426</v>
      </c>
      <c r="D7" s="18">
        <v>6</v>
      </c>
      <c r="E7" s="27"/>
    </row>
    <row r="8" spans="1:35" s="23" customFormat="1" ht="16.5">
      <c r="A8" s="23">
        <v>7</v>
      </c>
      <c r="B8" s="6" t="str">
        <f t="shared" si="0"/>
        <v>NewOrderSingleConditional</v>
      </c>
      <c r="C8" s="23" t="s">
        <v>426</v>
      </c>
      <c r="D8" s="23">
        <v>7</v>
      </c>
      <c r="E8" s="33"/>
    </row>
    <row r="9" spans="1:35" s="23" customFormat="1" ht="16.5">
      <c r="A9" s="23">
        <v>8</v>
      </c>
      <c r="B9" s="6" t="str">
        <f t="shared" si="0"/>
        <v>NewOrderSingleConditional</v>
      </c>
      <c r="C9" s="23" t="s">
        <v>426</v>
      </c>
      <c r="D9" s="23">
        <v>8</v>
      </c>
      <c r="E9" s="33"/>
    </row>
    <row r="10" spans="1:35" s="23" customFormat="1" ht="16.5">
      <c r="A10" s="23">
        <v>9</v>
      </c>
      <c r="B10" s="6" t="str">
        <f t="shared" si="0"/>
        <v>NewOrderSingleConditional</v>
      </c>
      <c r="C10" s="23" t="s">
        <v>426</v>
      </c>
      <c r="D10" s="23">
        <v>9</v>
      </c>
      <c r="E10" s="33"/>
    </row>
    <row r="11" spans="1:35" s="18" customFormat="1" ht="16.5">
      <c r="A11" s="18">
        <v>10</v>
      </c>
      <c r="B11" s="19" t="str">
        <f t="shared" si="0"/>
        <v>NewOrderSingleConditional</v>
      </c>
      <c r="C11" s="18" t="s">
        <v>426</v>
      </c>
      <c r="D11" s="18">
        <v>10</v>
      </c>
      <c r="E11" s="27"/>
    </row>
    <row r="12" spans="1:35" s="23" customFormat="1" ht="16.5">
      <c r="A12" s="23">
        <v>11</v>
      </c>
      <c r="B12" s="6" t="str">
        <f t="shared" si="0"/>
        <v>NewOrderSingleConditional</v>
      </c>
      <c r="C12" s="23" t="s">
        <v>426</v>
      </c>
      <c r="D12" s="23">
        <v>11</v>
      </c>
      <c r="E12" s="33"/>
    </row>
    <row r="13" spans="1:35" s="18" customFormat="1" ht="16.5">
      <c r="A13" s="23">
        <v>12</v>
      </c>
      <c r="B13" s="6" t="str">
        <f t="shared" si="0"/>
        <v>NewOrderSingleConditional</v>
      </c>
      <c r="C13" s="23" t="s">
        <v>426</v>
      </c>
      <c r="D13" s="23">
        <v>12</v>
      </c>
      <c r="E13" s="3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s="18" customFormat="1" ht="16.5">
      <c r="A14" s="18">
        <v>13</v>
      </c>
      <c r="B14" s="19" t="str">
        <f t="shared" si="0"/>
        <v>NewOrderSingleConditional</v>
      </c>
      <c r="C14" s="18" t="s">
        <v>426</v>
      </c>
      <c r="D14" s="18">
        <v>13</v>
      </c>
      <c r="E14" s="27"/>
    </row>
    <row r="15" spans="1:35" s="23" customFormat="1" ht="16.5">
      <c r="A15" s="23">
        <v>14</v>
      </c>
      <c r="B15" s="6" t="str">
        <f t="shared" si="0"/>
        <v>NewOrderSingleConditional</v>
      </c>
      <c r="C15" s="23" t="s">
        <v>426</v>
      </c>
      <c r="D15" s="23">
        <v>14</v>
      </c>
      <c r="E15" s="33"/>
    </row>
    <row r="16" spans="1:35" s="23" customFormat="1" ht="16.5">
      <c r="A16" s="23">
        <v>15</v>
      </c>
      <c r="B16" s="6" t="str">
        <f t="shared" si="0"/>
        <v>NewOrderSingleConditional</v>
      </c>
      <c r="C16" s="23" t="s">
        <v>426</v>
      </c>
      <c r="D16" s="23">
        <v>15</v>
      </c>
      <c r="E16" s="33"/>
    </row>
    <row r="17" spans="1:5" s="23" customFormat="1" ht="16.5">
      <c r="A17" s="23">
        <v>16</v>
      </c>
      <c r="B17" s="6" t="str">
        <f t="shared" si="0"/>
        <v>NewOrderSingleConditional</v>
      </c>
      <c r="C17" s="23" t="s">
        <v>426</v>
      </c>
      <c r="D17" s="23">
        <v>16</v>
      </c>
      <c r="E17" s="33"/>
    </row>
    <row r="18" spans="1:5" s="32" customFormat="1" ht="16.5">
      <c r="A18" s="32">
        <v>17</v>
      </c>
      <c r="B18" s="34" t="str">
        <f t="shared" si="0"/>
        <v>NewOrderSingleConditional</v>
      </c>
      <c r="C18" s="32" t="s">
        <v>426</v>
      </c>
      <c r="D18" s="32">
        <v>17</v>
      </c>
      <c r="E18" s="35"/>
    </row>
    <row r="19" spans="1:5" s="23" customFormat="1" ht="16.5">
      <c r="A19" s="23">
        <v>18</v>
      </c>
      <c r="B19" s="6" t="str">
        <f t="shared" si="0"/>
        <v>NewOrderSingleConditional</v>
      </c>
      <c r="C19" s="23" t="s">
        <v>426</v>
      </c>
      <c r="D19" s="23">
        <v>18</v>
      </c>
      <c r="E19" s="33"/>
    </row>
    <row r="20" spans="1:5" s="23" customFormat="1" ht="16.5">
      <c r="A20" s="23">
        <v>19</v>
      </c>
      <c r="B20" s="6" t="str">
        <f t="shared" si="0"/>
        <v>NewOrderSingleConditional</v>
      </c>
      <c r="C20" s="23" t="s">
        <v>426</v>
      </c>
      <c r="D20" s="23">
        <v>19</v>
      </c>
      <c r="E20" s="33"/>
    </row>
    <row r="21" spans="1:5" s="23" customFormat="1" ht="16.5">
      <c r="A21" s="23">
        <v>20</v>
      </c>
      <c r="B21" s="6" t="str">
        <f t="shared" si="0"/>
        <v>NewOrderSingleConditional</v>
      </c>
      <c r="C21" s="23" t="s">
        <v>426</v>
      </c>
      <c r="D21" s="23">
        <v>20</v>
      </c>
      <c r="E21" s="33"/>
    </row>
    <row r="22" spans="1:5" s="23" customFormat="1" ht="16.5">
      <c r="A22" s="23">
        <v>21</v>
      </c>
      <c r="B22" s="6" t="str">
        <f t="shared" si="0"/>
        <v>NewOrderSingleConditional</v>
      </c>
      <c r="C22" s="23" t="s">
        <v>426</v>
      </c>
      <c r="D22" s="23">
        <v>21</v>
      </c>
      <c r="E22" s="33"/>
    </row>
    <row r="23" spans="1:5" s="18" customFormat="1" ht="16.5">
      <c r="A23" s="18">
        <v>22</v>
      </c>
      <c r="B23" s="19" t="str">
        <f t="shared" si="0"/>
        <v>NewOrderSingleConditional</v>
      </c>
      <c r="C23" s="18" t="s">
        <v>426</v>
      </c>
      <c r="D23" s="18">
        <v>22</v>
      </c>
      <c r="E23" s="27"/>
    </row>
    <row r="24" spans="1:5" s="23" customFormat="1" ht="16.5">
      <c r="A24" s="23">
        <v>23</v>
      </c>
      <c r="B24" s="6" t="str">
        <f t="shared" si="0"/>
        <v>NewOrderSingleConditional</v>
      </c>
      <c r="C24" s="23" t="s">
        <v>426</v>
      </c>
      <c r="D24" s="23">
        <v>23</v>
      </c>
      <c r="E24" s="33"/>
    </row>
    <row r="25" spans="1:5" s="23" customFormat="1" ht="16.5">
      <c r="A25" s="23">
        <v>24</v>
      </c>
      <c r="B25" s="6" t="str">
        <f t="shared" si="0"/>
        <v>NewOrderSingleConditional</v>
      </c>
      <c r="C25" s="23" t="s">
        <v>426</v>
      </c>
      <c r="D25" s="23">
        <v>24</v>
      </c>
      <c r="E25" s="33"/>
    </row>
    <row r="26" spans="1:5" s="23" customFormat="1" ht="16.5">
      <c r="A26" s="23">
        <v>25</v>
      </c>
      <c r="B26" s="6" t="str">
        <f t="shared" si="0"/>
        <v>NewOrderSingleConditional</v>
      </c>
      <c r="C26" s="23" t="s">
        <v>426</v>
      </c>
      <c r="D26" s="23">
        <v>25</v>
      </c>
      <c r="E26" s="33"/>
    </row>
    <row r="27" spans="1:5" s="18" customFormat="1" ht="16.5">
      <c r="A27" s="18">
        <v>26</v>
      </c>
      <c r="B27" s="19" t="str">
        <f t="shared" si="0"/>
        <v>NewOrderSingleConditional</v>
      </c>
      <c r="C27" s="18" t="s">
        <v>426</v>
      </c>
      <c r="D27" s="18">
        <v>26</v>
      </c>
      <c r="E27" s="27"/>
    </row>
    <row r="28" spans="1:5" s="23" customFormat="1" ht="16.5">
      <c r="A28" s="23">
        <v>27</v>
      </c>
      <c r="B28" s="6" t="str">
        <f t="shared" si="0"/>
        <v>NewOrderSingleConditional</v>
      </c>
      <c r="C28" s="23" t="s">
        <v>426</v>
      </c>
      <c r="D28" s="23">
        <v>27</v>
      </c>
      <c r="E28" s="33"/>
    </row>
    <row r="29" spans="1:5" s="18" customFormat="1" ht="16.5">
      <c r="A29" s="18">
        <v>28</v>
      </c>
      <c r="B29" s="19" t="str">
        <f t="shared" si="0"/>
        <v>NewOrderSingleConditional</v>
      </c>
      <c r="C29" s="18" t="s">
        <v>426</v>
      </c>
      <c r="D29" s="18">
        <v>28</v>
      </c>
      <c r="E29" s="27"/>
    </row>
    <row r="30" spans="1:5">
      <c r="A30" s="23">
        <v>29</v>
      </c>
      <c r="B30" s="6" t="str">
        <f t="shared" si="0"/>
        <v>NewOrderSingleConditional</v>
      </c>
      <c r="C30" s="23" t="s">
        <v>426</v>
      </c>
      <c r="D30" s="23">
        <v>29</v>
      </c>
      <c r="E30" s="37"/>
    </row>
    <row r="31" spans="1:5">
      <c r="A31" s="23">
        <v>30</v>
      </c>
      <c r="B31" s="6" t="str">
        <f t="shared" si="0"/>
        <v>NewOrderSingleConditional</v>
      </c>
      <c r="C31" s="23" t="s">
        <v>426</v>
      </c>
      <c r="D31" s="23">
        <v>30</v>
      </c>
      <c r="E31" s="37"/>
    </row>
    <row r="32" spans="1:5">
      <c r="A32" s="23"/>
      <c r="E32" s="37"/>
    </row>
    <row r="33" spans="1:5">
      <c r="A33" s="23"/>
      <c r="E33" s="37"/>
    </row>
    <row r="34" spans="1:5">
      <c r="E34" s="37"/>
    </row>
    <row r="35" spans="1:5">
      <c r="E35" s="37"/>
    </row>
    <row r="36" spans="1:5">
      <c r="E36" s="37"/>
    </row>
    <row r="37" spans="1:5">
      <c r="E37" s="37"/>
    </row>
    <row r="38" spans="1:5">
      <c r="E38" s="37"/>
    </row>
    <row r="39" spans="1:5">
      <c r="E39" s="37"/>
    </row>
    <row r="40" spans="1:5">
      <c r="E40" s="37"/>
    </row>
    <row r="41" spans="1:5">
      <c r="E41" s="37"/>
    </row>
    <row r="42" spans="1:5">
      <c r="E42" s="37"/>
    </row>
    <row r="43" spans="1:5">
      <c r="E43" s="37"/>
    </row>
    <row r="44" spans="1:5">
      <c r="E44" s="37"/>
    </row>
    <row r="45" spans="1:5">
      <c r="E45" s="37"/>
    </row>
    <row r="46" spans="1:5">
      <c r="E46" s="37"/>
    </row>
    <row r="47" spans="1:5">
      <c r="E47" s="37"/>
    </row>
    <row r="48" spans="1:5">
      <c r="E48" s="37"/>
    </row>
    <row r="49" spans="5:5">
      <c r="E49" s="37"/>
    </row>
    <row r="50" spans="5:5">
      <c r="E50" s="37"/>
    </row>
    <row r="51" spans="5:5">
      <c r="E51" s="37"/>
    </row>
    <row r="52" spans="5:5">
      <c r="E52" s="37"/>
    </row>
    <row r="53" spans="5:5">
      <c r="E53" s="37"/>
    </row>
    <row r="54" spans="5:5">
      <c r="E54" s="37"/>
    </row>
    <row r="55" spans="5:5">
      <c r="E55" s="37"/>
    </row>
    <row r="56" spans="5:5">
      <c r="E56" s="37"/>
    </row>
    <row r="57" spans="5:5">
      <c r="E57" s="37"/>
    </row>
    <row r="58" spans="5:5">
      <c r="E58" s="37"/>
    </row>
    <row r="59" spans="5:5">
      <c r="E59" s="37"/>
    </row>
    <row r="60" spans="5:5">
      <c r="E60" s="37"/>
    </row>
    <row r="61" spans="5:5">
      <c r="E61" s="37"/>
    </row>
    <row r="62" spans="5:5">
      <c r="E62" s="37"/>
    </row>
    <row r="63" spans="5:5">
      <c r="E63" s="37"/>
    </row>
    <row r="64" spans="5:5">
      <c r="E64" s="37"/>
    </row>
    <row r="65" spans="5:5">
      <c r="E65" s="37"/>
    </row>
    <row r="66" spans="5:5">
      <c r="E66" s="37"/>
    </row>
    <row r="67" spans="5:5">
      <c r="E67" s="37"/>
    </row>
    <row r="68" spans="5:5">
      <c r="E68" s="37"/>
    </row>
    <row r="69" spans="5:5">
      <c r="E69" s="37"/>
    </row>
    <row r="70" spans="5:5">
      <c r="E70" s="37"/>
    </row>
    <row r="71" spans="5:5">
      <c r="E71" s="37"/>
    </row>
    <row r="72" spans="5:5">
      <c r="E72" s="37"/>
    </row>
    <row r="73" spans="5:5">
      <c r="E73" s="37"/>
    </row>
    <row r="74" spans="5:5">
      <c r="E74" s="37"/>
    </row>
    <row r="75" spans="5:5">
      <c r="E75" s="37"/>
    </row>
    <row r="76" spans="5:5">
      <c r="E76" s="37"/>
    </row>
    <row r="77" spans="5:5">
      <c r="E77" s="37"/>
    </row>
    <row r="78" spans="5:5">
      <c r="E78" s="37"/>
    </row>
    <row r="79" spans="5:5">
      <c r="E79" s="37"/>
    </row>
    <row r="80" spans="5:5">
      <c r="E80" s="37"/>
    </row>
    <row r="81" spans="5:5">
      <c r="E81" s="37"/>
    </row>
    <row r="82" spans="5:5">
      <c r="E82" s="37"/>
    </row>
    <row r="83" spans="5:5">
      <c r="E83" s="37"/>
    </row>
    <row r="84" spans="5:5">
      <c r="E84" s="37"/>
    </row>
    <row r="85" spans="5:5">
      <c r="E85" s="37"/>
    </row>
    <row r="86" spans="5:5">
      <c r="E86" s="37"/>
    </row>
    <row r="87" spans="5:5">
      <c r="E87" s="37"/>
    </row>
    <row r="88" spans="5:5">
      <c r="E88" s="37"/>
    </row>
    <row r="89" spans="5:5">
      <c r="E89" s="37"/>
    </row>
    <row r="90" spans="5:5">
      <c r="E90" s="37"/>
    </row>
    <row r="91" spans="5:5">
      <c r="E91" s="37"/>
    </row>
    <row r="92" spans="5:5">
      <c r="E92" s="37"/>
    </row>
    <row r="93" spans="5:5">
      <c r="E93" s="37"/>
    </row>
    <row r="94" spans="5:5">
      <c r="E94" s="37"/>
    </row>
    <row r="95" spans="5:5">
      <c r="E95" s="37"/>
    </row>
    <row r="96" spans="5:5">
      <c r="E96" s="37"/>
    </row>
    <row r="97" spans="5:5">
      <c r="E97" s="37"/>
    </row>
    <row r="98" spans="5:5">
      <c r="E98" s="37"/>
    </row>
    <row r="99" spans="5:5">
      <c r="E99" s="37"/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opLeftCell="A43" workbookViewId="0">
      <selection activeCell="B73" sqref="B73"/>
    </sheetView>
  </sheetViews>
  <sheetFormatPr defaultRowHeight="14.25"/>
  <cols>
    <col min="2" max="2" width="31.375" customWidth="1"/>
    <col min="3" max="3" width="28.875" customWidth="1"/>
    <col min="5" max="5" width="9" style="38"/>
  </cols>
  <sheetData>
    <row r="1" spans="1:5">
      <c r="A1" t="s">
        <v>67</v>
      </c>
      <c r="B1" s="5" t="s">
        <v>65</v>
      </c>
      <c r="C1" s="5" t="s">
        <v>197</v>
      </c>
      <c r="D1" s="5" t="s">
        <v>66</v>
      </c>
      <c r="E1" s="36"/>
    </row>
    <row r="2" spans="1:5" ht="16.5">
      <c r="A2">
        <v>0</v>
      </c>
      <c r="B2" s="6" t="str">
        <f>HYPERLINK("#"&amp;C2&amp;"!A"&amp;(D2+3),C2)</f>
        <v>OnRspUserLogin</v>
      </c>
      <c r="C2" t="s">
        <v>196</v>
      </c>
      <c r="D2">
        <f>COUNTIF(C$2:C2,C2)</f>
        <v>1</v>
      </c>
      <c r="E2" s="33"/>
    </row>
    <row r="3" spans="1:5" ht="18.75" customHeight="1">
      <c r="A3">
        <v>1</v>
      </c>
      <c r="B3" s="6" t="str">
        <f>HYPERLINK("#"&amp;C3&amp;"!A"&amp;(D3+3),C3)</f>
        <v>ExecutionReportConditionalOrder</v>
      </c>
      <c r="C3" t="s">
        <v>530</v>
      </c>
      <c r="D3">
        <f>COUNTIF(C$2:C3,C3)</f>
        <v>1</v>
      </c>
      <c r="E3" s="33"/>
    </row>
    <row r="4" spans="1:5" ht="16.5">
      <c r="A4">
        <v>2</v>
      </c>
      <c r="B4" s="6" t="str">
        <f t="shared" ref="B4:B67" si="0">HYPERLINK("#"&amp;C4&amp;"!A"&amp;(D4+3),C4)</f>
        <v>ExecutionReportConditionalOrder</v>
      </c>
      <c r="C4" t="s">
        <v>530</v>
      </c>
      <c r="D4">
        <f>COUNTIF(C$2:C4,C4)</f>
        <v>2</v>
      </c>
      <c r="E4" s="33"/>
    </row>
    <row r="5" spans="1:5" ht="16.5">
      <c r="A5">
        <v>2</v>
      </c>
      <c r="B5" s="6" t="str">
        <f t="shared" si="0"/>
        <v>ExecutionReportConditionalOrder</v>
      </c>
      <c r="C5" t="s">
        <v>530</v>
      </c>
      <c r="D5">
        <f>COUNTIF(C$2:C5,C5)</f>
        <v>3</v>
      </c>
      <c r="E5" s="33"/>
    </row>
    <row r="6" spans="1:5" ht="16.5">
      <c r="A6">
        <v>2</v>
      </c>
      <c r="B6" s="6" t="str">
        <f t="shared" si="0"/>
        <v>ExecutionReportConditionalOrder</v>
      </c>
      <c r="C6" t="s">
        <v>530</v>
      </c>
      <c r="D6">
        <f>COUNTIF(C$2:C6,C6)</f>
        <v>4</v>
      </c>
      <c r="E6" s="33"/>
    </row>
    <row r="7" spans="1:5" ht="16.5">
      <c r="A7">
        <v>2</v>
      </c>
      <c r="B7" s="6" t="str">
        <f t="shared" si="0"/>
        <v>ExecutionReportConditionalOrder</v>
      </c>
      <c r="C7" t="s">
        <v>530</v>
      </c>
      <c r="D7">
        <f>COUNTIF(C$2:C7,C7)</f>
        <v>5</v>
      </c>
      <c r="E7" s="33"/>
    </row>
    <row r="8" spans="1:5" ht="16.5">
      <c r="A8">
        <v>3</v>
      </c>
      <c r="B8" s="6" t="str">
        <f t="shared" si="0"/>
        <v>ExecutionReportConditionalOrder</v>
      </c>
      <c r="C8" t="s">
        <v>530</v>
      </c>
      <c r="D8">
        <f>COUNTIF(C$2:C8,C8)</f>
        <v>6</v>
      </c>
      <c r="E8" s="33"/>
    </row>
    <row r="9" spans="1:5" ht="16.5">
      <c r="A9">
        <v>4</v>
      </c>
      <c r="B9" s="6" t="str">
        <f t="shared" si="0"/>
        <v>ExecutionReportConditionalOrder</v>
      </c>
      <c r="C9" t="s">
        <v>530</v>
      </c>
      <c r="D9">
        <f>COUNTIF(C$2:C9,C9)</f>
        <v>7</v>
      </c>
      <c r="E9" s="33"/>
    </row>
    <row r="10" spans="1:5" ht="16.5">
      <c r="A10">
        <v>4</v>
      </c>
      <c r="B10" s="6" t="str">
        <f t="shared" si="0"/>
        <v>ExecutionReportConditionalOrder</v>
      </c>
      <c r="C10" t="s">
        <v>530</v>
      </c>
      <c r="D10">
        <f>COUNTIF(C$2:C10,C10)</f>
        <v>8</v>
      </c>
      <c r="E10" s="33"/>
    </row>
    <row r="11" spans="1:5" ht="16.5">
      <c r="A11">
        <v>4</v>
      </c>
      <c r="B11" s="6" t="str">
        <f t="shared" si="0"/>
        <v>ExecutionReportConditionalOrder</v>
      </c>
      <c r="C11" t="s">
        <v>530</v>
      </c>
      <c r="D11">
        <f>COUNTIF(C$2:C11,C11)</f>
        <v>9</v>
      </c>
      <c r="E11" s="33"/>
    </row>
    <row r="12" spans="1:5" ht="16.5">
      <c r="A12">
        <v>4</v>
      </c>
      <c r="B12" s="6" t="str">
        <f t="shared" si="0"/>
        <v>ExecutionReportConditionalOrder</v>
      </c>
      <c r="C12" t="s">
        <v>530</v>
      </c>
      <c r="D12">
        <f>COUNTIF(C$2:C12,C12)</f>
        <v>10</v>
      </c>
      <c r="E12" s="33"/>
    </row>
    <row r="13" spans="1:5" ht="16.5">
      <c r="A13">
        <v>5</v>
      </c>
      <c r="B13" s="6" t="str">
        <f t="shared" si="0"/>
        <v>ExecutionReportConditionalOrder</v>
      </c>
      <c r="C13" t="s">
        <v>530</v>
      </c>
      <c r="D13">
        <f>COUNTIF(C$2:C13,C13)</f>
        <v>11</v>
      </c>
      <c r="E13" s="33"/>
    </row>
    <row r="14" spans="1:5" ht="16.5">
      <c r="A14">
        <v>6</v>
      </c>
      <c r="B14" s="6" t="str">
        <f t="shared" si="0"/>
        <v>ExecutionReportConditionalOrder</v>
      </c>
      <c r="C14" t="s">
        <v>530</v>
      </c>
      <c r="D14">
        <f>COUNTIF(C$2:C14,C14)</f>
        <v>12</v>
      </c>
      <c r="E14" s="33"/>
    </row>
    <row r="15" spans="1:5" ht="16.5">
      <c r="A15">
        <v>6</v>
      </c>
      <c r="B15" s="6" t="str">
        <f t="shared" si="0"/>
        <v>ExecutionReportConditionalOrder</v>
      </c>
      <c r="C15" t="s">
        <v>530</v>
      </c>
      <c r="D15">
        <f>COUNTIF(C$2:C15,C15)</f>
        <v>13</v>
      </c>
      <c r="E15" s="33"/>
    </row>
    <row r="16" spans="1:5" ht="16.5">
      <c r="A16">
        <v>6</v>
      </c>
      <c r="B16" s="6" t="str">
        <f t="shared" si="0"/>
        <v>ExecutionReportConditionalOrder</v>
      </c>
      <c r="C16" t="s">
        <v>530</v>
      </c>
      <c r="D16">
        <f>COUNTIF(C$2:C16,C16)</f>
        <v>14</v>
      </c>
      <c r="E16" s="33"/>
    </row>
    <row r="17" spans="1:5" s="18" customFormat="1" ht="16.5">
      <c r="A17" s="18">
        <v>6</v>
      </c>
      <c r="B17" s="19" t="str">
        <f t="shared" si="0"/>
        <v>ExecutionReportConditionalOrder</v>
      </c>
      <c r="C17" s="18" t="s">
        <v>530</v>
      </c>
      <c r="D17" s="18">
        <f>COUNTIF(C$2:C17,C17)</f>
        <v>15</v>
      </c>
      <c r="E17" s="27"/>
    </row>
    <row r="18" spans="1:5" ht="16.5">
      <c r="A18">
        <v>7</v>
      </c>
      <c r="B18" s="6" t="str">
        <f t="shared" si="0"/>
        <v>ExecutionReportConditionalOrder</v>
      </c>
      <c r="C18" t="s">
        <v>530</v>
      </c>
      <c r="D18">
        <f>COUNTIF(C$2:C18,C18)</f>
        <v>16</v>
      </c>
      <c r="E18" s="33"/>
    </row>
    <row r="19" spans="1:5" ht="16.5">
      <c r="A19">
        <v>8</v>
      </c>
      <c r="B19" s="6" t="str">
        <f t="shared" si="0"/>
        <v>ExecutionReportConditionalOrder</v>
      </c>
      <c r="C19" t="s">
        <v>530</v>
      </c>
      <c r="D19">
        <f>COUNTIF(C$2:C19,C19)</f>
        <v>17</v>
      </c>
      <c r="E19" s="33"/>
    </row>
    <row r="20" spans="1:5" ht="16.5">
      <c r="A20">
        <v>8</v>
      </c>
      <c r="B20" s="6" t="str">
        <f t="shared" si="0"/>
        <v>ExecutionReportConditionalOrder</v>
      </c>
      <c r="C20" t="s">
        <v>530</v>
      </c>
      <c r="D20">
        <f>COUNTIF(C$2:C20,C20)</f>
        <v>18</v>
      </c>
      <c r="E20" s="33"/>
    </row>
    <row r="21" spans="1:5" ht="16.5">
      <c r="A21">
        <v>8</v>
      </c>
      <c r="B21" s="6" t="str">
        <f t="shared" si="0"/>
        <v>ExecutionReportConditionalOrder</v>
      </c>
      <c r="C21" t="s">
        <v>530</v>
      </c>
      <c r="D21">
        <f>COUNTIF(C$2:C21,C21)</f>
        <v>19</v>
      </c>
      <c r="E21" s="33"/>
    </row>
    <row r="22" spans="1:5" ht="16.5">
      <c r="A22">
        <v>8</v>
      </c>
      <c r="B22" s="6" t="str">
        <f t="shared" si="0"/>
        <v>ExecutionReportConditionalOrder</v>
      </c>
      <c r="C22" t="s">
        <v>530</v>
      </c>
      <c r="D22">
        <f>COUNTIF(C$2:C22,C22)</f>
        <v>20</v>
      </c>
      <c r="E22" s="33"/>
    </row>
    <row r="23" spans="1:5" ht="16.5">
      <c r="A23">
        <v>9</v>
      </c>
      <c r="B23" s="6" t="str">
        <f t="shared" si="0"/>
        <v>ExecutionReportConditionalOrder</v>
      </c>
      <c r="C23" t="s">
        <v>530</v>
      </c>
      <c r="D23">
        <f>COUNTIF(C$2:C23,C23)</f>
        <v>21</v>
      </c>
      <c r="E23" s="33"/>
    </row>
    <row r="24" spans="1:5" ht="16.5">
      <c r="A24">
        <v>9</v>
      </c>
      <c r="B24" s="6" t="str">
        <f t="shared" si="0"/>
        <v>ExecutionReportConditionalOrder</v>
      </c>
      <c r="C24" t="s">
        <v>530</v>
      </c>
      <c r="D24">
        <f>COUNTIF(C$2:C24,C24)</f>
        <v>22</v>
      </c>
      <c r="E24" s="33"/>
    </row>
    <row r="25" spans="1:5" s="18" customFormat="1" ht="16.5">
      <c r="A25" s="18">
        <v>10</v>
      </c>
      <c r="B25" s="19" t="str">
        <f t="shared" si="0"/>
        <v>ExecutionReportConditionalOrder</v>
      </c>
      <c r="C25" s="18" t="s">
        <v>530</v>
      </c>
      <c r="D25">
        <f>COUNTIF(C$2:C25,C25)</f>
        <v>23</v>
      </c>
      <c r="E25" s="27"/>
    </row>
    <row r="26" spans="1:5" ht="16.5">
      <c r="A26">
        <v>11</v>
      </c>
      <c r="B26" s="6" t="str">
        <f t="shared" si="0"/>
        <v>ExecutionReportConditionalOrder</v>
      </c>
      <c r="C26" t="s">
        <v>530</v>
      </c>
      <c r="D26">
        <f>COUNTIF(C$2:C26,C26)</f>
        <v>24</v>
      </c>
      <c r="E26" s="33"/>
    </row>
    <row r="27" spans="1:5" ht="16.5">
      <c r="A27">
        <v>11</v>
      </c>
      <c r="B27" s="6" t="str">
        <f t="shared" si="0"/>
        <v>ExecutionReportConditionalOrder</v>
      </c>
      <c r="C27" t="s">
        <v>530</v>
      </c>
      <c r="D27">
        <f>COUNTIF(C$2:C27,C27)</f>
        <v>25</v>
      </c>
      <c r="E27" s="33"/>
    </row>
    <row r="28" spans="1:5" ht="16.5">
      <c r="A28">
        <v>11</v>
      </c>
      <c r="B28" s="6" t="str">
        <f t="shared" si="0"/>
        <v>ExecutionReportConditionalOrder</v>
      </c>
      <c r="C28" t="s">
        <v>530</v>
      </c>
      <c r="D28">
        <f>COUNTIF(C$2:C28,C28)</f>
        <v>26</v>
      </c>
      <c r="E28" s="33"/>
    </row>
    <row r="29" spans="1:5" ht="16.5">
      <c r="A29">
        <v>11</v>
      </c>
      <c r="B29" s="6" t="str">
        <f t="shared" si="0"/>
        <v>ExecutionReportConditionalOrder</v>
      </c>
      <c r="C29" t="s">
        <v>530</v>
      </c>
      <c r="D29">
        <f>COUNTIF(C$2:C29,C29)</f>
        <v>27</v>
      </c>
      <c r="E29" s="33"/>
    </row>
    <row r="30" spans="1:5" s="23" customFormat="1" ht="16.5">
      <c r="A30" s="23">
        <v>12</v>
      </c>
      <c r="B30" s="28" t="str">
        <f t="shared" si="0"/>
        <v>ExecutionReportConditionalOrder</v>
      </c>
      <c r="C30" s="23" t="s">
        <v>530</v>
      </c>
      <c r="D30">
        <f>COUNTIF(C$2:C30,C30)</f>
        <v>28</v>
      </c>
      <c r="E30" s="33"/>
    </row>
    <row r="31" spans="1:5">
      <c r="A31">
        <v>13</v>
      </c>
      <c r="B31" s="6" t="str">
        <f t="shared" si="0"/>
        <v>ExecutionReportConditionalOrder</v>
      </c>
      <c r="C31" t="s">
        <v>530</v>
      </c>
      <c r="D31">
        <f>COUNTIF(C$2:C31,C31)</f>
        <v>29</v>
      </c>
      <c r="E31" s="37"/>
    </row>
    <row r="32" spans="1:5">
      <c r="A32">
        <v>13</v>
      </c>
      <c r="B32" s="6" t="str">
        <f t="shared" si="0"/>
        <v>ExecutionReportConditionalOrder</v>
      </c>
      <c r="C32" t="s">
        <v>530</v>
      </c>
      <c r="D32">
        <f>COUNTIF(C$2:C32,C32)</f>
        <v>30</v>
      </c>
      <c r="E32" s="37"/>
    </row>
    <row r="33" spans="1:5">
      <c r="A33">
        <v>13</v>
      </c>
      <c r="B33" s="6" t="str">
        <f t="shared" si="0"/>
        <v>ExecutionReportConditionalOrder</v>
      </c>
      <c r="C33" t="s">
        <v>530</v>
      </c>
      <c r="D33">
        <f>COUNTIF(C$2:C33,C33)</f>
        <v>31</v>
      </c>
      <c r="E33" s="37"/>
    </row>
    <row r="34" spans="1:5" s="18" customFormat="1">
      <c r="A34" s="18">
        <v>13</v>
      </c>
      <c r="B34" s="19" t="str">
        <f t="shared" si="0"/>
        <v>ExecutionReportConditionalOrder</v>
      </c>
      <c r="C34" s="18" t="s">
        <v>530</v>
      </c>
      <c r="D34">
        <f>COUNTIF(C$2:C34,C34)</f>
        <v>32</v>
      </c>
      <c r="E34" s="56"/>
    </row>
    <row r="35" spans="1:5">
      <c r="A35">
        <v>14</v>
      </c>
      <c r="B35" s="6" t="str">
        <f t="shared" si="0"/>
        <v>ExecutionReportConditionalOrder</v>
      </c>
      <c r="C35" t="s">
        <v>530</v>
      </c>
      <c r="D35">
        <f>COUNTIF(C$2:C35,C35)</f>
        <v>33</v>
      </c>
      <c r="E35" s="37"/>
    </row>
    <row r="36" spans="1:5">
      <c r="A36">
        <v>15</v>
      </c>
      <c r="B36" s="6" t="str">
        <f t="shared" si="0"/>
        <v>ExecutionReportConditionalOrder</v>
      </c>
      <c r="C36" t="s">
        <v>530</v>
      </c>
      <c r="D36">
        <f>COUNTIF(C$2:C36,C36)</f>
        <v>34</v>
      </c>
      <c r="E36" s="37"/>
    </row>
    <row r="37" spans="1:5">
      <c r="A37">
        <v>15</v>
      </c>
      <c r="B37" s="6" t="str">
        <f t="shared" si="0"/>
        <v>ExecutionReportConditionalOrder</v>
      </c>
      <c r="C37" t="s">
        <v>530</v>
      </c>
      <c r="D37">
        <f>COUNTIF(C$2:C37,C37)</f>
        <v>35</v>
      </c>
      <c r="E37" s="37"/>
    </row>
    <row r="38" spans="1:5">
      <c r="A38">
        <v>15</v>
      </c>
      <c r="B38" s="6" t="str">
        <f t="shared" si="0"/>
        <v>ExecutionReportConditionalOrder</v>
      </c>
      <c r="C38" t="s">
        <v>530</v>
      </c>
      <c r="D38">
        <f>COUNTIF(C$2:C38,C38)</f>
        <v>36</v>
      </c>
      <c r="E38" s="37"/>
    </row>
    <row r="39" spans="1:5" s="23" customFormat="1">
      <c r="A39" s="23">
        <v>15</v>
      </c>
      <c r="B39" s="28" t="str">
        <f t="shared" si="0"/>
        <v>ExecutionReportConditionalOrder</v>
      </c>
      <c r="C39" s="23" t="s">
        <v>530</v>
      </c>
      <c r="D39">
        <f>COUNTIF(C$2:C39,C39)</f>
        <v>37</v>
      </c>
      <c r="E39" s="37"/>
    </row>
    <row r="40" spans="1:5">
      <c r="A40">
        <v>16</v>
      </c>
      <c r="B40" s="6" t="str">
        <f t="shared" si="0"/>
        <v>ExecutionReportConditionalOrder</v>
      </c>
      <c r="C40" t="s">
        <v>530</v>
      </c>
      <c r="D40">
        <f>COUNTIF(C$2:C40,C40)</f>
        <v>38</v>
      </c>
      <c r="E40" s="37"/>
    </row>
    <row r="41" spans="1:5">
      <c r="A41">
        <v>17</v>
      </c>
      <c r="B41" s="6" t="str">
        <f t="shared" si="0"/>
        <v>ExecutionReportConditionalOrder</v>
      </c>
      <c r="C41" t="s">
        <v>530</v>
      </c>
      <c r="D41">
        <f>COUNTIF(C$2:C41,C41)</f>
        <v>39</v>
      </c>
      <c r="E41" s="37"/>
    </row>
    <row r="42" spans="1:5">
      <c r="A42">
        <v>17</v>
      </c>
      <c r="B42" s="6" t="str">
        <f t="shared" si="0"/>
        <v>ExecutionReportConditionalOrder</v>
      </c>
      <c r="C42" t="s">
        <v>530</v>
      </c>
      <c r="D42">
        <f>COUNTIF(C$2:C42,C42)</f>
        <v>40</v>
      </c>
      <c r="E42" s="37"/>
    </row>
    <row r="43" spans="1:5">
      <c r="A43">
        <v>17</v>
      </c>
      <c r="B43" s="6" t="str">
        <f t="shared" si="0"/>
        <v>ExecutionReportConditionalOrder</v>
      </c>
      <c r="C43" t="s">
        <v>530</v>
      </c>
      <c r="D43">
        <f>COUNTIF(C$2:C43,C43)</f>
        <v>41</v>
      </c>
      <c r="E43" s="37"/>
    </row>
    <row r="44" spans="1:5" s="32" customFormat="1">
      <c r="A44" s="32">
        <v>17</v>
      </c>
      <c r="B44" s="34" t="str">
        <f t="shared" si="0"/>
        <v>ExecutionReportConditionalOrder</v>
      </c>
      <c r="C44" t="s">
        <v>530</v>
      </c>
      <c r="D44">
        <f>COUNTIF(C$2:C44,C44)</f>
        <v>42</v>
      </c>
      <c r="E44" s="57"/>
    </row>
    <row r="45" spans="1:5">
      <c r="A45">
        <v>18</v>
      </c>
      <c r="B45" s="6" t="str">
        <f t="shared" si="0"/>
        <v>ExecutionReportConditionalOrder</v>
      </c>
      <c r="C45" t="s">
        <v>530</v>
      </c>
      <c r="D45">
        <f>COUNTIF(C$2:C45,C45)</f>
        <v>43</v>
      </c>
      <c r="E45" s="37"/>
    </row>
    <row r="46" spans="1:5">
      <c r="A46">
        <v>18</v>
      </c>
      <c r="B46" s="6" t="str">
        <f t="shared" si="0"/>
        <v>ExecutionReportConditionalOrder</v>
      </c>
      <c r="C46" t="s">
        <v>530</v>
      </c>
      <c r="D46">
        <f>COUNTIF(C$2:C46,C46)</f>
        <v>44</v>
      </c>
      <c r="E46" s="37"/>
    </row>
    <row r="47" spans="1:5">
      <c r="A47">
        <v>19</v>
      </c>
      <c r="B47" s="6" t="str">
        <f t="shared" si="0"/>
        <v>ExecutionReportConditionalOrder</v>
      </c>
      <c r="C47" t="s">
        <v>530</v>
      </c>
      <c r="D47">
        <f>COUNTIF(C$2:C47,C47)</f>
        <v>45</v>
      </c>
      <c r="E47" s="37"/>
    </row>
    <row r="48" spans="1:5">
      <c r="A48">
        <v>20</v>
      </c>
      <c r="B48" s="6" t="str">
        <f t="shared" si="0"/>
        <v>ExecutionReportConditionalOrder</v>
      </c>
      <c r="C48" t="s">
        <v>530</v>
      </c>
      <c r="D48">
        <f>COUNTIF(C$2:C48,C48)</f>
        <v>46</v>
      </c>
      <c r="E48" s="37"/>
    </row>
    <row r="49" spans="1:5">
      <c r="A49">
        <v>20</v>
      </c>
      <c r="B49" s="6" t="str">
        <f t="shared" si="0"/>
        <v>ExecutionReportConditionalOrder</v>
      </c>
      <c r="C49" t="s">
        <v>530</v>
      </c>
      <c r="D49">
        <f>COUNTIF(C$2:C49,C49)</f>
        <v>47</v>
      </c>
      <c r="E49" s="37"/>
    </row>
    <row r="50" spans="1:5">
      <c r="A50">
        <v>20</v>
      </c>
      <c r="B50" s="6" t="str">
        <f t="shared" si="0"/>
        <v>ExecutionReportConditionalOrder</v>
      </c>
      <c r="C50" t="s">
        <v>530</v>
      </c>
      <c r="D50">
        <f>COUNTIF(C$2:C50,C50)</f>
        <v>48</v>
      </c>
      <c r="E50" s="37"/>
    </row>
    <row r="51" spans="1:5">
      <c r="A51">
        <v>20</v>
      </c>
      <c r="B51" s="6" t="str">
        <f t="shared" si="0"/>
        <v>ExecutionReportConditionalOrder</v>
      </c>
      <c r="C51" t="s">
        <v>530</v>
      </c>
      <c r="D51">
        <f>COUNTIF(C$2:C51,C51)</f>
        <v>49</v>
      </c>
      <c r="E51" s="37"/>
    </row>
    <row r="52" spans="1:5">
      <c r="A52">
        <v>21</v>
      </c>
      <c r="B52" s="6" t="str">
        <f t="shared" si="0"/>
        <v>ExecutionReportConditionalOrder</v>
      </c>
      <c r="C52" t="s">
        <v>530</v>
      </c>
      <c r="D52">
        <f>COUNTIF(C$2:C52,C52)</f>
        <v>50</v>
      </c>
      <c r="E52" s="37"/>
    </row>
    <row r="53" spans="1:5">
      <c r="A53">
        <v>22</v>
      </c>
      <c r="B53" s="6" t="str">
        <f t="shared" si="0"/>
        <v>ExecutionReportConditionalOrder</v>
      </c>
      <c r="C53" t="s">
        <v>530</v>
      </c>
      <c r="D53">
        <f>COUNTIF(C$2:C53,C53)</f>
        <v>51</v>
      </c>
      <c r="E53" s="37"/>
    </row>
    <row r="54" spans="1:5">
      <c r="A54">
        <v>22</v>
      </c>
      <c r="B54" s="6" t="str">
        <f t="shared" si="0"/>
        <v>ExecutionReportConditionalOrder</v>
      </c>
      <c r="C54" t="s">
        <v>530</v>
      </c>
      <c r="D54">
        <f>COUNTIF(C$2:C54,C54)</f>
        <v>52</v>
      </c>
      <c r="E54" s="37"/>
    </row>
    <row r="55" spans="1:5">
      <c r="A55">
        <v>22</v>
      </c>
      <c r="B55" s="6" t="str">
        <f t="shared" si="0"/>
        <v>ExecutionReportConditionalOrder</v>
      </c>
      <c r="C55" t="s">
        <v>530</v>
      </c>
      <c r="D55">
        <f>COUNTIF(C$2:C55,C55)</f>
        <v>53</v>
      </c>
      <c r="E55" s="37"/>
    </row>
    <row r="56" spans="1:5" s="18" customFormat="1">
      <c r="A56" s="18">
        <v>22</v>
      </c>
      <c r="B56" s="19" t="str">
        <f t="shared" si="0"/>
        <v>ExecutionReportConditionalOrder</v>
      </c>
      <c r="C56" t="s">
        <v>530</v>
      </c>
      <c r="D56">
        <f>COUNTIF(C$2:C56,C56)</f>
        <v>54</v>
      </c>
      <c r="E56" s="56"/>
    </row>
    <row r="57" spans="1:5">
      <c r="A57">
        <v>23</v>
      </c>
      <c r="B57" s="6" t="str">
        <f t="shared" si="0"/>
        <v>ExecutionReportConditionalOrder</v>
      </c>
      <c r="C57" t="s">
        <v>530</v>
      </c>
      <c r="D57">
        <f>COUNTIF(C$2:C57,C57)</f>
        <v>55</v>
      </c>
      <c r="E57" s="37"/>
    </row>
    <row r="58" spans="1:5">
      <c r="A58">
        <v>24</v>
      </c>
      <c r="B58" s="6" t="str">
        <f t="shared" si="0"/>
        <v>ExecutionReportConditionalOrder</v>
      </c>
      <c r="C58" t="s">
        <v>530</v>
      </c>
      <c r="D58">
        <f>COUNTIF(C$2:C58,C58)</f>
        <v>56</v>
      </c>
      <c r="E58" s="37"/>
    </row>
    <row r="59" spans="1:5">
      <c r="A59">
        <v>24</v>
      </c>
      <c r="B59" s="6" t="str">
        <f t="shared" si="0"/>
        <v>ExecutionReportConditionalOrder</v>
      </c>
      <c r="C59" t="s">
        <v>530</v>
      </c>
      <c r="D59">
        <f>COUNTIF(C$2:C59,C59)</f>
        <v>57</v>
      </c>
      <c r="E59" s="37"/>
    </row>
    <row r="60" spans="1:5">
      <c r="A60">
        <v>24</v>
      </c>
      <c r="B60" s="6" t="str">
        <f t="shared" si="0"/>
        <v>ExecutionReportConditionalOrder</v>
      </c>
      <c r="C60" t="s">
        <v>530</v>
      </c>
      <c r="D60">
        <f>COUNTIF(C$2:C60,C60)</f>
        <v>58</v>
      </c>
      <c r="E60" s="37"/>
    </row>
    <row r="61" spans="1:5">
      <c r="A61">
        <v>24</v>
      </c>
      <c r="B61" s="6" t="str">
        <f t="shared" si="0"/>
        <v>ExecutionReportConditionalOrder</v>
      </c>
      <c r="C61" t="s">
        <v>530</v>
      </c>
      <c r="D61">
        <f>COUNTIF(C$2:C61,C61)</f>
        <v>59</v>
      </c>
      <c r="E61" s="37"/>
    </row>
    <row r="62" spans="1:5">
      <c r="A62">
        <v>25</v>
      </c>
      <c r="B62" s="6" t="str">
        <f t="shared" si="0"/>
        <v>ExecutionReportConditionalOrder</v>
      </c>
      <c r="C62" t="s">
        <v>530</v>
      </c>
      <c r="D62">
        <f>COUNTIF(C$2:C62,C62)</f>
        <v>60</v>
      </c>
      <c r="E62" s="37"/>
    </row>
    <row r="63" spans="1:5">
      <c r="A63">
        <v>26</v>
      </c>
      <c r="B63" s="6" t="str">
        <f t="shared" si="0"/>
        <v>ExecutionReportConditionalOrder</v>
      </c>
      <c r="C63" t="s">
        <v>530</v>
      </c>
      <c r="D63">
        <f>COUNTIF(C$2:C63,C63)</f>
        <v>61</v>
      </c>
      <c r="E63" s="37"/>
    </row>
    <row r="64" spans="1:5">
      <c r="A64">
        <v>26</v>
      </c>
      <c r="B64" s="6" t="str">
        <f t="shared" si="0"/>
        <v>ExecutionReportConditionalOrder</v>
      </c>
      <c r="C64" t="s">
        <v>530</v>
      </c>
      <c r="D64">
        <f>COUNTIF(C$2:C64,C64)</f>
        <v>62</v>
      </c>
      <c r="E64" s="37"/>
    </row>
    <row r="65" spans="1:5">
      <c r="A65">
        <v>26</v>
      </c>
      <c r="B65" s="6" t="str">
        <f t="shared" si="0"/>
        <v>ExecutionReportConditionalOrder</v>
      </c>
      <c r="C65" t="s">
        <v>530</v>
      </c>
      <c r="D65">
        <f>COUNTIF(C$2:C65,C65)</f>
        <v>63</v>
      </c>
      <c r="E65" s="37"/>
    </row>
    <row r="66" spans="1:5" s="18" customFormat="1">
      <c r="A66" s="18">
        <v>26</v>
      </c>
      <c r="B66" s="19" t="str">
        <f t="shared" si="0"/>
        <v>ExecutionReportConditionalOrder</v>
      </c>
      <c r="C66" t="s">
        <v>530</v>
      </c>
      <c r="D66">
        <f>COUNTIF(C$2:C66,C66)</f>
        <v>64</v>
      </c>
      <c r="E66" s="56"/>
    </row>
    <row r="67" spans="1:5">
      <c r="A67">
        <v>27</v>
      </c>
      <c r="B67" s="6" t="str">
        <f t="shared" si="0"/>
        <v>ExecutionReportConditionalOrder</v>
      </c>
      <c r="C67" t="s">
        <v>530</v>
      </c>
      <c r="D67">
        <f>COUNTIF(C$2:C67,C67)</f>
        <v>65</v>
      </c>
      <c r="E67" s="37"/>
    </row>
    <row r="68" spans="1:5">
      <c r="A68">
        <v>28</v>
      </c>
      <c r="B68" s="6" t="str">
        <f t="shared" ref="B68:B73" si="1">HYPERLINK("#"&amp;C68&amp;"!A"&amp;(D68+3),C68)</f>
        <v>ExecutionReportConditionalOrder</v>
      </c>
      <c r="C68" t="s">
        <v>530</v>
      </c>
      <c r="D68">
        <f>COUNTIF(C$2:C68,C68)</f>
        <v>66</v>
      </c>
      <c r="E68" s="37"/>
    </row>
    <row r="69" spans="1:5">
      <c r="A69">
        <v>28</v>
      </c>
      <c r="B69" s="6" t="str">
        <f t="shared" si="1"/>
        <v>ExecutionReportConditionalOrder</v>
      </c>
      <c r="C69" t="s">
        <v>530</v>
      </c>
      <c r="D69">
        <f>COUNTIF(C$2:C69,C69)</f>
        <v>67</v>
      </c>
      <c r="E69" s="37"/>
    </row>
    <row r="70" spans="1:5">
      <c r="A70">
        <v>28</v>
      </c>
      <c r="B70" s="6" t="str">
        <f t="shared" si="1"/>
        <v>ExecutionReportConditionalOrder</v>
      </c>
      <c r="C70" t="s">
        <v>530</v>
      </c>
      <c r="D70">
        <f>COUNTIF(C$2:C70,C70)</f>
        <v>68</v>
      </c>
      <c r="E70" s="37"/>
    </row>
    <row r="71" spans="1:5" s="18" customFormat="1">
      <c r="A71" s="18">
        <v>28</v>
      </c>
      <c r="B71" s="19" t="str">
        <f t="shared" si="1"/>
        <v>ExecutionReportConditionalOrder</v>
      </c>
      <c r="C71" s="18" t="s">
        <v>530</v>
      </c>
      <c r="D71" s="18">
        <f>COUNTIF(C$2:C71,C71)</f>
        <v>69</v>
      </c>
      <c r="E71" s="56"/>
    </row>
    <row r="72" spans="1:5" s="23" customFormat="1">
      <c r="A72" s="23">
        <v>29</v>
      </c>
      <c r="B72" s="28" t="str">
        <f t="shared" si="1"/>
        <v>ExecutionReportConditionalOrder</v>
      </c>
      <c r="C72" s="23" t="s">
        <v>530</v>
      </c>
      <c r="D72" s="23">
        <f>COUNTIF(C$2:C72,C72)</f>
        <v>70</v>
      </c>
      <c r="E72" s="37"/>
    </row>
    <row r="73" spans="1:5" s="23" customFormat="1">
      <c r="A73" s="23">
        <v>30</v>
      </c>
      <c r="B73" s="28" t="str">
        <f t="shared" si="1"/>
        <v>ExecutionReportConditionalOrder</v>
      </c>
      <c r="C73" s="23" t="s">
        <v>530</v>
      </c>
      <c r="D73" s="23">
        <f>COUNTIF(C$2:C73,C73)</f>
        <v>71</v>
      </c>
      <c r="E73" s="37"/>
    </row>
    <row r="74" spans="1:5">
      <c r="E74" s="37"/>
    </row>
    <row r="75" spans="1:5">
      <c r="E75" s="37"/>
    </row>
    <row r="76" spans="1:5">
      <c r="E76" s="37"/>
    </row>
    <row r="77" spans="1:5">
      <c r="E77" s="37"/>
    </row>
    <row r="78" spans="1:5">
      <c r="E78" s="37"/>
    </row>
    <row r="79" spans="1:5">
      <c r="E79" s="37"/>
    </row>
    <row r="80" spans="1:5">
      <c r="E80" s="37"/>
    </row>
    <row r="81" spans="5:5">
      <c r="E81" s="37"/>
    </row>
    <row r="82" spans="5:5">
      <c r="E82" s="37"/>
    </row>
    <row r="83" spans="5:5">
      <c r="E83" s="37"/>
    </row>
    <row r="84" spans="5:5">
      <c r="E84" s="37"/>
    </row>
    <row r="85" spans="5:5">
      <c r="E85" s="37"/>
    </row>
    <row r="86" spans="5:5">
      <c r="E86" s="37"/>
    </row>
    <row r="87" spans="5:5">
      <c r="E87" s="37"/>
    </row>
    <row r="88" spans="5:5">
      <c r="E88" s="37"/>
    </row>
    <row r="89" spans="5:5">
      <c r="E89" s="37"/>
    </row>
    <row r="90" spans="5:5">
      <c r="E90" s="37"/>
    </row>
    <row r="91" spans="5:5">
      <c r="E91" s="37"/>
    </row>
    <row r="92" spans="5:5">
      <c r="E92" s="37"/>
    </row>
    <row r="93" spans="5:5">
      <c r="E93" s="37"/>
    </row>
    <row r="94" spans="5:5">
      <c r="E94" s="37"/>
    </row>
    <row r="95" spans="5:5">
      <c r="E95" s="37"/>
    </row>
    <row r="96" spans="5:5">
      <c r="E96" s="37"/>
    </row>
    <row r="97" spans="5:5">
      <c r="E97" s="37"/>
    </row>
    <row r="98" spans="5:5">
      <c r="E98" s="37"/>
    </row>
    <row r="99" spans="5:5">
      <c r="E99" s="37"/>
    </row>
    <row r="100" spans="5:5">
      <c r="E100" s="37"/>
    </row>
    <row r="101" spans="5:5">
      <c r="E101" s="37"/>
    </row>
    <row r="102" spans="5:5">
      <c r="E102" s="3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00"/>
  <sheetViews>
    <sheetView workbookViewId="0">
      <selection activeCell="B35" sqref="B35"/>
    </sheetView>
  </sheetViews>
  <sheetFormatPr defaultRowHeight="14.25"/>
  <cols>
    <col min="1" max="1" width="9" style="39"/>
    <col min="2" max="2" width="25.75" style="39" customWidth="1"/>
    <col min="3" max="3" width="24.375" style="39" customWidth="1"/>
    <col min="4" max="4" width="9" style="39"/>
    <col min="5" max="5" width="9" style="55"/>
    <col min="6" max="6" width="17.75" style="39" customWidth="1"/>
    <col min="7" max="10" width="9" style="39"/>
    <col min="11" max="11" width="14.5" style="39" customWidth="1"/>
    <col min="12" max="18" width="9" style="39"/>
    <col min="19" max="19" width="14.375" style="39" customWidth="1"/>
    <col min="20" max="16384" width="9" style="39"/>
  </cols>
  <sheetData>
    <row r="1" spans="1:36">
      <c r="A1" s="39" t="s">
        <v>67</v>
      </c>
      <c r="B1" s="100" t="s">
        <v>65</v>
      </c>
      <c r="C1" s="100" t="s">
        <v>197</v>
      </c>
      <c r="D1" s="100" t="s">
        <v>66</v>
      </c>
      <c r="E1" s="70" t="s">
        <v>529</v>
      </c>
      <c r="AJ1" s="40"/>
    </row>
    <row r="2" spans="1:36" ht="16.5">
      <c r="A2" s="39">
        <v>1</v>
      </c>
      <c r="B2" s="101" t="str">
        <f t="shared" ref="B2:B31" si="0">HYPERLINK("#"&amp;C2&amp;"!A"&amp;(D2+3),C2)</f>
        <v>NewOrderSingleConditional</v>
      </c>
      <c r="C2" s="39" t="s">
        <v>426</v>
      </c>
      <c r="D2" s="39">
        <v>1</v>
      </c>
      <c r="E2" s="10" t="s">
        <v>434</v>
      </c>
    </row>
    <row r="3" spans="1:36" ht="16.5">
      <c r="A3" s="39">
        <v>2</v>
      </c>
      <c r="B3" s="101" t="str">
        <f t="shared" si="0"/>
        <v>NewOrderSingleConditional</v>
      </c>
      <c r="C3" s="39" t="s">
        <v>426</v>
      </c>
      <c r="D3" s="39">
        <v>2</v>
      </c>
      <c r="E3" s="10" t="s">
        <v>435</v>
      </c>
      <c r="F3" s="41"/>
      <c r="G3" s="41"/>
      <c r="H3" s="41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AA3" s="42"/>
      <c r="AB3" s="42"/>
      <c r="AC3" s="42"/>
      <c r="AD3" s="42"/>
      <c r="AE3" s="42"/>
      <c r="AF3" s="42"/>
      <c r="AG3" s="42"/>
      <c r="AH3" s="42"/>
      <c r="AI3" s="42"/>
      <c r="AJ3" s="41"/>
    </row>
    <row r="4" spans="1:36" ht="16.5">
      <c r="A4" s="39">
        <v>3</v>
      </c>
      <c r="B4" s="101" t="str">
        <f t="shared" si="0"/>
        <v>NewOrderSingleConditional</v>
      </c>
      <c r="C4" s="39" t="s">
        <v>426</v>
      </c>
      <c r="D4" s="39">
        <v>3</v>
      </c>
      <c r="E4" s="10" t="s">
        <v>433</v>
      </c>
      <c r="F4" s="43"/>
      <c r="G4" s="44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T4" s="42"/>
      <c r="U4" s="42"/>
      <c r="AA4" s="42"/>
      <c r="AB4" s="42"/>
      <c r="AC4" s="42"/>
      <c r="AD4" s="42"/>
      <c r="AE4" s="42"/>
      <c r="AF4" s="42"/>
      <c r="AI4" s="42"/>
      <c r="AJ4" s="42"/>
    </row>
    <row r="5" spans="1:36" ht="16.5">
      <c r="A5" s="39">
        <v>4</v>
      </c>
      <c r="B5" s="101" t="str">
        <f t="shared" si="0"/>
        <v>NewOrderSingleConditional</v>
      </c>
      <c r="C5" s="39" t="s">
        <v>426</v>
      </c>
      <c r="D5" s="39">
        <v>4</v>
      </c>
      <c r="E5" s="10" t="s">
        <v>436</v>
      </c>
      <c r="F5" s="43"/>
      <c r="G5" s="43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T5" s="42"/>
      <c r="U5" s="42"/>
      <c r="Z5" s="42"/>
      <c r="AF5" s="42"/>
      <c r="AJ5" s="42"/>
    </row>
    <row r="6" spans="1:36" ht="16.5">
      <c r="A6" s="39">
        <v>5</v>
      </c>
      <c r="B6" s="101" t="str">
        <f t="shared" si="0"/>
        <v>NewOrderSingleConditional</v>
      </c>
      <c r="C6" s="39" t="s">
        <v>426</v>
      </c>
      <c r="D6" s="39">
        <v>5</v>
      </c>
      <c r="E6" s="10" t="s">
        <v>437</v>
      </c>
      <c r="F6" s="43"/>
      <c r="G6" s="43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T6" s="42"/>
      <c r="U6" s="42"/>
      <c r="Z6" s="42"/>
      <c r="AF6" s="42"/>
      <c r="AJ6" s="42"/>
    </row>
    <row r="7" spans="1:36" s="45" customFormat="1" ht="16.5">
      <c r="A7" s="45">
        <v>6</v>
      </c>
      <c r="B7" s="102" t="str">
        <f t="shared" si="0"/>
        <v>NewOrderSingleConditional</v>
      </c>
      <c r="C7" s="45" t="s">
        <v>426</v>
      </c>
      <c r="D7" s="45">
        <v>6</v>
      </c>
      <c r="E7" s="27" t="s">
        <v>438</v>
      </c>
      <c r="F7" s="46"/>
      <c r="G7" s="46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T7" s="47"/>
      <c r="U7" s="47"/>
      <c r="Z7" s="47"/>
      <c r="AF7" s="47"/>
      <c r="AJ7" s="47"/>
    </row>
    <row r="8" spans="1:36" ht="16.5">
      <c r="A8" s="48">
        <v>7</v>
      </c>
      <c r="B8" s="101" t="str">
        <f t="shared" si="0"/>
        <v>NewOrderSingleConditional</v>
      </c>
      <c r="C8" s="48" t="s">
        <v>426</v>
      </c>
      <c r="D8" s="48">
        <v>7</v>
      </c>
      <c r="E8" s="10" t="s">
        <v>463</v>
      </c>
      <c r="F8" s="43"/>
      <c r="G8" s="43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T8" s="42"/>
      <c r="U8" s="42"/>
      <c r="Z8" s="42"/>
      <c r="AF8" s="42"/>
      <c r="AJ8" s="42"/>
    </row>
    <row r="9" spans="1:36" ht="16.5">
      <c r="A9" s="48">
        <v>8</v>
      </c>
      <c r="B9" s="101" t="str">
        <f t="shared" si="0"/>
        <v>NewOrderSingleConditional</v>
      </c>
      <c r="C9" s="48" t="s">
        <v>426</v>
      </c>
      <c r="D9" s="48">
        <v>8</v>
      </c>
      <c r="E9" s="10" t="s">
        <v>464</v>
      </c>
      <c r="F9" s="43"/>
      <c r="G9" s="43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T9" s="42"/>
      <c r="U9" s="42"/>
      <c r="Z9" s="42"/>
      <c r="AF9" s="42"/>
      <c r="AJ9" s="42"/>
    </row>
    <row r="10" spans="1:36" ht="16.5">
      <c r="A10" s="48">
        <v>9</v>
      </c>
      <c r="B10" s="101" t="str">
        <f t="shared" si="0"/>
        <v>NewOrderSingleConditional</v>
      </c>
      <c r="C10" s="48" t="s">
        <v>426</v>
      </c>
      <c r="D10" s="48">
        <v>9</v>
      </c>
      <c r="E10" s="10" t="s">
        <v>465</v>
      </c>
      <c r="F10" s="43"/>
      <c r="G10" s="4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T10" s="42"/>
      <c r="U10" s="42"/>
      <c r="Z10" s="42"/>
      <c r="AF10" s="42"/>
      <c r="AJ10" s="42"/>
    </row>
    <row r="11" spans="1:36" s="45" customFormat="1" ht="16.5">
      <c r="A11" s="45">
        <v>10</v>
      </c>
      <c r="B11" s="102" t="str">
        <f t="shared" si="0"/>
        <v>NewOrderSingleConditional</v>
      </c>
      <c r="C11" s="45" t="s">
        <v>426</v>
      </c>
      <c r="D11" s="45">
        <v>10</v>
      </c>
      <c r="E11" s="27" t="s">
        <v>466</v>
      </c>
      <c r="F11" s="46"/>
      <c r="G11" s="46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T11" s="47"/>
      <c r="U11" s="47"/>
      <c r="Z11" s="47"/>
      <c r="AF11" s="47"/>
      <c r="AJ11" s="47"/>
    </row>
    <row r="12" spans="1:36" s="48" customFormat="1" ht="16.5">
      <c r="A12" s="48">
        <v>11</v>
      </c>
      <c r="B12" s="101" t="str">
        <f t="shared" si="0"/>
        <v>NewOrderSingleConditional</v>
      </c>
      <c r="C12" s="48" t="s">
        <v>426</v>
      </c>
      <c r="D12" s="48">
        <v>11</v>
      </c>
      <c r="E12" s="33" t="s">
        <v>467</v>
      </c>
      <c r="F12" s="49"/>
      <c r="G12" s="49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T12" s="50"/>
      <c r="U12" s="50"/>
      <c r="Z12" s="50"/>
      <c r="AF12" s="50"/>
      <c r="AJ12" s="50"/>
    </row>
    <row r="13" spans="1:36" s="48" customFormat="1" ht="16.5">
      <c r="A13" s="48">
        <v>12</v>
      </c>
      <c r="B13" s="101" t="str">
        <f t="shared" si="0"/>
        <v>NewOrderSingleConditional</v>
      </c>
      <c r="C13" s="48" t="s">
        <v>426</v>
      </c>
      <c r="D13" s="48">
        <v>12</v>
      </c>
      <c r="E13" s="33" t="s">
        <v>468</v>
      </c>
      <c r="F13" s="49"/>
      <c r="G13" s="49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T13" s="50"/>
      <c r="U13" s="50"/>
      <c r="Z13" s="50"/>
      <c r="AF13" s="50"/>
      <c r="AJ13" s="50"/>
    </row>
    <row r="14" spans="1:36" s="45" customFormat="1" ht="16.5">
      <c r="A14" s="45">
        <v>13</v>
      </c>
      <c r="B14" s="102" t="str">
        <f t="shared" si="0"/>
        <v>NewOrderSingleConditional</v>
      </c>
      <c r="C14" s="45" t="s">
        <v>426</v>
      </c>
      <c r="D14" s="45">
        <v>13</v>
      </c>
      <c r="E14" s="27" t="s">
        <v>469</v>
      </c>
      <c r="F14" s="46"/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T14" s="47"/>
      <c r="U14" s="47"/>
      <c r="Z14" s="47"/>
      <c r="AF14" s="47"/>
      <c r="AJ14" s="47"/>
    </row>
    <row r="15" spans="1:36" ht="16.5">
      <c r="A15" s="48">
        <v>14</v>
      </c>
      <c r="B15" s="101" t="str">
        <f t="shared" si="0"/>
        <v>NewOrderSingleConditional</v>
      </c>
      <c r="C15" s="48" t="s">
        <v>426</v>
      </c>
      <c r="D15" s="48">
        <v>14</v>
      </c>
      <c r="E15" s="10" t="s">
        <v>470</v>
      </c>
      <c r="F15" s="43"/>
      <c r="G15" s="4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T15" s="42"/>
      <c r="U15" s="42"/>
      <c r="Z15" s="42"/>
      <c r="AF15" s="42"/>
      <c r="AJ15" s="42"/>
    </row>
    <row r="16" spans="1:36" ht="16.5">
      <c r="A16" s="48">
        <v>15</v>
      </c>
      <c r="B16" s="101" t="str">
        <f t="shared" si="0"/>
        <v>NewOrderSingleConditional</v>
      </c>
      <c r="C16" s="48" t="s">
        <v>426</v>
      </c>
      <c r="D16" s="48">
        <v>15</v>
      </c>
      <c r="E16" s="10" t="s">
        <v>471</v>
      </c>
      <c r="F16" s="43"/>
      <c r="G16" s="43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T16" s="42"/>
      <c r="U16" s="42"/>
      <c r="Z16" s="42"/>
      <c r="AF16" s="42"/>
      <c r="AJ16" s="42"/>
    </row>
    <row r="17" spans="1:36" ht="16.5">
      <c r="A17" s="48">
        <v>16</v>
      </c>
      <c r="B17" s="101" t="str">
        <f t="shared" si="0"/>
        <v>NewOrderSingleConditional</v>
      </c>
      <c r="C17" s="48" t="s">
        <v>426</v>
      </c>
      <c r="D17" s="48">
        <v>16</v>
      </c>
      <c r="E17" s="10" t="s">
        <v>472</v>
      </c>
      <c r="F17" s="43"/>
      <c r="G17" s="43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T17" s="42"/>
      <c r="U17" s="42"/>
      <c r="Z17" s="42"/>
      <c r="AF17" s="42"/>
      <c r="AJ17" s="42"/>
    </row>
    <row r="18" spans="1:36" s="51" customFormat="1" ht="16.5">
      <c r="A18" s="51">
        <v>17</v>
      </c>
      <c r="B18" s="103" t="str">
        <f t="shared" si="0"/>
        <v>NewOrderSingleConditional</v>
      </c>
      <c r="C18" s="51" t="s">
        <v>426</v>
      </c>
      <c r="D18" s="51">
        <v>17</v>
      </c>
      <c r="E18" s="35" t="s">
        <v>473</v>
      </c>
      <c r="F18" s="52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T18" s="53"/>
      <c r="U18" s="53"/>
      <c r="Z18" s="53"/>
      <c r="AF18" s="53"/>
      <c r="AJ18" s="53"/>
    </row>
    <row r="19" spans="1:36" ht="16.5">
      <c r="A19" s="48">
        <v>18</v>
      </c>
      <c r="B19" s="101" t="str">
        <f t="shared" si="0"/>
        <v>NewOrderSingleConditional</v>
      </c>
      <c r="C19" s="48" t="s">
        <v>426</v>
      </c>
      <c r="D19" s="48">
        <v>18</v>
      </c>
      <c r="E19" s="10" t="s">
        <v>474</v>
      </c>
      <c r="F19" s="43"/>
      <c r="G19" s="43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T19" s="42"/>
      <c r="U19" s="42"/>
      <c r="Z19" s="42"/>
      <c r="AF19" s="42"/>
      <c r="AJ19" s="42"/>
    </row>
    <row r="20" spans="1:36" ht="16.5">
      <c r="A20" s="48">
        <v>19</v>
      </c>
      <c r="B20" s="101" t="str">
        <f t="shared" si="0"/>
        <v>NewOrderSingleConditional</v>
      </c>
      <c r="C20" s="48" t="s">
        <v>426</v>
      </c>
      <c r="D20" s="48">
        <v>19</v>
      </c>
      <c r="E20" s="10" t="s">
        <v>475</v>
      </c>
      <c r="F20" s="43"/>
      <c r="G20" s="43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T20" s="42"/>
      <c r="U20" s="42"/>
      <c r="Z20" s="42"/>
      <c r="AF20" s="42"/>
      <c r="AJ20" s="42"/>
    </row>
    <row r="21" spans="1:36" ht="16.5">
      <c r="A21" s="48">
        <v>20</v>
      </c>
      <c r="B21" s="101" t="str">
        <f t="shared" si="0"/>
        <v>NewOrderSingleConditional</v>
      </c>
      <c r="C21" s="48" t="s">
        <v>426</v>
      </c>
      <c r="D21" s="48">
        <v>20</v>
      </c>
      <c r="E21" s="10" t="s">
        <v>476</v>
      </c>
      <c r="F21" s="43"/>
      <c r="G21" s="43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T21" s="42"/>
      <c r="U21" s="42"/>
      <c r="Z21" s="42"/>
      <c r="AF21" s="42"/>
      <c r="AJ21" s="42"/>
    </row>
    <row r="22" spans="1:36" ht="16.5">
      <c r="A22" s="48">
        <v>21</v>
      </c>
      <c r="B22" s="101" t="str">
        <f t="shared" si="0"/>
        <v>NewOrderSingleConditional</v>
      </c>
      <c r="C22" s="48" t="s">
        <v>426</v>
      </c>
      <c r="D22" s="48">
        <v>21</v>
      </c>
      <c r="E22" s="10" t="s">
        <v>477</v>
      </c>
      <c r="F22" s="43"/>
      <c r="G22" s="43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T22" s="42"/>
      <c r="U22" s="42"/>
      <c r="Z22" s="42"/>
      <c r="AF22" s="42"/>
      <c r="AJ22" s="42"/>
    </row>
    <row r="23" spans="1:36" s="45" customFormat="1" ht="16.5">
      <c r="A23" s="45">
        <v>22</v>
      </c>
      <c r="B23" s="102" t="str">
        <f t="shared" si="0"/>
        <v>NewOrderSingleConditional</v>
      </c>
      <c r="C23" s="45" t="s">
        <v>426</v>
      </c>
      <c r="D23" s="45">
        <v>22</v>
      </c>
      <c r="E23" s="27" t="s">
        <v>478</v>
      </c>
      <c r="F23" s="46"/>
      <c r="G23" s="46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T23" s="47"/>
      <c r="U23" s="47"/>
      <c r="Z23" s="47"/>
      <c r="AF23" s="47"/>
      <c r="AJ23" s="47"/>
    </row>
    <row r="24" spans="1:36" ht="16.5">
      <c r="A24" s="48">
        <v>23</v>
      </c>
      <c r="B24" s="101" t="str">
        <f t="shared" si="0"/>
        <v>NewOrderSingleConditional</v>
      </c>
      <c r="C24" s="48" t="s">
        <v>426</v>
      </c>
      <c r="D24" s="48">
        <v>23</v>
      </c>
      <c r="E24" s="10" t="s">
        <v>479</v>
      </c>
      <c r="F24" s="43"/>
      <c r="G24" s="43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T24" s="42"/>
      <c r="U24" s="42"/>
      <c r="Z24" s="42"/>
      <c r="AF24" s="42"/>
      <c r="AJ24" s="42"/>
    </row>
    <row r="25" spans="1:36" ht="16.5">
      <c r="A25" s="48">
        <v>24</v>
      </c>
      <c r="B25" s="101" t="str">
        <f t="shared" si="0"/>
        <v>NewOrderSingleConditional</v>
      </c>
      <c r="C25" s="48" t="s">
        <v>426</v>
      </c>
      <c r="D25" s="48">
        <v>24</v>
      </c>
      <c r="E25" s="10" t="s">
        <v>480</v>
      </c>
      <c r="F25" s="43"/>
      <c r="G25" s="43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T25" s="42"/>
      <c r="U25" s="42"/>
      <c r="Z25" s="42"/>
      <c r="AF25" s="42"/>
      <c r="AJ25" s="42"/>
    </row>
    <row r="26" spans="1:36" ht="16.5">
      <c r="A26" s="48">
        <v>25</v>
      </c>
      <c r="B26" s="101" t="str">
        <f t="shared" si="0"/>
        <v>NewOrderSingleConditional</v>
      </c>
      <c r="C26" s="48" t="s">
        <v>426</v>
      </c>
      <c r="D26" s="48">
        <v>25</v>
      </c>
      <c r="E26" s="10" t="s">
        <v>481</v>
      </c>
      <c r="F26" s="43"/>
      <c r="G26" s="43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T26" s="42"/>
      <c r="U26" s="42"/>
      <c r="Z26" s="42"/>
      <c r="AF26" s="42"/>
      <c r="AJ26" s="42"/>
    </row>
    <row r="27" spans="1:36" s="45" customFormat="1" ht="16.5">
      <c r="A27" s="45">
        <v>26</v>
      </c>
      <c r="B27" s="102" t="str">
        <f t="shared" si="0"/>
        <v>NewOrderSingleConditional</v>
      </c>
      <c r="C27" s="45" t="s">
        <v>426</v>
      </c>
      <c r="D27" s="45">
        <v>26</v>
      </c>
      <c r="E27" s="27" t="s">
        <v>482</v>
      </c>
      <c r="F27" s="46"/>
      <c r="G27" s="46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T27" s="47"/>
      <c r="U27" s="47"/>
      <c r="Z27" s="47"/>
      <c r="AF27" s="47"/>
      <c r="AJ27" s="47"/>
    </row>
    <row r="28" spans="1:36" ht="16.5">
      <c r="A28" s="48">
        <v>27</v>
      </c>
      <c r="B28" s="101" t="str">
        <f t="shared" si="0"/>
        <v>NewOrderSingleConditional</v>
      </c>
      <c r="C28" s="48" t="s">
        <v>426</v>
      </c>
      <c r="D28" s="48">
        <v>27</v>
      </c>
      <c r="E28" s="10" t="s">
        <v>483</v>
      </c>
      <c r="F28" s="43"/>
      <c r="G28" s="43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T28" s="42"/>
      <c r="U28" s="42"/>
      <c r="Z28" s="42"/>
      <c r="AF28" s="42"/>
      <c r="AJ28" s="42"/>
    </row>
    <row r="29" spans="1:36" s="45" customFormat="1" ht="16.5">
      <c r="A29" s="45">
        <v>28</v>
      </c>
      <c r="B29" s="102" t="str">
        <f t="shared" si="0"/>
        <v>NewOrderSingleConditional</v>
      </c>
      <c r="C29" s="45" t="s">
        <v>426</v>
      </c>
      <c r="D29" s="45">
        <v>28</v>
      </c>
      <c r="E29" s="27" t="s">
        <v>484</v>
      </c>
      <c r="F29" s="46"/>
      <c r="G29" s="46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T29" s="47"/>
      <c r="U29" s="47"/>
      <c r="Z29" s="47"/>
      <c r="AF29" s="47"/>
      <c r="AJ29" s="47"/>
    </row>
    <row r="30" spans="1:36" ht="16.5">
      <c r="A30" s="48">
        <v>29</v>
      </c>
      <c r="B30" s="101" t="str">
        <f t="shared" si="0"/>
        <v>NewOrderSingleConditional</v>
      </c>
      <c r="C30" s="48" t="s">
        <v>426</v>
      </c>
      <c r="D30" s="48">
        <v>29</v>
      </c>
      <c r="E30" s="10" t="s">
        <v>598</v>
      </c>
      <c r="F30" s="43"/>
      <c r="G30" s="43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T30" s="42"/>
      <c r="U30" s="42"/>
      <c r="Z30" s="42"/>
      <c r="AF30" s="42"/>
      <c r="AJ30" s="42"/>
    </row>
    <row r="31" spans="1:36" ht="16.5">
      <c r="A31" s="48">
        <v>30</v>
      </c>
      <c r="B31" s="101" t="str">
        <f t="shared" si="0"/>
        <v>NewOrderSingleConditional</v>
      </c>
      <c r="C31" s="48" t="s">
        <v>426</v>
      </c>
      <c r="D31" s="48">
        <v>30</v>
      </c>
      <c r="E31" s="10" t="s">
        <v>599</v>
      </c>
      <c r="F31" s="43"/>
      <c r="G31" s="43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T31" s="42"/>
      <c r="U31" s="42"/>
      <c r="Z31" s="42"/>
      <c r="AF31" s="42"/>
      <c r="AJ31" s="42"/>
    </row>
    <row r="32" spans="1:36">
      <c r="A32" s="48"/>
      <c r="E32" s="54"/>
      <c r="F32" s="43"/>
      <c r="G32" s="43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T32" s="42"/>
      <c r="U32" s="42"/>
      <c r="Z32" s="42"/>
      <c r="AF32" s="42"/>
      <c r="AJ32" s="42"/>
    </row>
    <row r="33" spans="1:36">
      <c r="A33" s="48"/>
      <c r="E33" s="54"/>
      <c r="F33" s="43"/>
      <c r="G33" s="43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T33" s="42"/>
      <c r="U33" s="42"/>
      <c r="Z33" s="42"/>
      <c r="AF33" s="42"/>
      <c r="AJ33" s="42"/>
    </row>
    <row r="34" spans="1:36">
      <c r="E34" s="54"/>
      <c r="F34" s="43"/>
      <c r="G34" s="43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T34" s="42"/>
      <c r="U34" s="42"/>
      <c r="Z34" s="42"/>
      <c r="AF34" s="42"/>
      <c r="AJ34" s="42"/>
    </row>
    <row r="35" spans="1:36">
      <c r="E35" s="54"/>
      <c r="F35" s="43"/>
      <c r="G35" s="43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T35" s="42"/>
      <c r="U35" s="42"/>
      <c r="Z35" s="42"/>
      <c r="AF35" s="42"/>
      <c r="AJ35" s="42"/>
    </row>
    <row r="36" spans="1:36">
      <c r="E36" s="105" t="s">
        <v>628</v>
      </c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42"/>
      <c r="R36" s="42"/>
      <c r="T36" s="42"/>
      <c r="U36" s="42"/>
      <c r="Z36" s="42"/>
      <c r="AF36" s="42"/>
      <c r="AJ36" s="42"/>
    </row>
    <row r="37" spans="1:36"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42"/>
      <c r="R37" s="42"/>
      <c r="T37" s="42"/>
      <c r="U37" s="42"/>
      <c r="Z37" s="42"/>
      <c r="AF37" s="42"/>
      <c r="AJ37" s="42"/>
    </row>
    <row r="38" spans="1:36"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42"/>
      <c r="R38" s="42"/>
      <c r="T38" s="42"/>
      <c r="U38" s="42"/>
      <c r="Z38" s="42"/>
      <c r="AF38" s="42"/>
      <c r="AJ38" s="42"/>
    </row>
    <row r="39" spans="1:36"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42"/>
      <c r="R39" s="42"/>
      <c r="T39" s="42"/>
      <c r="U39" s="42"/>
      <c r="Z39" s="42"/>
      <c r="AF39" s="42"/>
      <c r="AJ39" s="42"/>
    </row>
    <row r="40" spans="1:36"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42"/>
      <c r="R40" s="42"/>
      <c r="T40" s="42"/>
      <c r="U40" s="42"/>
      <c r="Z40" s="42"/>
      <c r="AF40" s="42"/>
      <c r="AJ40" s="42"/>
    </row>
    <row r="41" spans="1:36"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42"/>
      <c r="R41" s="42"/>
      <c r="T41" s="42"/>
      <c r="U41" s="42"/>
      <c r="Z41" s="42"/>
      <c r="AF41" s="42"/>
      <c r="AJ41" s="42"/>
    </row>
    <row r="42" spans="1:36"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42"/>
      <c r="R42" s="42"/>
      <c r="T42" s="42"/>
      <c r="U42" s="42"/>
      <c r="Z42" s="42"/>
      <c r="AF42" s="42"/>
      <c r="AJ42" s="42"/>
    </row>
    <row r="43" spans="1:36"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42"/>
      <c r="R43" s="42"/>
      <c r="T43" s="42"/>
      <c r="U43" s="42"/>
      <c r="Z43" s="42"/>
      <c r="AF43" s="42"/>
      <c r="AJ43" s="42"/>
    </row>
    <row r="44" spans="1:36">
      <c r="E44" s="54"/>
      <c r="F44" s="43"/>
      <c r="G44" s="43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T44" s="42"/>
      <c r="U44" s="42"/>
      <c r="Z44" s="42"/>
      <c r="AF44" s="42"/>
      <c r="AJ44" s="42"/>
    </row>
    <row r="45" spans="1:36">
      <c r="E45" s="54"/>
      <c r="F45" s="43"/>
      <c r="G45" s="43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T45" s="42"/>
      <c r="U45" s="42"/>
      <c r="Z45" s="42"/>
      <c r="AF45" s="42"/>
      <c r="AJ45" s="42"/>
    </row>
    <row r="46" spans="1:36">
      <c r="E46" s="54"/>
      <c r="F46" s="43"/>
      <c r="G46" s="43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T46" s="42"/>
      <c r="U46" s="42"/>
      <c r="Z46" s="42"/>
      <c r="AF46" s="42"/>
      <c r="AJ46" s="42"/>
    </row>
    <row r="47" spans="1:36">
      <c r="E47" s="54"/>
      <c r="F47" s="43"/>
      <c r="G47" s="43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T47" s="42"/>
      <c r="U47" s="42"/>
      <c r="Z47" s="42"/>
      <c r="AF47" s="42"/>
      <c r="AJ47" s="42"/>
    </row>
    <row r="48" spans="1:36">
      <c r="E48" s="54"/>
      <c r="F48" s="43"/>
      <c r="G48" s="43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T48" s="42"/>
      <c r="U48" s="42"/>
      <c r="Z48" s="42"/>
      <c r="AF48" s="42"/>
      <c r="AJ48" s="42"/>
    </row>
    <row r="49" spans="5:36">
      <c r="E49" s="54"/>
      <c r="F49" s="43"/>
      <c r="G49" s="43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T49" s="42"/>
      <c r="U49" s="42"/>
      <c r="Z49" s="42"/>
      <c r="AF49" s="42"/>
      <c r="AJ49" s="42"/>
    </row>
    <row r="50" spans="5:36">
      <c r="E50" s="54"/>
      <c r="F50" s="43"/>
      <c r="G50" s="43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T50" s="42"/>
      <c r="U50" s="42"/>
      <c r="Z50" s="42"/>
      <c r="AF50" s="42"/>
      <c r="AJ50" s="42"/>
    </row>
    <row r="51" spans="5:36">
      <c r="E51" s="54"/>
      <c r="F51" s="43"/>
      <c r="G51" s="43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T51" s="42"/>
      <c r="U51" s="42"/>
      <c r="Z51" s="42"/>
      <c r="AF51" s="42"/>
      <c r="AJ51" s="42"/>
    </row>
    <row r="52" spans="5:36">
      <c r="E52" s="54"/>
      <c r="F52" s="43"/>
      <c r="G52" s="43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T52" s="42"/>
      <c r="U52" s="42"/>
      <c r="Z52" s="42"/>
      <c r="AF52" s="42"/>
      <c r="AJ52" s="42"/>
    </row>
    <row r="53" spans="5:36">
      <c r="E53" s="54"/>
      <c r="F53" s="43"/>
      <c r="G53" s="43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T53" s="42"/>
      <c r="U53" s="42"/>
      <c r="Z53" s="42"/>
      <c r="AF53" s="42"/>
      <c r="AJ53" s="42"/>
    </row>
    <row r="54" spans="5:36">
      <c r="E54" s="54"/>
      <c r="F54" s="43"/>
      <c r="G54" s="43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T54" s="42"/>
      <c r="U54" s="42"/>
      <c r="Z54" s="42"/>
      <c r="AF54" s="42"/>
      <c r="AJ54" s="42"/>
    </row>
    <row r="55" spans="5:36">
      <c r="E55" s="54"/>
      <c r="F55" s="43"/>
      <c r="G55" s="43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T55" s="42"/>
      <c r="U55" s="42"/>
      <c r="Z55" s="42"/>
      <c r="AF55" s="42"/>
      <c r="AJ55" s="42"/>
    </row>
    <row r="56" spans="5:36">
      <c r="E56" s="54"/>
      <c r="F56" s="43"/>
      <c r="G56" s="43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T56" s="42"/>
      <c r="U56" s="42"/>
      <c r="Z56" s="42"/>
      <c r="AF56" s="42"/>
      <c r="AJ56" s="42"/>
    </row>
    <row r="57" spans="5:36">
      <c r="E57" s="54"/>
      <c r="F57" s="43"/>
      <c r="G57" s="43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T57" s="42"/>
      <c r="U57" s="42"/>
      <c r="Z57" s="42"/>
      <c r="AF57" s="42"/>
      <c r="AJ57" s="42"/>
    </row>
    <row r="58" spans="5:36">
      <c r="E58" s="54"/>
      <c r="F58" s="43"/>
      <c r="G58" s="43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T58" s="42"/>
      <c r="U58" s="42"/>
      <c r="Z58" s="42"/>
      <c r="AF58" s="42"/>
      <c r="AJ58" s="42"/>
    </row>
    <row r="59" spans="5:36">
      <c r="E59" s="54"/>
      <c r="F59" s="43"/>
      <c r="G59" s="43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T59" s="42"/>
      <c r="U59" s="42"/>
      <c r="Z59" s="42"/>
      <c r="AF59" s="42"/>
      <c r="AJ59" s="42"/>
    </row>
    <row r="60" spans="5:36">
      <c r="E60" s="54"/>
      <c r="F60" s="43"/>
      <c r="G60" s="43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T60" s="42"/>
      <c r="U60" s="42"/>
      <c r="Z60" s="42"/>
      <c r="AF60" s="42"/>
      <c r="AJ60" s="42"/>
    </row>
    <row r="61" spans="5:36">
      <c r="E61" s="54"/>
      <c r="F61" s="43"/>
      <c r="G61" s="43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T61" s="42"/>
      <c r="U61" s="42"/>
      <c r="Z61" s="42"/>
      <c r="AF61" s="42"/>
      <c r="AJ61" s="42"/>
    </row>
    <row r="62" spans="5:36">
      <c r="E62" s="54"/>
      <c r="F62" s="43"/>
      <c r="G62" s="43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T62" s="42"/>
      <c r="U62" s="42"/>
      <c r="Z62" s="42"/>
      <c r="AF62" s="42"/>
      <c r="AJ62" s="42"/>
    </row>
    <row r="63" spans="5:36">
      <c r="E63" s="54"/>
      <c r="F63" s="43"/>
      <c r="G63" s="43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T63" s="42"/>
      <c r="U63" s="42"/>
      <c r="Z63" s="42"/>
      <c r="AF63" s="42"/>
      <c r="AJ63" s="42"/>
    </row>
    <row r="64" spans="5:36">
      <c r="E64" s="54"/>
      <c r="F64" s="43"/>
      <c r="G64" s="43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T64" s="42"/>
      <c r="U64" s="42"/>
      <c r="Z64" s="42"/>
      <c r="AF64" s="42"/>
      <c r="AJ64" s="42"/>
    </row>
    <row r="65" spans="5:36">
      <c r="E65" s="54"/>
      <c r="F65" s="43"/>
      <c r="G65" s="43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T65" s="42"/>
      <c r="U65" s="42"/>
      <c r="Z65" s="42"/>
      <c r="AF65" s="42"/>
      <c r="AJ65" s="42"/>
    </row>
    <row r="66" spans="5:36">
      <c r="E66" s="54"/>
      <c r="F66" s="43"/>
      <c r="G66" s="43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T66" s="42"/>
      <c r="U66" s="42"/>
      <c r="Z66" s="42"/>
      <c r="AF66" s="42"/>
      <c r="AJ66" s="42"/>
    </row>
    <row r="67" spans="5:36">
      <c r="E67" s="54"/>
      <c r="F67" s="43"/>
      <c r="G67" s="43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T67" s="42"/>
      <c r="U67" s="42"/>
      <c r="Z67" s="42"/>
      <c r="AF67" s="42"/>
      <c r="AJ67" s="42"/>
    </row>
    <row r="68" spans="5:36">
      <c r="E68" s="54"/>
      <c r="F68" s="43"/>
      <c r="G68" s="43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T68" s="42"/>
      <c r="U68" s="42"/>
      <c r="Z68" s="42"/>
      <c r="AF68" s="42"/>
      <c r="AJ68" s="42"/>
    </row>
    <row r="69" spans="5:36">
      <c r="E69" s="54"/>
      <c r="F69" s="43"/>
      <c r="G69" s="43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T69" s="42"/>
      <c r="U69" s="42"/>
      <c r="Z69" s="42"/>
      <c r="AF69" s="42"/>
      <c r="AJ69" s="42"/>
    </row>
    <row r="70" spans="5:36">
      <c r="E70" s="54"/>
      <c r="F70" s="43"/>
      <c r="G70" s="43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T70" s="42"/>
      <c r="U70" s="42"/>
      <c r="Z70" s="42"/>
      <c r="AF70" s="42"/>
      <c r="AJ70" s="42"/>
    </row>
    <row r="71" spans="5:36">
      <c r="E71" s="54"/>
      <c r="F71" s="43"/>
      <c r="G71" s="43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T71" s="42"/>
      <c r="U71" s="42"/>
      <c r="Z71" s="42"/>
      <c r="AF71" s="42"/>
      <c r="AJ71" s="42"/>
    </row>
    <row r="72" spans="5:36">
      <c r="E72" s="54"/>
      <c r="F72" s="43"/>
      <c r="G72" s="43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T72" s="42"/>
      <c r="U72" s="42"/>
      <c r="Z72" s="42"/>
      <c r="AF72" s="42"/>
      <c r="AJ72" s="42"/>
    </row>
    <row r="73" spans="5:36">
      <c r="E73" s="54"/>
      <c r="F73" s="43"/>
      <c r="G73" s="43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T73" s="42"/>
      <c r="U73" s="42"/>
      <c r="Z73" s="42"/>
      <c r="AF73" s="42"/>
      <c r="AJ73" s="42"/>
    </row>
    <row r="74" spans="5:36">
      <c r="E74" s="54"/>
      <c r="F74" s="43"/>
      <c r="G74" s="43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T74" s="42"/>
      <c r="U74" s="42"/>
      <c r="Z74" s="42"/>
      <c r="AF74" s="42"/>
      <c r="AJ74" s="42"/>
    </row>
    <row r="75" spans="5:36">
      <c r="E75" s="54"/>
      <c r="F75" s="43"/>
      <c r="G75" s="43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T75" s="42"/>
      <c r="U75" s="42"/>
      <c r="Z75" s="42"/>
      <c r="AF75" s="42"/>
      <c r="AJ75" s="42"/>
    </row>
    <row r="76" spans="5:36">
      <c r="E76" s="54"/>
      <c r="F76" s="43"/>
      <c r="G76" s="43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T76" s="42"/>
      <c r="U76" s="42"/>
      <c r="Z76" s="42"/>
      <c r="AF76" s="42"/>
      <c r="AJ76" s="42"/>
    </row>
    <row r="77" spans="5:36">
      <c r="E77" s="54"/>
      <c r="F77" s="43"/>
      <c r="G77" s="43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T77" s="42"/>
      <c r="U77" s="42"/>
      <c r="Z77" s="42"/>
      <c r="AF77" s="42"/>
      <c r="AJ77" s="42"/>
    </row>
    <row r="78" spans="5:36">
      <c r="E78" s="54"/>
      <c r="F78" s="43"/>
      <c r="G78" s="43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T78" s="42"/>
      <c r="U78" s="42"/>
      <c r="Z78" s="42"/>
      <c r="AF78" s="42"/>
      <c r="AJ78" s="42"/>
    </row>
    <row r="79" spans="5:36">
      <c r="E79" s="54"/>
      <c r="F79" s="43"/>
      <c r="G79" s="43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T79" s="42"/>
      <c r="U79" s="42"/>
      <c r="Z79" s="42"/>
      <c r="AF79" s="42"/>
      <c r="AJ79" s="42"/>
    </row>
    <row r="80" spans="5:36">
      <c r="E80" s="54"/>
      <c r="F80" s="43"/>
      <c r="G80" s="43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T80" s="42"/>
      <c r="U80" s="42"/>
      <c r="Z80" s="42"/>
      <c r="AF80" s="42"/>
      <c r="AJ80" s="42"/>
    </row>
    <row r="81" spans="5:36">
      <c r="E81" s="54"/>
      <c r="F81" s="43"/>
      <c r="G81" s="43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T81" s="42"/>
      <c r="U81" s="42"/>
      <c r="Z81" s="42"/>
      <c r="AF81" s="42"/>
      <c r="AJ81" s="42"/>
    </row>
    <row r="82" spans="5:36">
      <c r="E82" s="54"/>
      <c r="F82" s="43"/>
      <c r="G82" s="43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T82" s="42"/>
      <c r="U82" s="42"/>
      <c r="Z82" s="42"/>
      <c r="AF82" s="42"/>
      <c r="AJ82" s="42"/>
    </row>
    <row r="83" spans="5:36">
      <c r="E83" s="54"/>
      <c r="F83" s="43"/>
      <c r="G83" s="43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T83" s="42"/>
      <c r="U83" s="42"/>
      <c r="Z83" s="42"/>
      <c r="AF83" s="42"/>
      <c r="AJ83" s="42"/>
    </row>
    <row r="84" spans="5:36">
      <c r="E84" s="54"/>
      <c r="F84" s="43"/>
      <c r="G84" s="43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T84" s="42"/>
      <c r="U84" s="42"/>
      <c r="Z84" s="42"/>
      <c r="AF84" s="42"/>
      <c r="AJ84" s="42"/>
    </row>
    <row r="85" spans="5:36">
      <c r="E85" s="54"/>
      <c r="F85" s="43"/>
      <c r="G85" s="43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T85" s="42"/>
      <c r="U85" s="42"/>
      <c r="Z85" s="42"/>
      <c r="AF85" s="42"/>
      <c r="AJ85" s="42"/>
    </row>
    <row r="86" spans="5:36">
      <c r="E86" s="54"/>
      <c r="F86" s="43"/>
      <c r="G86" s="43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T86" s="42"/>
      <c r="U86" s="42"/>
      <c r="Z86" s="42"/>
      <c r="AF86" s="42"/>
      <c r="AJ86" s="42"/>
    </row>
    <row r="87" spans="5:36">
      <c r="E87" s="54"/>
      <c r="F87" s="43"/>
      <c r="G87" s="43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T87" s="42"/>
      <c r="U87" s="42"/>
      <c r="Z87" s="42"/>
      <c r="AF87" s="42"/>
      <c r="AJ87" s="42"/>
    </row>
    <row r="88" spans="5:36">
      <c r="E88" s="54"/>
      <c r="F88" s="43"/>
      <c r="G88" s="43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T88" s="42"/>
      <c r="U88" s="42"/>
      <c r="Z88" s="42"/>
      <c r="AF88" s="42"/>
      <c r="AJ88" s="42"/>
    </row>
    <row r="89" spans="5:36">
      <c r="E89" s="54"/>
      <c r="F89" s="43"/>
      <c r="G89" s="43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T89" s="42"/>
      <c r="U89" s="42"/>
      <c r="Z89" s="42"/>
      <c r="AF89" s="42"/>
      <c r="AJ89" s="42"/>
    </row>
    <row r="90" spans="5:36">
      <c r="E90" s="54"/>
      <c r="F90" s="43"/>
      <c r="G90" s="43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T90" s="42"/>
      <c r="U90" s="42"/>
      <c r="Z90" s="42"/>
      <c r="AF90" s="42"/>
      <c r="AJ90" s="42"/>
    </row>
    <row r="91" spans="5:36">
      <c r="E91" s="54"/>
      <c r="F91" s="43"/>
      <c r="G91" s="43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T91" s="42"/>
      <c r="U91" s="42"/>
      <c r="Z91" s="42"/>
      <c r="AF91" s="42"/>
      <c r="AJ91" s="42"/>
    </row>
    <row r="92" spans="5:36">
      <c r="E92" s="54"/>
      <c r="F92" s="43"/>
      <c r="G92" s="43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T92" s="42"/>
      <c r="U92" s="42"/>
      <c r="Z92" s="42"/>
      <c r="AF92" s="42"/>
      <c r="AJ92" s="42"/>
    </row>
    <row r="93" spans="5:36">
      <c r="E93" s="54"/>
      <c r="F93" s="43"/>
      <c r="G93" s="43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T93" s="42"/>
      <c r="U93" s="42"/>
      <c r="Z93" s="42"/>
      <c r="AF93" s="42"/>
      <c r="AJ93" s="42"/>
    </row>
    <row r="94" spans="5:36">
      <c r="E94" s="54"/>
      <c r="F94" s="43"/>
      <c r="G94" s="43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T94" s="42"/>
      <c r="U94" s="42"/>
      <c r="Z94" s="42"/>
      <c r="AF94" s="42"/>
      <c r="AJ94" s="42"/>
    </row>
    <row r="95" spans="5:36">
      <c r="E95" s="54"/>
      <c r="F95" s="43"/>
      <c r="G95" s="43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T95" s="42"/>
      <c r="U95" s="42"/>
      <c r="Z95" s="42"/>
      <c r="AF95" s="42"/>
      <c r="AJ95" s="42"/>
    </row>
    <row r="96" spans="5:36">
      <c r="E96" s="54"/>
      <c r="F96" s="43"/>
      <c r="G96" s="43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T96" s="42"/>
      <c r="U96" s="42"/>
      <c r="Z96" s="42"/>
      <c r="AF96" s="42"/>
      <c r="AJ96" s="42"/>
    </row>
    <row r="97" spans="5:36">
      <c r="E97" s="54"/>
      <c r="F97" s="43"/>
      <c r="G97" s="43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T97" s="42"/>
      <c r="U97" s="42"/>
      <c r="Z97" s="42"/>
      <c r="AF97" s="42"/>
      <c r="AJ97" s="42"/>
    </row>
    <row r="98" spans="5:36">
      <c r="E98" s="54"/>
      <c r="F98" s="43"/>
      <c r="G98" s="43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T98" s="42"/>
      <c r="U98" s="42"/>
      <c r="Z98" s="42"/>
      <c r="AF98" s="42"/>
      <c r="AJ98" s="42"/>
    </row>
    <row r="99" spans="5:36">
      <c r="E99" s="54"/>
      <c r="F99" s="43"/>
      <c r="G99" s="43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T99" s="42"/>
      <c r="U99" s="42"/>
      <c r="Z99" s="42"/>
      <c r="AF99" s="42"/>
      <c r="AJ99" s="42"/>
    </row>
    <row r="100" spans="5:36">
      <c r="E100" s="54"/>
      <c r="F100" s="43"/>
      <c r="G100" s="43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T100" s="42"/>
      <c r="U100" s="42"/>
      <c r="Z100" s="42"/>
      <c r="AF100" s="42"/>
      <c r="AJ100" s="42"/>
    </row>
  </sheetData>
  <mergeCells count="1">
    <mergeCell ref="E36:P43"/>
  </mergeCells>
  <phoneticPr fontId="2" type="noConversion"/>
  <hyperlinks>
    <hyperlink ref="B2" location="NewOrderSingleConditional!A4" display="NewOrderSingleConditional"/>
    <hyperlink ref="B3" location="NewOrderSingleConditional!A5" display="NewOrderSingleConditional"/>
    <hyperlink ref="B4" location="NewOrderSingleConditional!A6" display="NewOrderSingleConditional"/>
    <hyperlink ref="B5" location="NewOrderSingleConditional!A7" display="NewOrderSingleConditional"/>
    <hyperlink ref="B6" location="NewOrderSingleConditional!A8" display="NewOrderSingleConditional"/>
    <hyperlink ref="B7" location="NewOrderSingleConditional!A9" display="NewOrderSingleConditional"/>
    <hyperlink ref="B8" location="NewOrderSingleConditional!A10" display="NewOrderSingleConditional"/>
    <hyperlink ref="B9" location="NewOrderSingleConditional!A11" display="NewOrderSingleConditional"/>
    <hyperlink ref="B10" location="NewOrderSingleConditional!A12" display="NewOrderSingleConditional"/>
    <hyperlink ref="B11" location="NewOrderSingleConditional!A13" display="NewOrderSingleConditional"/>
    <hyperlink ref="B12" location="NewOrderSingleConditional!A15" display="NewOrderSingleConditional"/>
    <hyperlink ref="B13" location="NewOrderSingleConditional!A16" display="NewOrderSingleConditional"/>
    <hyperlink ref="B14" location="NewOrderSingleConditional!A17" display="NewOrderSingleConditional"/>
    <hyperlink ref="B15" location="NewOrderSingleConditional!A18" display="NewOrderSingleConditional"/>
    <hyperlink ref="B16" location="NewOrderSingleConditional!A19" display="NewOrderSingleConditional"/>
    <hyperlink ref="B17" location="NewOrderSingleConditional!A20" display="NewOrderSingleConditional"/>
    <hyperlink ref="B18" location="NewOrderSingleConditional!A21" display="NewOrderSingleConditional"/>
    <hyperlink ref="B19:B29" location="NewOrderSingleConditional!A21" display="NewOrderSingleConditional"/>
    <hyperlink ref="B19" location="NewOrderSingleConditional!A22" display="NewOrderSingleConditional"/>
    <hyperlink ref="B20" location="NewOrderSingleConditional!A23" display="NewOrderSingleConditional"/>
    <hyperlink ref="B21" location="NewOrderSingleConditional!A24" display="NewOrderSingleConditional"/>
    <hyperlink ref="B22" location="NewOrderSingleConditional!A25" display="NewOrderSingleConditional"/>
    <hyperlink ref="B23" location="NewOrderSingleConditional!A26" display="NewOrderSingleConditional"/>
    <hyperlink ref="B24" location="NewOrderSingleConditional!A27" display="NewOrderSingleConditional"/>
    <hyperlink ref="B25" location="NewOrderSingleConditional!A28" display="NewOrderSingleConditional"/>
    <hyperlink ref="B26" location="NewOrderSingleConditional!A29" display="NewOrderSingleConditional"/>
    <hyperlink ref="B27" location="NewOrderSingleConditional!A30" display="NewOrderSingleConditional"/>
    <hyperlink ref="B28" location="NewOrderSingleConditional!A31" display="NewOrderSingleConditional"/>
    <hyperlink ref="B29" location="NewOrderSingleConditional!A32" display="NewOrderSingleConditional"/>
  </hyperlinks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42"/>
  <sheetViews>
    <sheetView tabSelected="1" workbookViewId="0">
      <selection activeCell="L16" sqref="L16"/>
    </sheetView>
  </sheetViews>
  <sheetFormatPr defaultRowHeight="14.25"/>
  <cols>
    <col min="6" max="6" width="15.75" customWidth="1"/>
    <col min="7" max="7" width="14.625" customWidth="1"/>
    <col min="19" max="19" width="13.25" customWidth="1"/>
    <col min="21" max="21" width="9" customWidth="1"/>
    <col min="26" max="26" width="16.5" bestFit="1" customWidth="1"/>
    <col min="35" max="35" width="14.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100</v>
      </c>
      <c r="H1" t="s">
        <v>6</v>
      </c>
      <c r="I1" t="s">
        <v>32</v>
      </c>
      <c r="J1" t="s">
        <v>55</v>
      </c>
      <c r="K1" t="s">
        <v>34</v>
      </c>
      <c r="L1" t="s">
        <v>132</v>
      </c>
      <c r="M1" t="s">
        <v>54</v>
      </c>
      <c r="N1" t="s">
        <v>88</v>
      </c>
      <c r="O1" t="s">
        <v>40</v>
      </c>
      <c r="P1" t="s">
        <v>35</v>
      </c>
      <c r="Q1" t="s">
        <v>39</v>
      </c>
      <c r="R1" t="s">
        <v>37</v>
      </c>
      <c r="S1" t="s">
        <v>33</v>
      </c>
      <c r="T1" t="s">
        <v>42</v>
      </c>
      <c r="U1" t="s">
        <v>48</v>
      </c>
      <c r="V1" t="s">
        <v>38</v>
      </c>
      <c r="W1" t="s">
        <v>44</v>
      </c>
      <c r="X1" t="s">
        <v>43</v>
      </c>
      <c r="Y1" t="s">
        <v>45</v>
      </c>
      <c r="Z1" t="s">
        <v>96</v>
      </c>
      <c r="AA1" t="s">
        <v>49</v>
      </c>
      <c r="AB1" t="s">
        <v>51</v>
      </c>
      <c r="AC1" t="s">
        <v>52</v>
      </c>
      <c r="AD1" t="s">
        <v>51</v>
      </c>
      <c r="AE1" t="s">
        <v>52</v>
      </c>
      <c r="AF1" t="s">
        <v>56</v>
      </c>
      <c r="AG1" t="s">
        <v>53</v>
      </c>
      <c r="AH1" t="s">
        <v>58</v>
      </c>
      <c r="AI1" t="s">
        <v>202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39</v>
      </c>
      <c r="K2" t="s">
        <v>13</v>
      </c>
      <c r="L2" t="s">
        <v>132</v>
      </c>
      <c r="M2" t="s">
        <v>36</v>
      </c>
      <c r="N2" t="s">
        <v>36</v>
      </c>
      <c r="O2" t="s">
        <v>41</v>
      </c>
      <c r="P2" t="s">
        <v>36</v>
      </c>
      <c r="Q2" t="s">
        <v>39</v>
      </c>
      <c r="R2" t="s">
        <v>36</v>
      </c>
      <c r="S2" t="s">
        <v>10</v>
      </c>
      <c r="T2" t="s">
        <v>36</v>
      </c>
      <c r="U2" t="s">
        <v>47</v>
      </c>
      <c r="V2" t="s">
        <v>36</v>
      </c>
      <c r="W2" t="s">
        <v>39</v>
      </c>
      <c r="X2" t="s">
        <v>41</v>
      </c>
      <c r="Y2" t="s">
        <v>46</v>
      </c>
      <c r="Z2" t="s">
        <v>97</v>
      </c>
      <c r="AA2" t="s">
        <v>50</v>
      </c>
      <c r="AB2" t="s">
        <v>10</v>
      </c>
      <c r="AC2" t="s">
        <v>13</v>
      </c>
      <c r="AD2" t="s">
        <v>10</v>
      </c>
      <c r="AE2" t="s">
        <v>13</v>
      </c>
      <c r="AF2" t="s">
        <v>57</v>
      </c>
      <c r="AG2" t="s">
        <v>14</v>
      </c>
      <c r="AH2" t="s">
        <v>57</v>
      </c>
      <c r="AI2" t="s">
        <v>57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198</v>
      </c>
      <c r="H3" s="2" t="s">
        <v>22</v>
      </c>
      <c r="I3" s="3" t="s">
        <v>63</v>
      </c>
      <c r="J3" s="3" t="s">
        <v>68</v>
      </c>
      <c r="K3" s="9" t="s">
        <v>69</v>
      </c>
      <c r="L3" s="3" t="s">
        <v>150</v>
      </c>
      <c r="M3" s="3" t="s">
        <v>70</v>
      </c>
      <c r="N3" s="3" t="s">
        <v>89</v>
      </c>
      <c r="O3" s="9" t="s">
        <v>71</v>
      </c>
      <c r="P3" s="3" t="s">
        <v>72</v>
      </c>
      <c r="Q3" s="11" t="s">
        <v>73</v>
      </c>
      <c r="R3" s="9" t="s">
        <v>74</v>
      </c>
      <c r="S3" s="3" t="s">
        <v>75</v>
      </c>
      <c r="T3" s="3" t="s">
        <v>76</v>
      </c>
      <c r="U3" s="3" t="s">
        <v>77</v>
      </c>
      <c r="V3" s="3" t="s">
        <v>78</v>
      </c>
      <c r="W3" s="11" t="s">
        <v>79</v>
      </c>
      <c r="X3" s="3" t="s">
        <v>80</v>
      </c>
      <c r="Y3" s="3" t="s">
        <v>81</v>
      </c>
      <c r="Z3" s="3" t="s">
        <v>171</v>
      </c>
      <c r="AA3" s="3" t="s">
        <v>82</v>
      </c>
      <c r="AB3" s="3" t="s">
        <v>95</v>
      </c>
      <c r="AC3" s="3" t="s">
        <v>94</v>
      </c>
      <c r="AD3" s="3" t="s">
        <v>199</v>
      </c>
      <c r="AE3" s="3" t="s">
        <v>200</v>
      </c>
      <c r="AF3" s="3" t="s">
        <v>83</v>
      </c>
      <c r="AG3" s="3" t="s">
        <v>84</v>
      </c>
      <c r="AH3" s="11" t="s">
        <v>85</v>
      </c>
      <c r="AI3" s="3" t="s">
        <v>201</v>
      </c>
      <c r="AJ3" s="2" t="s">
        <v>25</v>
      </c>
    </row>
    <row r="4" spans="1:36">
      <c r="A4" s="3" t="s">
        <v>26</v>
      </c>
      <c r="B4" s="3" t="s">
        <v>27</v>
      </c>
      <c r="C4" s="3" t="s">
        <v>86</v>
      </c>
      <c r="D4" s="3"/>
      <c r="E4" s="2" t="s">
        <v>424</v>
      </c>
      <c r="F4" s="4">
        <f t="shared" ref="F4:F33" ca="1" si="0">NOW()</f>
        <v>43887.699955324075</v>
      </c>
      <c r="G4" s="4"/>
      <c r="H4" s="3" t="s">
        <v>28</v>
      </c>
      <c r="I4" s="2" t="s">
        <v>424</v>
      </c>
      <c r="J4" s="3" t="s">
        <v>62</v>
      </c>
      <c r="K4" s="2" t="s">
        <v>427</v>
      </c>
      <c r="L4" s="3"/>
      <c r="M4" s="3" t="s">
        <v>62</v>
      </c>
      <c r="N4" s="3" t="s">
        <v>90</v>
      </c>
      <c r="O4" s="3" t="s">
        <v>87</v>
      </c>
      <c r="P4" s="3" t="s">
        <v>64</v>
      </c>
      <c r="Q4" s="3" t="s">
        <v>443</v>
      </c>
      <c r="R4" s="3" t="s">
        <v>63</v>
      </c>
      <c r="S4" t="s">
        <v>629</v>
      </c>
      <c r="T4" s="3" t="s">
        <v>62</v>
      </c>
      <c r="U4" s="3" t="s">
        <v>91</v>
      </c>
      <c r="V4" t="s">
        <v>60</v>
      </c>
      <c r="W4" s="14">
        <v>315</v>
      </c>
      <c r="X4">
        <v>0</v>
      </c>
      <c r="Y4" t="s">
        <v>61</v>
      </c>
      <c r="AF4" s="3" t="s">
        <v>63</v>
      </c>
      <c r="AG4" t="s">
        <v>126</v>
      </c>
      <c r="AH4" s="3" t="s">
        <v>423</v>
      </c>
      <c r="AJ4" s="3" t="s">
        <v>30</v>
      </c>
    </row>
    <row r="5" spans="1:36" s="23" customFormat="1">
      <c r="A5" s="20" t="s">
        <v>26</v>
      </c>
      <c r="B5" s="20" t="s">
        <v>27</v>
      </c>
      <c r="C5" s="20" t="s">
        <v>86</v>
      </c>
      <c r="D5" s="20"/>
      <c r="E5" s="21" t="s">
        <v>424</v>
      </c>
      <c r="F5" s="22">
        <f t="shared" ca="1" si="0"/>
        <v>43887.699955324075</v>
      </c>
      <c r="G5" s="22"/>
      <c r="H5" s="20" t="s">
        <v>28</v>
      </c>
      <c r="I5" s="21" t="s">
        <v>424</v>
      </c>
      <c r="J5" s="20" t="s">
        <v>62</v>
      </c>
      <c r="K5" s="21" t="s">
        <v>428</v>
      </c>
      <c r="L5" s="20"/>
      <c r="M5" s="20" t="s">
        <v>62</v>
      </c>
      <c r="N5" s="20" t="s">
        <v>90</v>
      </c>
      <c r="O5" s="20" t="s">
        <v>87</v>
      </c>
      <c r="P5" s="20" t="s">
        <v>64</v>
      </c>
      <c r="Q5" s="20" t="s">
        <v>443</v>
      </c>
      <c r="R5" s="20" t="s">
        <v>59</v>
      </c>
      <c r="S5" s="23" t="s">
        <v>629</v>
      </c>
      <c r="T5" s="20" t="s">
        <v>62</v>
      </c>
      <c r="U5" s="20" t="s">
        <v>91</v>
      </c>
      <c r="V5" s="23" t="s">
        <v>60</v>
      </c>
      <c r="W5" s="24">
        <v>300</v>
      </c>
      <c r="X5" s="23">
        <v>0</v>
      </c>
      <c r="Y5" s="23" t="s">
        <v>61</v>
      </c>
      <c r="AF5" s="20" t="s">
        <v>59</v>
      </c>
      <c r="AG5" s="23" t="s">
        <v>126</v>
      </c>
      <c r="AH5" s="20" t="s">
        <v>440</v>
      </c>
      <c r="AJ5" s="20" t="s">
        <v>30</v>
      </c>
    </row>
    <row r="6" spans="1:36">
      <c r="A6" s="3" t="s">
        <v>26</v>
      </c>
      <c r="B6" s="3" t="s">
        <v>27</v>
      </c>
      <c r="C6" s="3" t="s">
        <v>86</v>
      </c>
      <c r="D6" s="3"/>
      <c r="E6" s="2" t="s">
        <v>424</v>
      </c>
      <c r="F6" s="4">
        <f t="shared" ca="1" si="0"/>
        <v>43887.699955324075</v>
      </c>
      <c r="G6" s="4"/>
      <c r="H6" s="3" t="s">
        <v>28</v>
      </c>
      <c r="I6" s="2" t="s">
        <v>424</v>
      </c>
      <c r="J6" s="3" t="s">
        <v>62</v>
      </c>
      <c r="K6" s="2" t="s">
        <v>429</v>
      </c>
      <c r="L6" s="3"/>
      <c r="M6" s="3" t="s">
        <v>62</v>
      </c>
      <c r="N6" s="3" t="s">
        <v>90</v>
      </c>
      <c r="O6" s="3" t="s">
        <v>87</v>
      </c>
      <c r="P6" s="3" t="s">
        <v>64</v>
      </c>
      <c r="Q6" s="3" t="s">
        <v>443</v>
      </c>
      <c r="R6" s="3" t="s">
        <v>59</v>
      </c>
      <c r="S6" t="s">
        <v>629</v>
      </c>
      <c r="T6" s="3" t="s">
        <v>62</v>
      </c>
      <c r="U6" s="3" t="s">
        <v>91</v>
      </c>
      <c r="V6" t="s">
        <v>60</v>
      </c>
      <c r="W6" s="14">
        <v>300</v>
      </c>
      <c r="X6">
        <v>0</v>
      </c>
      <c r="Y6" t="s">
        <v>61</v>
      </c>
      <c r="AF6" s="3" t="s">
        <v>59</v>
      </c>
      <c r="AG6" t="s">
        <v>126</v>
      </c>
      <c r="AH6" s="3" t="s">
        <v>439</v>
      </c>
      <c r="AJ6" s="3" t="s">
        <v>30</v>
      </c>
    </row>
    <row r="7" spans="1:36">
      <c r="A7" s="3" t="s">
        <v>26</v>
      </c>
      <c r="B7" s="3" t="s">
        <v>27</v>
      </c>
      <c r="C7" s="3" t="s">
        <v>86</v>
      </c>
      <c r="D7" s="3"/>
      <c r="E7" s="2" t="s">
        <v>424</v>
      </c>
      <c r="F7" s="4">
        <f t="shared" ca="1" si="0"/>
        <v>43887.699955324075</v>
      </c>
      <c r="G7" s="4"/>
      <c r="H7" s="3" t="s">
        <v>28</v>
      </c>
      <c r="I7" s="2" t="s">
        <v>424</v>
      </c>
      <c r="J7" s="3" t="s">
        <v>62</v>
      </c>
      <c r="K7" s="2" t="s">
        <v>430</v>
      </c>
      <c r="L7" s="3"/>
      <c r="M7" s="3" t="s">
        <v>62</v>
      </c>
      <c r="N7" s="3" t="s">
        <v>90</v>
      </c>
      <c r="O7" s="3" t="s">
        <v>87</v>
      </c>
      <c r="P7" s="3" t="s">
        <v>64</v>
      </c>
      <c r="Q7" s="3" t="s">
        <v>443</v>
      </c>
      <c r="R7" s="3" t="s">
        <v>87</v>
      </c>
      <c r="S7" t="s">
        <v>629</v>
      </c>
      <c r="T7" s="3" t="s">
        <v>62</v>
      </c>
      <c r="U7" s="3" t="s">
        <v>91</v>
      </c>
      <c r="V7" t="s">
        <v>60</v>
      </c>
      <c r="W7" s="14">
        <v>315</v>
      </c>
      <c r="X7">
        <v>0</v>
      </c>
      <c r="Y7" t="s">
        <v>61</v>
      </c>
      <c r="AF7" s="3" t="s">
        <v>59</v>
      </c>
      <c r="AG7" t="s">
        <v>126</v>
      </c>
      <c r="AH7" s="3" t="s">
        <v>441</v>
      </c>
      <c r="AJ7" s="3" t="s">
        <v>30</v>
      </c>
    </row>
    <row r="8" spans="1:36">
      <c r="A8" s="3" t="s">
        <v>26</v>
      </c>
      <c r="B8" s="3" t="s">
        <v>27</v>
      </c>
      <c r="C8" s="3" t="s">
        <v>86</v>
      </c>
      <c r="D8" s="3"/>
      <c r="E8" s="2" t="s">
        <v>424</v>
      </c>
      <c r="F8" s="4">
        <f t="shared" ca="1" si="0"/>
        <v>43887.699955324075</v>
      </c>
      <c r="G8" s="4"/>
      <c r="H8" s="3" t="s">
        <v>28</v>
      </c>
      <c r="I8" s="2" t="s">
        <v>424</v>
      </c>
      <c r="J8" s="3" t="s">
        <v>62</v>
      </c>
      <c r="K8" s="2" t="s">
        <v>431</v>
      </c>
      <c r="L8" s="3"/>
      <c r="M8" s="3" t="s">
        <v>62</v>
      </c>
      <c r="N8" s="3" t="s">
        <v>90</v>
      </c>
      <c r="O8" s="3" t="s">
        <v>87</v>
      </c>
      <c r="P8" s="3" t="s">
        <v>64</v>
      </c>
      <c r="Q8" s="3" t="s">
        <v>443</v>
      </c>
      <c r="R8" s="3" t="s">
        <v>63</v>
      </c>
      <c r="S8" t="s">
        <v>629</v>
      </c>
      <c r="T8" s="3" t="s">
        <v>447</v>
      </c>
      <c r="U8" s="3" t="s">
        <v>91</v>
      </c>
      <c r="V8" t="s">
        <v>60</v>
      </c>
      <c r="W8" s="14">
        <v>315</v>
      </c>
      <c r="X8">
        <v>0</v>
      </c>
      <c r="Y8" t="s">
        <v>61</v>
      </c>
      <c r="AF8" s="3" t="s">
        <v>63</v>
      </c>
      <c r="AG8" t="s">
        <v>126</v>
      </c>
      <c r="AH8" s="3" t="s">
        <v>442</v>
      </c>
      <c r="AJ8" s="3" t="s">
        <v>30</v>
      </c>
    </row>
    <row r="9" spans="1:36" s="18" customFormat="1">
      <c r="A9" s="15" t="s">
        <v>26</v>
      </c>
      <c r="B9" s="15" t="s">
        <v>27</v>
      </c>
      <c r="C9" s="15" t="s">
        <v>86</v>
      </c>
      <c r="D9" s="15"/>
      <c r="E9" s="16" t="s">
        <v>424</v>
      </c>
      <c r="F9" s="17">
        <f t="shared" ca="1" si="0"/>
        <v>43887.699955324075</v>
      </c>
      <c r="G9" s="17"/>
      <c r="H9" s="15" t="s">
        <v>28</v>
      </c>
      <c r="I9" s="16" t="s">
        <v>424</v>
      </c>
      <c r="J9" s="15" t="s">
        <v>62</v>
      </c>
      <c r="K9" s="16" t="s">
        <v>455</v>
      </c>
      <c r="L9" s="15"/>
      <c r="M9" s="15" t="s">
        <v>62</v>
      </c>
      <c r="N9" s="15" t="s">
        <v>90</v>
      </c>
      <c r="O9" s="15" t="s">
        <v>87</v>
      </c>
      <c r="P9" s="15" t="s">
        <v>64</v>
      </c>
      <c r="Q9" s="15" t="s">
        <v>443</v>
      </c>
      <c r="R9" s="15" t="s">
        <v>63</v>
      </c>
      <c r="S9" s="18" t="s">
        <v>629</v>
      </c>
      <c r="T9" s="15" t="s">
        <v>450</v>
      </c>
      <c r="U9" s="15" t="s">
        <v>91</v>
      </c>
      <c r="V9" s="18" t="s">
        <v>60</v>
      </c>
      <c r="W9" s="59">
        <v>305.70999999999998</v>
      </c>
      <c r="X9" s="18">
        <v>0</v>
      </c>
      <c r="Y9" s="18" t="s">
        <v>61</v>
      </c>
      <c r="AF9" s="15" t="s">
        <v>63</v>
      </c>
      <c r="AG9" s="18" t="s">
        <v>126</v>
      </c>
      <c r="AH9" s="15" t="s">
        <v>442</v>
      </c>
      <c r="AJ9" s="15" t="s">
        <v>30</v>
      </c>
    </row>
    <row r="10" spans="1:36">
      <c r="A10" s="3" t="s">
        <v>26</v>
      </c>
      <c r="B10" s="3" t="s">
        <v>27</v>
      </c>
      <c r="C10" s="3" t="s">
        <v>86</v>
      </c>
      <c r="D10" s="3"/>
      <c r="E10" s="2" t="s">
        <v>424</v>
      </c>
      <c r="F10" s="4">
        <f t="shared" ca="1" si="0"/>
        <v>43887.699955324075</v>
      </c>
      <c r="G10" s="4"/>
      <c r="H10" s="3" t="s">
        <v>28</v>
      </c>
      <c r="I10" s="2" t="s">
        <v>424</v>
      </c>
      <c r="J10" s="3" t="s">
        <v>62</v>
      </c>
      <c r="K10" s="2" t="s">
        <v>485</v>
      </c>
      <c r="L10" s="3"/>
      <c r="M10" s="3" t="s">
        <v>62</v>
      </c>
      <c r="N10" s="3" t="s">
        <v>90</v>
      </c>
      <c r="O10" s="3" t="s">
        <v>87</v>
      </c>
      <c r="P10" s="3" t="s">
        <v>64</v>
      </c>
      <c r="Q10" s="3" t="s">
        <v>443</v>
      </c>
      <c r="R10" s="3" t="s">
        <v>63</v>
      </c>
      <c r="S10" t="s">
        <v>629</v>
      </c>
      <c r="T10" s="11" t="s">
        <v>180</v>
      </c>
      <c r="U10" s="3" t="s">
        <v>91</v>
      </c>
      <c r="V10" t="s">
        <v>60</v>
      </c>
      <c r="W10" s="14">
        <v>300</v>
      </c>
      <c r="X10">
        <v>0</v>
      </c>
      <c r="Y10" t="s">
        <v>61</v>
      </c>
      <c r="AF10" s="3" t="s">
        <v>63</v>
      </c>
      <c r="AG10" t="s">
        <v>126</v>
      </c>
      <c r="AH10" s="11" t="s">
        <v>507</v>
      </c>
      <c r="AJ10" s="3" t="s">
        <v>30</v>
      </c>
    </row>
    <row r="11" spans="1:36">
      <c r="A11" s="3" t="s">
        <v>26</v>
      </c>
      <c r="B11" s="3" t="s">
        <v>27</v>
      </c>
      <c r="C11" s="3" t="s">
        <v>86</v>
      </c>
      <c r="D11" s="3"/>
      <c r="E11" s="2" t="s">
        <v>424</v>
      </c>
      <c r="F11" s="4">
        <f t="shared" ca="1" si="0"/>
        <v>43887.699955324075</v>
      </c>
      <c r="G11" s="4"/>
      <c r="H11" s="3" t="s">
        <v>28</v>
      </c>
      <c r="I11" s="2" t="s">
        <v>424</v>
      </c>
      <c r="J11" s="3" t="s">
        <v>62</v>
      </c>
      <c r="K11" s="2" t="s">
        <v>486</v>
      </c>
      <c r="L11" s="3"/>
      <c r="M11" s="3" t="s">
        <v>62</v>
      </c>
      <c r="N11" s="3" t="s">
        <v>90</v>
      </c>
      <c r="O11" s="3" t="s">
        <v>87</v>
      </c>
      <c r="P11" s="3" t="s">
        <v>64</v>
      </c>
      <c r="Q11" s="3" t="s">
        <v>443</v>
      </c>
      <c r="R11" s="3" t="s">
        <v>63</v>
      </c>
      <c r="S11" t="s">
        <v>629</v>
      </c>
      <c r="T11" s="11" t="s">
        <v>180</v>
      </c>
      <c r="U11" s="3" t="s">
        <v>91</v>
      </c>
      <c r="V11" t="s">
        <v>60</v>
      </c>
      <c r="W11" s="58">
        <v>305.70999999999998</v>
      </c>
      <c r="X11">
        <v>0</v>
      </c>
      <c r="Y11" t="s">
        <v>61</v>
      </c>
      <c r="AF11" s="3" t="s">
        <v>63</v>
      </c>
      <c r="AG11" t="s">
        <v>126</v>
      </c>
      <c r="AH11" s="11" t="s">
        <v>507</v>
      </c>
      <c r="AJ11" s="3" t="s">
        <v>30</v>
      </c>
    </row>
    <row r="12" spans="1:36" s="23" customFormat="1">
      <c r="A12" s="20" t="s">
        <v>26</v>
      </c>
      <c r="B12" s="20" t="s">
        <v>27</v>
      </c>
      <c r="C12" s="20" t="s">
        <v>86</v>
      </c>
      <c r="D12" s="20"/>
      <c r="E12" s="21" t="s">
        <v>424</v>
      </c>
      <c r="F12" s="22">
        <f t="shared" ca="1" si="0"/>
        <v>43887.699955324075</v>
      </c>
      <c r="G12" s="22"/>
      <c r="H12" s="20" t="s">
        <v>28</v>
      </c>
      <c r="I12" s="21" t="s">
        <v>424</v>
      </c>
      <c r="J12" s="20" t="s">
        <v>62</v>
      </c>
      <c r="K12" s="2" t="s">
        <v>487</v>
      </c>
      <c r="L12" s="20"/>
      <c r="M12" s="20" t="s">
        <v>62</v>
      </c>
      <c r="N12" s="20" t="s">
        <v>90</v>
      </c>
      <c r="O12" s="20" t="s">
        <v>87</v>
      </c>
      <c r="P12" s="20" t="s">
        <v>64</v>
      </c>
      <c r="Q12" s="60" t="s">
        <v>508</v>
      </c>
      <c r="R12" s="60" t="s">
        <v>180</v>
      </c>
      <c r="S12" s="23" t="s">
        <v>629</v>
      </c>
      <c r="T12" s="20" t="s">
        <v>62</v>
      </c>
      <c r="U12" s="20" t="s">
        <v>91</v>
      </c>
      <c r="V12" s="23" t="s">
        <v>60</v>
      </c>
      <c r="W12" s="24">
        <v>0</v>
      </c>
      <c r="X12" s="23">
        <v>0</v>
      </c>
      <c r="Y12" s="23" t="s">
        <v>61</v>
      </c>
      <c r="AF12" s="20" t="s">
        <v>59</v>
      </c>
      <c r="AG12" s="23" t="s">
        <v>126</v>
      </c>
      <c r="AH12" s="20"/>
      <c r="AJ12" s="20" t="s">
        <v>30</v>
      </c>
    </row>
    <row r="13" spans="1:36" s="18" customFormat="1">
      <c r="A13" s="15" t="s">
        <v>26</v>
      </c>
      <c r="B13" s="15" t="s">
        <v>27</v>
      </c>
      <c r="C13" s="15" t="s">
        <v>86</v>
      </c>
      <c r="D13" s="15"/>
      <c r="E13" s="16" t="s">
        <v>424</v>
      </c>
      <c r="F13" s="17">
        <f t="shared" ca="1" si="0"/>
        <v>43887.699955324075</v>
      </c>
      <c r="G13" s="17"/>
      <c r="H13" s="15" t="s">
        <v>28</v>
      </c>
      <c r="I13" s="16" t="s">
        <v>424</v>
      </c>
      <c r="J13" s="15" t="s">
        <v>62</v>
      </c>
      <c r="K13" s="16" t="s">
        <v>488</v>
      </c>
      <c r="L13" s="15"/>
      <c r="M13" s="15" t="s">
        <v>62</v>
      </c>
      <c r="N13" s="15" t="s">
        <v>90</v>
      </c>
      <c r="O13" s="15" t="s">
        <v>87</v>
      </c>
      <c r="P13" s="15" t="s">
        <v>64</v>
      </c>
      <c r="Q13" s="63" t="s">
        <v>513</v>
      </c>
      <c r="R13" s="66" t="s">
        <v>180</v>
      </c>
      <c r="S13" s="18" t="s">
        <v>629</v>
      </c>
      <c r="T13" s="61" t="s">
        <v>509</v>
      </c>
      <c r="U13" s="15" t="s">
        <v>91</v>
      </c>
      <c r="V13" s="18" t="s">
        <v>60</v>
      </c>
      <c r="W13" s="59">
        <v>318</v>
      </c>
      <c r="X13" s="18">
        <v>0</v>
      </c>
      <c r="Y13" s="18" t="s">
        <v>61</v>
      </c>
      <c r="AF13" s="15" t="s">
        <v>59</v>
      </c>
      <c r="AG13" s="18" t="s">
        <v>126</v>
      </c>
      <c r="AH13" s="61" t="s">
        <v>510</v>
      </c>
      <c r="AJ13" s="15" t="s">
        <v>30</v>
      </c>
    </row>
    <row r="14" spans="1:36" s="23" customFormat="1">
      <c r="A14" s="20" t="s">
        <v>26</v>
      </c>
      <c r="B14" s="20" t="s">
        <v>27</v>
      </c>
      <c r="C14" s="20" t="s">
        <v>86</v>
      </c>
      <c r="D14" s="20"/>
      <c r="E14" s="21" t="s">
        <v>424</v>
      </c>
      <c r="F14" s="22">
        <f t="shared" ca="1" si="0"/>
        <v>43887.699955324075</v>
      </c>
      <c r="G14" s="22"/>
      <c r="H14" s="20" t="s">
        <v>28</v>
      </c>
      <c r="I14" s="21" t="s">
        <v>424</v>
      </c>
      <c r="J14" s="20" t="s">
        <v>62</v>
      </c>
      <c r="K14" s="21" t="s">
        <v>489</v>
      </c>
      <c r="L14" s="20"/>
      <c r="M14" s="20" t="s">
        <v>62</v>
      </c>
      <c r="N14" s="20" t="s">
        <v>90</v>
      </c>
      <c r="O14" s="20" t="s">
        <v>87</v>
      </c>
      <c r="P14" s="20" t="s">
        <v>64</v>
      </c>
      <c r="Q14" s="64" t="s">
        <v>513</v>
      </c>
      <c r="R14" s="66" t="s">
        <v>180</v>
      </c>
      <c r="S14" s="23" t="s">
        <v>629</v>
      </c>
      <c r="T14" s="66" t="s">
        <v>512</v>
      </c>
      <c r="U14" s="20" t="s">
        <v>91</v>
      </c>
      <c r="V14" s="23" t="s">
        <v>60</v>
      </c>
      <c r="W14" s="67">
        <v>310</v>
      </c>
      <c r="X14" s="23">
        <v>0</v>
      </c>
      <c r="Y14" s="23" t="s">
        <v>61</v>
      </c>
      <c r="AF14" s="20" t="s">
        <v>59</v>
      </c>
      <c r="AG14" s="23" t="s">
        <v>126</v>
      </c>
      <c r="AH14" s="60" t="s">
        <v>511</v>
      </c>
      <c r="AJ14" s="20" t="s">
        <v>30</v>
      </c>
    </row>
    <row r="15" spans="1:36" s="23" customFormat="1">
      <c r="A15" s="20" t="s">
        <v>26</v>
      </c>
      <c r="B15" s="20" t="s">
        <v>27</v>
      </c>
      <c r="C15" s="20" t="s">
        <v>86</v>
      </c>
      <c r="D15" s="20"/>
      <c r="E15" s="21" t="s">
        <v>424</v>
      </c>
      <c r="F15" s="22">
        <f t="shared" ca="1" si="0"/>
        <v>43887.699955324075</v>
      </c>
      <c r="G15" s="22"/>
      <c r="H15" s="20" t="s">
        <v>28</v>
      </c>
      <c r="I15" s="21" t="s">
        <v>424</v>
      </c>
      <c r="J15" s="20" t="s">
        <v>62</v>
      </c>
      <c r="K15" s="21" t="s">
        <v>490</v>
      </c>
      <c r="L15" s="20"/>
      <c r="M15" s="20" t="s">
        <v>62</v>
      </c>
      <c r="N15" s="20" t="s">
        <v>90</v>
      </c>
      <c r="O15" s="20" t="s">
        <v>87</v>
      </c>
      <c r="P15" s="20" t="s">
        <v>64</v>
      </c>
      <c r="Q15" s="64" t="s">
        <v>513</v>
      </c>
      <c r="R15" s="66" t="s">
        <v>180</v>
      </c>
      <c r="S15" s="23" t="s">
        <v>629</v>
      </c>
      <c r="T15" s="66" t="s">
        <v>512</v>
      </c>
      <c r="U15" s="20" t="s">
        <v>91</v>
      </c>
      <c r="V15" s="23" t="s">
        <v>60</v>
      </c>
      <c r="W15" s="67">
        <v>318</v>
      </c>
      <c r="X15" s="23">
        <v>0</v>
      </c>
      <c r="Y15" s="23" t="s">
        <v>61</v>
      </c>
      <c r="AF15" s="20" t="s">
        <v>63</v>
      </c>
      <c r="AG15" s="23" t="s">
        <v>126</v>
      </c>
      <c r="AH15" s="64" t="s">
        <v>514</v>
      </c>
      <c r="AJ15" s="20" t="s">
        <v>30</v>
      </c>
    </row>
    <row r="16" spans="1:36" s="18" customFormat="1">
      <c r="A16" s="15" t="s">
        <v>26</v>
      </c>
      <c r="B16" s="15" t="s">
        <v>27</v>
      </c>
      <c r="C16" s="15" t="s">
        <v>86</v>
      </c>
      <c r="D16" s="15"/>
      <c r="E16" s="16" t="s">
        <v>424</v>
      </c>
      <c r="F16" s="17">
        <f t="shared" ca="1" si="0"/>
        <v>43887.699955324075</v>
      </c>
      <c r="G16" s="17"/>
      <c r="H16" s="15" t="s">
        <v>28</v>
      </c>
      <c r="I16" s="16" t="s">
        <v>424</v>
      </c>
      <c r="J16" s="15" t="s">
        <v>62</v>
      </c>
      <c r="K16" s="16" t="s">
        <v>491</v>
      </c>
      <c r="L16" s="15"/>
      <c r="M16" s="15" t="s">
        <v>62</v>
      </c>
      <c r="N16" s="15" t="s">
        <v>90</v>
      </c>
      <c r="O16" s="15" t="s">
        <v>87</v>
      </c>
      <c r="P16" s="15" t="s">
        <v>64</v>
      </c>
      <c r="Q16" s="63" t="s">
        <v>513</v>
      </c>
      <c r="R16" s="66" t="s">
        <v>180</v>
      </c>
      <c r="S16" s="18" t="s">
        <v>629</v>
      </c>
      <c r="T16" s="66" t="s">
        <v>512</v>
      </c>
      <c r="U16" s="15" t="s">
        <v>91</v>
      </c>
      <c r="V16" s="18" t="s">
        <v>60</v>
      </c>
      <c r="W16" s="59">
        <v>315</v>
      </c>
      <c r="X16" s="18">
        <v>0</v>
      </c>
      <c r="Y16" s="18" t="s">
        <v>61</v>
      </c>
      <c r="AF16" s="15" t="s">
        <v>63</v>
      </c>
      <c r="AG16" s="18" t="s">
        <v>126</v>
      </c>
      <c r="AH16" s="63" t="s">
        <v>122</v>
      </c>
      <c r="AJ16" s="15" t="s">
        <v>30</v>
      </c>
    </row>
    <row r="17" spans="1:36" s="23" customFormat="1">
      <c r="A17" s="20" t="s">
        <v>26</v>
      </c>
      <c r="B17" s="20" t="s">
        <v>27</v>
      </c>
      <c r="C17" s="20" t="s">
        <v>86</v>
      </c>
      <c r="D17" s="20"/>
      <c r="E17" s="21" t="s">
        <v>424</v>
      </c>
      <c r="F17" s="22">
        <f t="shared" ca="1" si="0"/>
        <v>43887.699955324075</v>
      </c>
      <c r="G17" s="22"/>
      <c r="H17" s="20" t="s">
        <v>28</v>
      </c>
      <c r="I17" s="21" t="s">
        <v>424</v>
      </c>
      <c r="J17" s="20" t="s">
        <v>62</v>
      </c>
      <c r="K17" s="21" t="s">
        <v>492</v>
      </c>
      <c r="L17" s="20"/>
      <c r="M17" s="20" t="s">
        <v>62</v>
      </c>
      <c r="N17" s="20" t="s">
        <v>90</v>
      </c>
      <c r="O17" s="20" t="s">
        <v>87</v>
      </c>
      <c r="P17" s="20" t="s">
        <v>64</v>
      </c>
      <c r="Q17" s="64" t="s">
        <v>513</v>
      </c>
      <c r="R17" s="66" t="s">
        <v>180</v>
      </c>
      <c r="S17" s="23" t="s">
        <v>629</v>
      </c>
      <c r="T17" s="66" t="s">
        <v>512</v>
      </c>
      <c r="U17" s="20" t="s">
        <v>91</v>
      </c>
      <c r="V17" s="23" t="s">
        <v>60</v>
      </c>
      <c r="W17" s="67">
        <v>310</v>
      </c>
      <c r="X17" s="23">
        <v>0</v>
      </c>
      <c r="Y17" s="23" t="s">
        <v>61</v>
      </c>
      <c r="AF17" s="20" t="s">
        <v>59</v>
      </c>
      <c r="AG17" s="23" t="s">
        <v>126</v>
      </c>
      <c r="AH17" s="64" t="s">
        <v>515</v>
      </c>
      <c r="AJ17" s="20" t="s">
        <v>30</v>
      </c>
    </row>
    <row r="18" spans="1:36" s="23" customFormat="1">
      <c r="A18" s="20" t="s">
        <v>26</v>
      </c>
      <c r="B18" s="20" t="s">
        <v>27</v>
      </c>
      <c r="C18" s="20" t="s">
        <v>86</v>
      </c>
      <c r="D18" s="20"/>
      <c r="E18" s="21" t="s">
        <v>424</v>
      </c>
      <c r="F18" s="22">
        <f t="shared" ca="1" si="0"/>
        <v>43887.699955324075</v>
      </c>
      <c r="G18" s="22"/>
      <c r="H18" s="20" t="s">
        <v>28</v>
      </c>
      <c r="I18" s="21" t="s">
        <v>424</v>
      </c>
      <c r="J18" s="20" t="s">
        <v>62</v>
      </c>
      <c r="K18" s="21" t="s">
        <v>493</v>
      </c>
      <c r="L18" s="20"/>
      <c r="M18" s="20" t="s">
        <v>62</v>
      </c>
      <c r="N18" s="20" t="s">
        <v>90</v>
      </c>
      <c r="O18" s="20" t="s">
        <v>87</v>
      </c>
      <c r="P18" s="20" t="s">
        <v>64</v>
      </c>
      <c r="Q18" s="64" t="s">
        <v>513</v>
      </c>
      <c r="R18" s="66" t="s">
        <v>180</v>
      </c>
      <c r="S18" s="23" t="s">
        <v>629</v>
      </c>
      <c r="T18" s="66" t="s">
        <v>512</v>
      </c>
      <c r="U18" s="20" t="s">
        <v>91</v>
      </c>
      <c r="V18" s="23" t="s">
        <v>60</v>
      </c>
      <c r="W18" s="67">
        <v>318</v>
      </c>
      <c r="X18" s="23">
        <v>0</v>
      </c>
      <c r="Y18" s="23" t="s">
        <v>61</v>
      </c>
      <c r="AF18" s="20" t="s">
        <v>59</v>
      </c>
      <c r="AG18" s="23" t="s">
        <v>126</v>
      </c>
      <c r="AH18" s="64" t="s">
        <v>516</v>
      </c>
      <c r="AJ18" s="20" t="s">
        <v>30</v>
      </c>
    </row>
    <row r="19" spans="1:36" s="23" customFormat="1">
      <c r="A19" s="20" t="s">
        <v>26</v>
      </c>
      <c r="B19" s="20" t="s">
        <v>27</v>
      </c>
      <c r="C19" s="20" t="s">
        <v>86</v>
      </c>
      <c r="D19" s="20"/>
      <c r="E19" s="21" t="s">
        <v>424</v>
      </c>
      <c r="F19" s="22">
        <f t="shared" ca="1" si="0"/>
        <v>43887.699955324075</v>
      </c>
      <c r="G19" s="22"/>
      <c r="H19" s="20" t="s">
        <v>28</v>
      </c>
      <c r="I19" s="21" t="s">
        <v>424</v>
      </c>
      <c r="J19" s="20" t="s">
        <v>62</v>
      </c>
      <c r="K19" s="21" t="s">
        <v>494</v>
      </c>
      <c r="L19" s="20"/>
      <c r="M19" s="20" t="s">
        <v>62</v>
      </c>
      <c r="N19" s="20" t="s">
        <v>90</v>
      </c>
      <c r="O19" s="20" t="s">
        <v>87</v>
      </c>
      <c r="P19" s="20" t="s">
        <v>64</v>
      </c>
      <c r="Q19" s="64" t="s">
        <v>513</v>
      </c>
      <c r="R19" s="66" t="s">
        <v>180</v>
      </c>
      <c r="S19" s="23" t="s">
        <v>629</v>
      </c>
      <c r="T19" s="66" t="s">
        <v>512</v>
      </c>
      <c r="U19" s="20" t="s">
        <v>91</v>
      </c>
      <c r="V19" s="23" t="s">
        <v>60</v>
      </c>
      <c r="W19" s="67">
        <v>310</v>
      </c>
      <c r="X19" s="23">
        <v>0</v>
      </c>
      <c r="Y19" s="23" t="s">
        <v>61</v>
      </c>
      <c r="AF19" s="20" t="s">
        <v>59</v>
      </c>
      <c r="AG19" s="23" t="s">
        <v>126</v>
      </c>
      <c r="AH19" s="64" t="s">
        <v>517</v>
      </c>
      <c r="AJ19" s="20" t="s">
        <v>30</v>
      </c>
    </row>
    <row r="20" spans="1:36" s="32" customFormat="1">
      <c r="A20" s="29" t="s">
        <v>26</v>
      </c>
      <c r="B20" s="29" t="s">
        <v>27</v>
      </c>
      <c r="C20" s="29" t="s">
        <v>86</v>
      </c>
      <c r="D20" s="29"/>
      <c r="E20" s="30" t="s">
        <v>424</v>
      </c>
      <c r="F20" s="31">
        <f t="shared" ca="1" si="0"/>
        <v>43887.699955324075</v>
      </c>
      <c r="G20" s="31"/>
      <c r="H20" s="29" t="s">
        <v>28</v>
      </c>
      <c r="I20" s="30" t="s">
        <v>424</v>
      </c>
      <c r="J20" s="29" t="s">
        <v>62</v>
      </c>
      <c r="K20" s="30" t="s">
        <v>495</v>
      </c>
      <c r="L20" s="29"/>
      <c r="M20" s="29" t="s">
        <v>62</v>
      </c>
      <c r="N20" s="29" t="s">
        <v>90</v>
      </c>
      <c r="O20" s="29" t="s">
        <v>87</v>
      </c>
      <c r="P20" s="29" t="s">
        <v>64</v>
      </c>
      <c r="Q20" s="65" t="s">
        <v>513</v>
      </c>
      <c r="R20" s="66" t="s">
        <v>180</v>
      </c>
      <c r="S20" s="32" t="s">
        <v>629</v>
      </c>
      <c r="T20" s="66" t="s">
        <v>512</v>
      </c>
      <c r="U20" s="29" t="s">
        <v>91</v>
      </c>
      <c r="V20" s="32" t="s">
        <v>60</v>
      </c>
      <c r="W20" s="68">
        <v>315</v>
      </c>
      <c r="X20" s="32">
        <v>0</v>
      </c>
      <c r="Y20" s="32" t="s">
        <v>61</v>
      </c>
      <c r="AF20" s="29" t="s">
        <v>63</v>
      </c>
      <c r="AG20" s="32" t="s">
        <v>126</v>
      </c>
      <c r="AH20" s="65" t="s">
        <v>518</v>
      </c>
      <c r="AJ20" s="29" t="s">
        <v>30</v>
      </c>
    </row>
    <row r="21" spans="1:36" s="23" customFormat="1">
      <c r="A21" s="20" t="s">
        <v>26</v>
      </c>
      <c r="B21" s="20" t="s">
        <v>27</v>
      </c>
      <c r="C21" s="20" t="s">
        <v>86</v>
      </c>
      <c r="D21" s="20"/>
      <c r="E21" s="21" t="s">
        <v>424</v>
      </c>
      <c r="F21" s="22">
        <f t="shared" ca="1" si="0"/>
        <v>43887.699955324075</v>
      </c>
      <c r="G21" s="22"/>
      <c r="H21" s="20" t="s">
        <v>28</v>
      </c>
      <c r="I21" s="21" t="s">
        <v>424</v>
      </c>
      <c r="J21" s="20" t="s">
        <v>62</v>
      </c>
      <c r="K21" s="21" t="s">
        <v>496</v>
      </c>
      <c r="L21" s="20"/>
      <c r="M21" s="20" t="s">
        <v>62</v>
      </c>
      <c r="N21" s="20" t="s">
        <v>90</v>
      </c>
      <c r="O21" s="20" t="s">
        <v>87</v>
      </c>
      <c r="P21" s="20" t="s">
        <v>64</v>
      </c>
      <c r="Q21" s="60" t="s">
        <v>519</v>
      </c>
      <c r="R21" s="20" t="s">
        <v>63</v>
      </c>
      <c r="S21" s="23" t="s">
        <v>629</v>
      </c>
      <c r="T21" s="20" t="s">
        <v>179</v>
      </c>
      <c r="U21" s="20" t="s">
        <v>91</v>
      </c>
      <c r="V21" s="23" t="s">
        <v>60</v>
      </c>
      <c r="W21" s="24">
        <v>0</v>
      </c>
      <c r="X21" s="23">
        <v>0</v>
      </c>
      <c r="Y21" s="23" t="s">
        <v>61</v>
      </c>
      <c r="AF21" s="20" t="s">
        <v>63</v>
      </c>
      <c r="AG21" s="23" t="s">
        <v>126</v>
      </c>
      <c r="AH21" s="20"/>
      <c r="AJ21" s="20" t="s">
        <v>30</v>
      </c>
    </row>
    <row r="22" spans="1:36" s="23" customFormat="1">
      <c r="A22" s="20" t="s">
        <v>26</v>
      </c>
      <c r="B22" s="20" t="s">
        <v>27</v>
      </c>
      <c r="C22" s="20" t="s">
        <v>86</v>
      </c>
      <c r="D22" s="20"/>
      <c r="E22" s="21" t="s">
        <v>424</v>
      </c>
      <c r="F22" s="22">
        <f t="shared" ca="1" si="0"/>
        <v>43887.699955324075</v>
      </c>
      <c r="G22" s="22"/>
      <c r="H22" s="20" t="s">
        <v>28</v>
      </c>
      <c r="I22" s="21" t="s">
        <v>424</v>
      </c>
      <c r="J22" s="20" t="s">
        <v>62</v>
      </c>
      <c r="K22" s="21" t="s">
        <v>497</v>
      </c>
      <c r="L22" s="20"/>
      <c r="M22" s="20" t="s">
        <v>62</v>
      </c>
      <c r="N22" s="20" t="s">
        <v>90</v>
      </c>
      <c r="O22" s="20" t="s">
        <v>87</v>
      </c>
      <c r="P22" s="20" t="s">
        <v>64</v>
      </c>
      <c r="Q22" s="64" t="s">
        <v>519</v>
      </c>
      <c r="R22" s="20" t="s">
        <v>63</v>
      </c>
      <c r="S22" s="23" t="s">
        <v>629</v>
      </c>
      <c r="T22" s="62" t="s">
        <v>520</v>
      </c>
      <c r="U22" s="20" t="s">
        <v>91</v>
      </c>
      <c r="V22" s="23" t="s">
        <v>60</v>
      </c>
      <c r="W22" s="67">
        <v>318</v>
      </c>
      <c r="X22" s="23">
        <v>0</v>
      </c>
      <c r="Y22" s="23" t="s">
        <v>61</v>
      </c>
      <c r="AF22" s="20" t="s">
        <v>63</v>
      </c>
      <c r="AG22" s="23" t="s">
        <v>126</v>
      </c>
      <c r="AH22" s="64" t="s">
        <v>521</v>
      </c>
      <c r="AJ22" s="20" t="s">
        <v>30</v>
      </c>
    </row>
    <row r="23" spans="1:36" s="23" customFormat="1">
      <c r="A23" s="20" t="s">
        <v>26</v>
      </c>
      <c r="B23" s="20" t="s">
        <v>27</v>
      </c>
      <c r="C23" s="20" t="s">
        <v>86</v>
      </c>
      <c r="D23" s="20"/>
      <c r="E23" s="21" t="s">
        <v>424</v>
      </c>
      <c r="F23" s="22">
        <f t="shared" ca="1" si="0"/>
        <v>43887.699955324075</v>
      </c>
      <c r="G23" s="22"/>
      <c r="H23" s="20" t="s">
        <v>28</v>
      </c>
      <c r="I23" s="21" t="s">
        <v>424</v>
      </c>
      <c r="J23" s="20" t="s">
        <v>62</v>
      </c>
      <c r="K23" s="21" t="s">
        <v>498</v>
      </c>
      <c r="L23" s="20"/>
      <c r="M23" s="20" t="s">
        <v>62</v>
      </c>
      <c r="N23" s="20" t="s">
        <v>90</v>
      </c>
      <c r="O23" s="20" t="s">
        <v>87</v>
      </c>
      <c r="P23" s="20" t="s">
        <v>64</v>
      </c>
      <c r="Q23" s="64" t="s">
        <v>519</v>
      </c>
      <c r="R23" s="20" t="s">
        <v>59</v>
      </c>
      <c r="S23" s="23" t="s">
        <v>629</v>
      </c>
      <c r="T23" s="62" t="s">
        <v>520</v>
      </c>
      <c r="U23" s="20" t="s">
        <v>91</v>
      </c>
      <c r="V23" s="23" t="s">
        <v>60</v>
      </c>
      <c r="W23" s="67">
        <v>300</v>
      </c>
      <c r="X23" s="23">
        <v>0</v>
      </c>
      <c r="Y23" s="23" t="s">
        <v>61</v>
      </c>
      <c r="AF23" s="20" t="s">
        <v>59</v>
      </c>
      <c r="AG23" s="23" t="s">
        <v>126</v>
      </c>
      <c r="AH23" s="64" t="s">
        <v>521</v>
      </c>
      <c r="AJ23" s="20" t="s">
        <v>30</v>
      </c>
    </row>
    <row r="24" spans="1:36" s="23" customFormat="1">
      <c r="A24" s="20" t="s">
        <v>26</v>
      </c>
      <c r="B24" s="20" t="s">
        <v>27</v>
      </c>
      <c r="C24" s="20" t="s">
        <v>86</v>
      </c>
      <c r="D24" s="20"/>
      <c r="E24" s="21" t="s">
        <v>424</v>
      </c>
      <c r="F24" s="22">
        <f t="shared" ca="1" si="0"/>
        <v>43887.699955324075</v>
      </c>
      <c r="G24" s="22"/>
      <c r="H24" s="20" t="s">
        <v>28</v>
      </c>
      <c r="I24" s="21" t="s">
        <v>424</v>
      </c>
      <c r="J24" s="20" t="s">
        <v>62</v>
      </c>
      <c r="K24" s="21" t="s">
        <v>499</v>
      </c>
      <c r="L24" s="20"/>
      <c r="M24" s="20" t="s">
        <v>62</v>
      </c>
      <c r="N24" s="20" t="s">
        <v>90</v>
      </c>
      <c r="O24" s="20" t="s">
        <v>87</v>
      </c>
      <c r="P24" s="20" t="s">
        <v>64</v>
      </c>
      <c r="Q24" s="64" t="s">
        <v>519</v>
      </c>
      <c r="R24" s="20" t="s">
        <v>59</v>
      </c>
      <c r="S24" s="23" t="s">
        <v>629</v>
      </c>
      <c r="T24" s="62" t="s">
        <v>520</v>
      </c>
      <c r="U24" s="20" t="s">
        <v>91</v>
      </c>
      <c r="V24" s="23" t="s">
        <v>60</v>
      </c>
      <c r="W24" s="67">
        <v>300</v>
      </c>
      <c r="X24" s="23">
        <v>0</v>
      </c>
      <c r="Y24" s="23" t="s">
        <v>61</v>
      </c>
      <c r="AF24" s="20" t="s">
        <v>59</v>
      </c>
      <c r="AG24" s="23" t="s">
        <v>126</v>
      </c>
      <c r="AH24" s="64" t="s">
        <v>522</v>
      </c>
      <c r="AJ24" s="20" t="s">
        <v>30</v>
      </c>
    </row>
    <row r="25" spans="1:36" s="18" customFormat="1">
      <c r="A25" s="15" t="s">
        <v>26</v>
      </c>
      <c r="B25" s="15" t="s">
        <v>27</v>
      </c>
      <c r="C25" s="15" t="s">
        <v>86</v>
      </c>
      <c r="D25" s="15"/>
      <c r="E25" s="16" t="s">
        <v>424</v>
      </c>
      <c r="F25" s="17">
        <f t="shared" ca="1" si="0"/>
        <v>43887.699955324075</v>
      </c>
      <c r="G25" s="17"/>
      <c r="H25" s="15" t="s">
        <v>28</v>
      </c>
      <c r="I25" s="16" t="s">
        <v>424</v>
      </c>
      <c r="J25" s="15" t="s">
        <v>62</v>
      </c>
      <c r="K25" s="16" t="s">
        <v>500</v>
      </c>
      <c r="L25" s="15"/>
      <c r="M25" s="15" t="s">
        <v>62</v>
      </c>
      <c r="N25" s="15" t="s">
        <v>90</v>
      </c>
      <c r="O25" s="15" t="s">
        <v>87</v>
      </c>
      <c r="P25" s="15" t="s">
        <v>64</v>
      </c>
      <c r="Q25" s="64" t="s">
        <v>519</v>
      </c>
      <c r="R25" s="15" t="s">
        <v>87</v>
      </c>
      <c r="S25" s="18" t="s">
        <v>629</v>
      </c>
      <c r="T25" s="62" t="s">
        <v>520</v>
      </c>
      <c r="U25" s="15" t="s">
        <v>91</v>
      </c>
      <c r="V25" s="18" t="s">
        <v>60</v>
      </c>
      <c r="W25" s="59">
        <v>310</v>
      </c>
      <c r="X25" s="18">
        <v>0</v>
      </c>
      <c r="Y25" s="18" t="s">
        <v>61</v>
      </c>
      <c r="AF25" s="15" t="s">
        <v>59</v>
      </c>
      <c r="AG25" s="18" t="s">
        <v>126</v>
      </c>
      <c r="AH25" s="64" t="s">
        <v>522</v>
      </c>
      <c r="AJ25" s="15" t="s">
        <v>30</v>
      </c>
    </row>
    <row r="26" spans="1:36" s="23" customFormat="1">
      <c r="A26" s="20" t="s">
        <v>26</v>
      </c>
      <c r="B26" s="20" t="s">
        <v>27</v>
      </c>
      <c r="C26" s="20" t="s">
        <v>86</v>
      </c>
      <c r="D26" s="20"/>
      <c r="E26" s="21" t="s">
        <v>424</v>
      </c>
      <c r="F26" s="22">
        <f t="shared" ca="1" si="0"/>
        <v>43887.699955324075</v>
      </c>
      <c r="G26" s="22"/>
      <c r="H26" s="20" t="s">
        <v>28</v>
      </c>
      <c r="I26" s="21" t="s">
        <v>424</v>
      </c>
      <c r="J26" s="20" t="s">
        <v>62</v>
      </c>
      <c r="K26" s="21" t="s">
        <v>501</v>
      </c>
      <c r="L26" s="20"/>
      <c r="M26" s="20" t="s">
        <v>62</v>
      </c>
      <c r="N26" s="20" t="s">
        <v>90</v>
      </c>
      <c r="O26" s="20" t="s">
        <v>87</v>
      </c>
      <c r="P26" s="20" t="s">
        <v>64</v>
      </c>
      <c r="Q26" s="64" t="s">
        <v>519</v>
      </c>
      <c r="R26" s="20" t="s">
        <v>63</v>
      </c>
      <c r="S26" s="23" t="s">
        <v>629</v>
      </c>
      <c r="T26" s="62" t="s">
        <v>520</v>
      </c>
      <c r="U26" s="20" t="s">
        <v>91</v>
      </c>
      <c r="V26" s="23" t="s">
        <v>60</v>
      </c>
      <c r="W26" s="67">
        <v>318</v>
      </c>
      <c r="X26" s="23">
        <v>0</v>
      </c>
      <c r="Y26" s="23" t="s">
        <v>61</v>
      </c>
      <c r="AF26" s="20" t="s">
        <v>63</v>
      </c>
      <c r="AG26" s="23" t="s">
        <v>126</v>
      </c>
      <c r="AH26" s="64" t="s">
        <v>523</v>
      </c>
      <c r="AJ26" s="20" t="s">
        <v>30</v>
      </c>
    </row>
    <row r="27" spans="1:36">
      <c r="A27" s="3" t="s">
        <v>26</v>
      </c>
      <c r="B27" s="3" t="s">
        <v>27</v>
      </c>
      <c r="C27" s="3" t="s">
        <v>86</v>
      </c>
      <c r="D27" s="3"/>
      <c r="E27" s="2" t="s">
        <v>424</v>
      </c>
      <c r="F27" s="4">
        <f t="shared" ca="1" si="0"/>
        <v>43887.699955324075</v>
      </c>
      <c r="G27" s="4"/>
      <c r="H27" s="3" t="s">
        <v>28</v>
      </c>
      <c r="I27" s="2" t="s">
        <v>424</v>
      </c>
      <c r="J27" s="3" t="s">
        <v>62</v>
      </c>
      <c r="K27" s="2" t="s">
        <v>502</v>
      </c>
      <c r="L27" s="3"/>
      <c r="M27" s="3" t="s">
        <v>62</v>
      </c>
      <c r="N27" s="3" t="s">
        <v>90</v>
      </c>
      <c r="O27" s="3" t="s">
        <v>87</v>
      </c>
      <c r="P27" s="3" t="s">
        <v>64</v>
      </c>
      <c r="Q27" s="64" t="s">
        <v>519</v>
      </c>
      <c r="R27" s="3" t="s">
        <v>63</v>
      </c>
      <c r="S27" t="s">
        <v>629</v>
      </c>
      <c r="T27" s="62" t="s">
        <v>520</v>
      </c>
      <c r="U27" s="3" t="s">
        <v>91</v>
      </c>
      <c r="V27" t="s">
        <v>60</v>
      </c>
      <c r="W27" s="58">
        <v>310</v>
      </c>
      <c r="X27">
        <v>0</v>
      </c>
      <c r="Y27" t="s">
        <v>61</v>
      </c>
      <c r="AF27" s="3" t="s">
        <v>63</v>
      </c>
      <c r="AG27" t="s">
        <v>126</v>
      </c>
      <c r="AH27" s="69" t="s">
        <v>524</v>
      </c>
      <c r="AJ27" s="3" t="s">
        <v>30</v>
      </c>
    </row>
    <row r="28" spans="1:36" s="23" customFormat="1" ht="12.75" customHeight="1">
      <c r="A28" s="20" t="s">
        <v>26</v>
      </c>
      <c r="B28" s="20" t="s">
        <v>27</v>
      </c>
      <c r="C28" s="20" t="s">
        <v>86</v>
      </c>
      <c r="D28" s="20"/>
      <c r="E28" s="21" t="s">
        <v>424</v>
      </c>
      <c r="F28" s="22">
        <f t="shared" ca="1" si="0"/>
        <v>43887.699955324075</v>
      </c>
      <c r="G28" s="22"/>
      <c r="H28" s="20" t="s">
        <v>28</v>
      </c>
      <c r="I28" s="21" t="s">
        <v>424</v>
      </c>
      <c r="J28" s="20" t="s">
        <v>62</v>
      </c>
      <c r="K28" s="2" t="s">
        <v>503</v>
      </c>
      <c r="L28" s="20"/>
      <c r="M28" s="20" t="s">
        <v>62</v>
      </c>
      <c r="N28" s="20" t="s">
        <v>90</v>
      </c>
      <c r="O28" s="20" t="s">
        <v>87</v>
      </c>
      <c r="P28" s="20" t="s">
        <v>64</v>
      </c>
      <c r="Q28" s="64" t="s">
        <v>519</v>
      </c>
      <c r="R28" s="20" t="s">
        <v>59</v>
      </c>
      <c r="S28" s="23" t="s">
        <v>629</v>
      </c>
      <c r="T28" s="62" t="s">
        <v>520</v>
      </c>
      <c r="U28" s="20" t="s">
        <v>91</v>
      </c>
      <c r="V28" s="23" t="s">
        <v>60</v>
      </c>
      <c r="W28" s="67">
        <v>300</v>
      </c>
      <c r="X28" s="23">
        <v>0</v>
      </c>
      <c r="Y28" s="23" t="s">
        <v>61</v>
      </c>
      <c r="AF28" s="20" t="s">
        <v>59</v>
      </c>
      <c r="AG28" s="23" t="s">
        <v>126</v>
      </c>
      <c r="AH28" s="64" t="s">
        <v>525</v>
      </c>
      <c r="AJ28" s="20" t="s">
        <v>30</v>
      </c>
    </row>
    <row r="29" spans="1:36" s="18" customFormat="1">
      <c r="A29" s="15" t="s">
        <v>26</v>
      </c>
      <c r="B29" s="15" t="s">
        <v>27</v>
      </c>
      <c r="C29" s="15" t="s">
        <v>86</v>
      </c>
      <c r="D29" s="15"/>
      <c r="E29" s="16" t="s">
        <v>424</v>
      </c>
      <c r="F29" s="17">
        <f t="shared" ca="1" si="0"/>
        <v>43887.699955324075</v>
      </c>
      <c r="G29" s="17"/>
      <c r="H29" s="15" t="s">
        <v>28</v>
      </c>
      <c r="I29" s="16" t="s">
        <v>424</v>
      </c>
      <c r="J29" s="15" t="s">
        <v>62</v>
      </c>
      <c r="K29" s="16" t="s">
        <v>504</v>
      </c>
      <c r="L29" s="15"/>
      <c r="M29" s="15" t="s">
        <v>62</v>
      </c>
      <c r="N29" s="15" t="s">
        <v>90</v>
      </c>
      <c r="O29" s="15" t="s">
        <v>87</v>
      </c>
      <c r="P29" s="15" t="s">
        <v>64</v>
      </c>
      <c r="Q29" s="64" t="s">
        <v>519</v>
      </c>
      <c r="R29" s="15" t="s">
        <v>59</v>
      </c>
      <c r="S29" s="18" t="s">
        <v>629</v>
      </c>
      <c r="T29" s="62" t="s">
        <v>520</v>
      </c>
      <c r="U29" s="15" t="s">
        <v>91</v>
      </c>
      <c r="V29" s="18" t="s">
        <v>60</v>
      </c>
      <c r="W29" s="59">
        <v>318</v>
      </c>
      <c r="X29" s="18">
        <v>0</v>
      </c>
      <c r="Y29" s="18" t="s">
        <v>61</v>
      </c>
      <c r="AF29" s="15" t="s">
        <v>59</v>
      </c>
      <c r="AG29" s="18" t="s">
        <v>126</v>
      </c>
      <c r="AH29" s="63" t="s">
        <v>526</v>
      </c>
      <c r="AJ29" s="15" t="s">
        <v>30</v>
      </c>
    </row>
    <row r="30" spans="1:36" s="23" customFormat="1">
      <c r="A30" s="20" t="s">
        <v>26</v>
      </c>
      <c r="B30" s="20" t="s">
        <v>27</v>
      </c>
      <c r="C30" s="20" t="s">
        <v>86</v>
      </c>
      <c r="D30" s="20"/>
      <c r="E30" s="21" t="s">
        <v>424</v>
      </c>
      <c r="F30" s="22">
        <f t="shared" ca="1" si="0"/>
        <v>43887.699955324075</v>
      </c>
      <c r="G30" s="22"/>
      <c r="H30" s="20" t="s">
        <v>28</v>
      </c>
      <c r="I30" s="21" t="s">
        <v>424</v>
      </c>
      <c r="J30" s="20" t="s">
        <v>62</v>
      </c>
      <c r="K30" s="21" t="s">
        <v>505</v>
      </c>
      <c r="L30" s="20"/>
      <c r="M30" s="20" t="s">
        <v>62</v>
      </c>
      <c r="N30" s="20" t="s">
        <v>90</v>
      </c>
      <c r="O30" s="20" t="s">
        <v>87</v>
      </c>
      <c r="P30" s="20" t="s">
        <v>64</v>
      </c>
      <c r="Q30" s="64" t="s">
        <v>519</v>
      </c>
      <c r="R30" s="20" t="s">
        <v>87</v>
      </c>
      <c r="S30" s="23" t="s">
        <v>629</v>
      </c>
      <c r="T30" s="64" t="s">
        <v>528</v>
      </c>
      <c r="U30" s="20" t="s">
        <v>91</v>
      </c>
      <c r="V30" s="23" t="s">
        <v>60</v>
      </c>
      <c r="W30" s="24">
        <v>300</v>
      </c>
      <c r="X30" s="23">
        <v>0</v>
      </c>
      <c r="Y30" s="23" t="s">
        <v>61</v>
      </c>
      <c r="Z30" s="72" t="s">
        <v>596</v>
      </c>
      <c r="AF30" s="20" t="s">
        <v>59</v>
      </c>
      <c r="AG30" s="23" t="s">
        <v>126</v>
      </c>
      <c r="AH30" s="64" t="s">
        <v>527</v>
      </c>
      <c r="AJ30" s="20" t="s">
        <v>30</v>
      </c>
    </row>
    <row r="31" spans="1:36" s="18" customFormat="1">
      <c r="A31" s="15" t="s">
        <v>26</v>
      </c>
      <c r="B31" s="15" t="s">
        <v>27</v>
      </c>
      <c r="C31" s="15" t="s">
        <v>86</v>
      </c>
      <c r="D31" s="15"/>
      <c r="E31" s="16" t="s">
        <v>424</v>
      </c>
      <c r="F31" s="17">
        <f t="shared" ca="1" si="0"/>
        <v>43887.699955324075</v>
      </c>
      <c r="G31" s="17"/>
      <c r="H31" s="15" t="s">
        <v>28</v>
      </c>
      <c r="I31" s="16" t="s">
        <v>424</v>
      </c>
      <c r="J31" s="15" t="s">
        <v>62</v>
      </c>
      <c r="K31" s="16" t="s">
        <v>506</v>
      </c>
      <c r="L31" s="15"/>
      <c r="M31" s="15" t="s">
        <v>62</v>
      </c>
      <c r="N31" s="15" t="s">
        <v>90</v>
      </c>
      <c r="O31" s="15" t="s">
        <v>87</v>
      </c>
      <c r="P31" s="15" t="s">
        <v>64</v>
      </c>
      <c r="Q31" s="63" t="s">
        <v>519</v>
      </c>
      <c r="R31" s="15" t="s">
        <v>63</v>
      </c>
      <c r="S31" s="18" t="s">
        <v>629</v>
      </c>
      <c r="T31" s="63" t="s">
        <v>441</v>
      </c>
      <c r="U31" s="15" t="s">
        <v>91</v>
      </c>
      <c r="V31" s="18" t="s">
        <v>60</v>
      </c>
      <c r="W31" s="104">
        <v>318</v>
      </c>
      <c r="X31" s="18">
        <v>0</v>
      </c>
      <c r="Y31" s="18" t="s">
        <v>61</v>
      </c>
      <c r="Z31" s="25" t="s">
        <v>597</v>
      </c>
      <c r="AF31" s="15" t="s">
        <v>63</v>
      </c>
      <c r="AG31" s="18" t="s">
        <v>126</v>
      </c>
      <c r="AH31" s="63" t="s">
        <v>448</v>
      </c>
      <c r="AJ31" s="15" t="s">
        <v>30</v>
      </c>
    </row>
    <row r="32" spans="1:36" s="23" customFormat="1">
      <c r="A32" s="20" t="s">
        <v>614</v>
      </c>
      <c r="B32" s="20" t="s">
        <v>321</v>
      </c>
      <c r="C32" s="20" t="s">
        <v>604</v>
      </c>
      <c r="D32" s="20"/>
      <c r="E32" s="21" t="s">
        <v>424</v>
      </c>
      <c r="F32" s="22">
        <f t="shared" ca="1" si="0"/>
        <v>43887.699955324075</v>
      </c>
      <c r="G32" s="22"/>
      <c r="H32" s="20" t="s">
        <v>123</v>
      </c>
      <c r="I32" s="21" t="s">
        <v>424</v>
      </c>
      <c r="J32" s="20" t="s">
        <v>602</v>
      </c>
      <c r="K32" s="21" t="s">
        <v>615</v>
      </c>
      <c r="L32" s="20"/>
      <c r="M32" s="20" t="s">
        <v>616</v>
      </c>
      <c r="N32" s="20" t="s">
        <v>617</v>
      </c>
      <c r="O32" s="20" t="s">
        <v>63</v>
      </c>
      <c r="P32" s="20" t="s">
        <v>618</v>
      </c>
      <c r="Q32" s="64" t="s">
        <v>620</v>
      </c>
      <c r="R32" s="20" t="s">
        <v>601</v>
      </c>
      <c r="S32" s="23" t="s">
        <v>629</v>
      </c>
      <c r="T32" s="62" t="s">
        <v>184</v>
      </c>
      <c r="U32" s="20" t="s">
        <v>602</v>
      </c>
      <c r="V32" s="18"/>
      <c r="W32" s="67">
        <v>318</v>
      </c>
      <c r="X32" s="23">
        <v>0</v>
      </c>
      <c r="Y32" s="23" t="s">
        <v>621</v>
      </c>
      <c r="AF32" s="20" t="s">
        <v>601</v>
      </c>
      <c r="AG32" s="23" t="s">
        <v>622</v>
      </c>
      <c r="AH32" s="64" t="s">
        <v>623</v>
      </c>
      <c r="AJ32" s="20" t="s">
        <v>612</v>
      </c>
    </row>
    <row r="33" spans="1:36">
      <c r="A33" s="3" t="s">
        <v>120</v>
      </c>
      <c r="B33" s="3" t="s">
        <v>624</v>
      </c>
      <c r="C33" s="3" t="s">
        <v>604</v>
      </c>
      <c r="D33" s="3"/>
      <c r="E33" s="2" t="s">
        <v>424</v>
      </c>
      <c r="F33" s="4">
        <f t="shared" ca="1" si="0"/>
        <v>43887.699955324075</v>
      </c>
      <c r="G33" s="4"/>
      <c r="H33" s="3" t="s">
        <v>625</v>
      </c>
      <c r="I33" s="2" t="s">
        <v>424</v>
      </c>
      <c r="J33" s="3" t="s">
        <v>62</v>
      </c>
      <c r="K33" s="21" t="s">
        <v>626</v>
      </c>
      <c r="L33" s="3"/>
      <c r="M33" s="3" t="s">
        <v>62</v>
      </c>
      <c r="N33" s="3" t="s">
        <v>90</v>
      </c>
      <c r="O33" s="3" t="s">
        <v>63</v>
      </c>
      <c r="P33" s="3" t="s">
        <v>64</v>
      </c>
      <c r="Q33" s="64" t="s">
        <v>619</v>
      </c>
      <c r="R33" s="3" t="s">
        <v>601</v>
      </c>
      <c r="S33" t="s">
        <v>629</v>
      </c>
      <c r="T33" s="62" t="s">
        <v>627</v>
      </c>
      <c r="U33" s="20" t="s">
        <v>616</v>
      </c>
      <c r="V33" t="s">
        <v>182</v>
      </c>
      <c r="W33" s="58">
        <v>310</v>
      </c>
      <c r="X33">
        <v>0</v>
      </c>
      <c r="Y33" t="s">
        <v>61</v>
      </c>
      <c r="Z33" s="18"/>
      <c r="AF33" s="3" t="s">
        <v>63</v>
      </c>
      <c r="AG33" t="s">
        <v>622</v>
      </c>
      <c r="AH33" s="69" t="s">
        <v>623</v>
      </c>
      <c r="AJ33" s="3" t="s">
        <v>612</v>
      </c>
    </row>
    <row r="34" spans="1:36">
      <c r="K34" s="2"/>
    </row>
    <row r="35" spans="1:36">
      <c r="K35" s="2"/>
    </row>
    <row r="36" spans="1:36">
      <c r="K36" s="2"/>
    </row>
    <row r="37" spans="1:36">
      <c r="K37" s="2"/>
    </row>
    <row r="38" spans="1:36">
      <c r="K38" s="2"/>
    </row>
    <row r="39" spans="1:36">
      <c r="K39" s="2"/>
    </row>
    <row r="40" spans="1:36">
      <c r="K40" s="2"/>
    </row>
    <row r="41" spans="1:36">
      <c r="K41" s="2"/>
    </row>
    <row r="42" spans="1:36">
      <c r="K42" s="2"/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5"/>
  <sheetViews>
    <sheetView workbookViewId="0">
      <pane ySplit="3" topLeftCell="A43" activePane="bottomLeft" state="frozen"/>
      <selection activeCell="D1" sqref="D1"/>
      <selection pane="bottomLeft" activeCell="C78" sqref="C78"/>
    </sheetView>
  </sheetViews>
  <sheetFormatPr defaultRowHeight="14.25"/>
  <cols>
    <col min="6" max="6" width="16.25" customWidth="1"/>
    <col min="23" max="23" width="12.625" customWidth="1"/>
  </cols>
  <sheetData>
    <row r="1" spans="1:50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99</v>
      </c>
      <c r="I1" t="s">
        <v>100</v>
      </c>
      <c r="J1" t="s">
        <v>32</v>
      </c>
      <c r="K1" t="s">
        <v>55</v>
      </c>
      <c r="L1" t="s">
        <v>34</v>
      </c>
      <c r="M1" t="s">
        <v>131</v>
      </c>
      <c r="N1" t="s">
        <v>132</v>
      </c>
      <c r="O1" t="s">
        <v>133</v>
      </c>
      <c r="P1" t="s">
        <v>54</v>
      </c>
      <c r="Q1" t="s">
        <v>420</v>
      </c>
      <c r="R1" t="s">
        <v>421</v>
      </c>
      <c r="S1" t="s">
        <v>92</v>
      </c>
      <c r="T1" t="s">
        <v>40</v>
      </c>
      <c r="U1" t="s">
        <v>134</v>
      </c>
      <c r="V1" t="s">
        <v>35</v>
      </c>
      <c r="W1" t="s">
        <v>39</v>
      </c>
      <c r="X1" t="s">
        <v>37</v>
      </c>
      <c r="Y1" t="s">
        <v>33</v>
      </c>
      <c r="Z1" t="s">
        <v>135</v>
      </c>
      <c r="AA1" t="s">
        <v>42</v>
      </c>
      <c r="AB1" t="s">
        <v>48</v>
      </c>
      <c r="AC1" t="s">
        <v>136</v>
      </c>
      <c r="AD1" t="s">
        <v>38</v>
      </c>
      <c r="AE1" t="s">
        <v>44</v>
      </c>
      <c r="AF1" t="s">
        <v>43</v>
      </c>
      <c r="AG1" t="s">
        <v>137</v>
      </c>
      <c r="AH1" t="s">
        <v>138</v>
      </c>
      <c r="AI1" t="s">
        <v>139</v>
      </c>
      <c r="AJ1" t="s">
        <v>140</v>
      </c>
      <c r="AK1" t="s">
        <v>45</v>
      </c>
      <c r="AL1" s="18" t="s">
        <v>600</v>
      </c>
      <c r="AM1" t="s">
        <v>96</v>
      </c>
      <c r="AN1" t="s">
        <v>141</v>
      </c>
      <c r="AO1" t="s">
        <v>49</v>
      </c>
      <c r="AP1" t="s">
        <v>56</v>
      </c>
      <c r="AQ1" t="s">
        <v>53</v>
      </c>
      <c r="AR1" t="s">
        <v>15</v>
      </c>
      <c r="AS1" t="s">
        <v>16</v>
      </c>
      <c r="AT1" t="s">
        <v>58</v>
      </c>
      <c r="AU1" t="s">
        <v>202</v>
      </c>
      <c r="AV1" t="s">
        <v>258</v>
      </c>
      <c r="AW1" s="1" t="s">
        <v>17</v>
      </c>
      <c r="AX1" t="s">
        <v>142</v>
      </c>
    </row>
    <row r="2" spans="1:50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132</v>
      </c>
      <c r="O2" t="s">
        <v>10</v>
      </c>
      <c r="P2" t="s">
        <v>36</v>
      </c>
      <c r="Q2" t="s">
        <v>10</v>
      </c>
      <c r="R2" t="s">
        <v>36</v>
      </c>
      <c r="S2" t="s">
        <v>10</v>
      </c>
      <c r="T2" t="s">
        <v>41</v>
      </c>
      <c r="U2" t="s">
        <v>36</v>
      </c>
      <c r="V2" t="s">
        <v>36</v>
      </c>
      <c r="W2" t="s">
        <v>39</v>
      </c>
      <c r="X2" t="s">
        <v>36</v>
      </c>
      <c r="Y2" t="s">
        <v>10</v>
      </c>
      <c r="Z2" t="s">
        <v>10</v>
      </c>
      <c r="AA2" t="s">
        <v>36</v>
      </c>
      <c r="AB2" t="s">
        <v>47</v>
      </c>
      <c r="AC2" t="s">
        <v>97</v>
      </c>
      <c r="AD2" t="s">
        <v>36</v>
      </c>
      <c r="AE2" t="s">
        <v>39</v>
      </c>
      <c r="AF2" t="s">
        <v>41</v>
      </c>
      <c r="AG2" t="s">
        <v>36</v>
      </c>
      <c r="AH2" t="s">
        <v>41</v>
      </c>
      <c r="AI2" t="s">
        <v>47</v>
      </c>
      <c r="AJ2" t="s">
        <v>10</v>
      </c>
      <c r="AK2" t="s">
        <v>46</v>
      </c>
      <c r="AL2" s="18" t="s">
        <v>10</v>
      </c>
      <c r="AM2" t="s">
        <v>97</v>
      </c>
      <c r="AN2" t="s">
        <v>36</v>
      </c>
      <c r="AO2" t="s">
        <v>50</v>
      </c>
      <c r="AP2" t="s">
        <v>57</v>
      </c>
      <c r="AQ2" t="s">
        <v>14</v>
      </c>
      <c r="AR2" t="s">
        <v>13</v>
      </c>
      <c r="AS2" t="s">
        <v>13</v>
      </c>
      <c r="AT2" t="s">
        <v>57</v>
      </c>
      <c r="AU2" t="s">
        <v>57</v>
      </c>
      <c r="AV2" t="s">
        <v>57</v>
      </c>
      <c r="AW2" t="s">
        <v>10</v>
      </c>
      <c r="AX2" t="s">
        <v>143</v>
      </c>
    </row>
    <row r="3" spans="1:50">
      <c r="A3" s="2" t="s">
        <v>144</v>
      </c>
      <c r="B3" s="2" t="s">
        <v>145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12" t="s">
        <v>112</v>
      </c>
      <c r="J3" s="3" t="s">
        <v>146</v>
      </c>
      <c r="K3" s="3" t="s">
        <v>147</v>
      </c>
      <c r="L3" s="11" t="s">
        <v>148</v>
      </c>
      <c r="M3" s="3" t="s">
        <v>149</v>
      </c>
      <c r="N3" s="3" t="s">
        <v>150</v>
      </c>
      <c r="O3" s="3" t="s">
        <v>151</v>
      </c>
      <c r="P3" s="3" t="s">
        <v>152</v>
      </c>
      <c r="Q3" s="3" t="s">
        <v>418</v>
      </c>
      <c r="R3" s="3" t="s">
        <v>419</v>
      </c>
      <c r="S3" s="3" t="s">
        <v>153</v>
      </c>
      <c r="T3" s="13" t="s">
        <v>154</v>
      </c>
      <c r="U3" s="11" t="s">
        <v>155</v>
      </c>
      <c r="V3" s="3" t="s">
        <v>156</v>
      </c>
      <c r="W3" s="9" t="s">
        <v>157</v>
      </c>
      <c r="X3" s="9" t="s">
        <v>158</v>
      </c>
      <c r="Y3" s="3" t="s">
        <v>159</v>
      </c>
      <c r="Z3" s="3" t="s">
        <v>160</v>
      </c>
      <c r="AA3" s="3" t="s">
        <v>161</v>
      </c>
      <c r="AB3" s="3" t="s">
        <v>125</v>
      </c>
      <c r="AC3" s="3" t="s">
        <v>162</v>
      </c>
      <c r="AD3" s="3" t="s">
        <v>163</v>
      </c>
      <c r="AE3" s="3" t="s">
        <v>164</v>
      </c>
      <c r="AF3" s="3" t="s">
        <v>165</v>
      </c>
      <c r="AG3" s="11" t="s">
        <v>166</v>
      </c>
      <c r="AH3" s="11" t="s">
        <v>167</v>
      </c>
      <c r="AI3" s="3" t="s">
        <v>168</v>
      </c>
      <c r="AJ3" s="3" t="s">
        <v>169</v>
      </c>
      <c r="AK3" s="3" t="s">
        <v>170</v>
      </c>
      <c r="AL3" s="15" t="s">
        <v>190</v>
      </c>
      <c r="AM3" s="3" t="s">
        <v>171</v>
      </c>
      <c r="AN3" s="3" t="s">
        <v>172</v>
      </c>
      <c r="AO3" s="3" t="s">
        <v>173</v>
      </c>
      <c r="AP3" s="3" t="s">
        <v>174</v>
      </c>
      <c r="AQ3" s="3" t="s">
        <v>175</v>
      </c>
      <c r="AR3" s="3" t="s">
        <v>116</v>
      </c>
      <c r="AS3" s="3" t="s">
        <v>117</v>
      </c>
      <c r="AT3" s="11" t="s">
        <v>176</v>
      </c>
      <c r="AU3" s="3" t="s">
        <v>201</v>
      </c>
      <c r="AV3" s="3" t="s">
        <v>259</v>
      </c>
      <c r="AW3" s="2" t="s">
        <v>118</v>
      </c>
      <c r="AX3" s="7" t="s">
        <v>104</v>
      </c>
    </row>
    <row r="4" spans="1:50">
      <c r="A4" s="3" t="s">
        <v>120</v>
      </c>
      <c r="B4" s="3" t="s">
        <v>121</v>
      </c>
      <c r="C4" s="3" t="s">
        <v>144</v>
      </c>
      <c r="D4" s="3" t="s">
        <v>146</v>
      </c>
      <c r="E4" s="3" t="s">
        <v>123</v>
      </c>
      <c r="F4" s="4">
        <f t="shared" ref="F4:F68" ca="1" si="0">NOW()</f>
        <v>43887.699955324075</v>
      </c>
      <c r="G4" s="2" t="s">
        <v>424</v>
      </c>
      <c r="H4" s="3" t="s">
        <v>146</v>
      </c>
      <c r="I4" s="3" t="s">
        <v>178</v>
      </c>
      <c r="J4" s="2" t="s">
        <v>424</v>
      </c>
      <c r="K4" s="3" t="s">
        <v>179</v>
      </c>
      <c r="L4" s="3" t="s">
        <v>444</v>
      </c>
      <c r="M4" s="3" t="s">
        <v>179</v>
      </c>
      <c r="O4" s="3" t="s">
        <v>179</v>
      </c>
      <c r="P4" s="3" t="s">
        <v>179</v>
      </c>
      <c r="Q4" s="3" t="s">
        <v>232</v>
      </c>
      <c r="R4" s="3" t="s">
        <v>232</v>
      </c>
      <c r="S4" s="3" t="s">
        <v>179</v>
      </c>
      <c r="T4" s="3" t="s">
        <v>447</v>
      </c>
      <c r="U4" s="7" t="s">
        <v>448</v>
      </c>
      <c r="V4" s="3" t="s">
        <v>180</v>
      </c>
      <c r="W4" s="3" t="s">
        <v>449</v>
      </c>
      <c r="X4" s="3" t="s">
        <v>146</v>
      </c>
      <c r="Y4" t="s">
        <v>629</v>
      </c>
      <c r="AA4" s="3" t="s">
        <v>179</v>
      </c>
      <c r="AD4" t="s">
        <v>182</v>
      </c>
      <c r="AE4" s="8" t="s">
        <v>283</v>
      </c>
      <c r="AF4" s="8" t="s">
        <v>284</v>
      </c>
      <c r="AG4" t="s">
        <v>451</v>
      </c>
      <c r="AH4" s="3" t="s">
        <v>460</v>
      </c>
      <c r="AK4" t="s">
        <v>183</v>
      </c>
      <c r="AN4" s="3" t="s">
        <v>146</v>
      </c>
      <c r="AP4" s="3" t="s">
        <v>146</v>
      </c>
      <c r="AR4" s="3" t="s">
        <v>127</v>
      </c>
      <c r="AT4" s="9" t="s">
        <v>423</v>
      </c>
      <c r="AW4" s="3" t="s">
        <v>129</v>
      </c>
      <c r="AX4" s="3" t="s">
        <v>536</v>
      </c>
    </row>
    <row r="5" spans="1:50">
      <c r="A5" s="3" t="s">
        <v>120</v>
      </c>
      <c r="B5" s="3" t="s">
        <v>121</v>
      </c>
      <c r="C5" s="3" t="s">
        <v>144</v>
      </c>
      <c r="D5" s="3" t="s">
        <v>146</v>
      </c>
      <c r="E5" s="3" t="s">
        <v>123</v>
      </c>
      <c r="F5" s="4">
        <f t="shared" ca="1" si="0"/>
        <v>43887.699955324075</v>
      </c>
      <c r="G5" s="2" t="s">
        <v>424</v>
      </c>
      <c r="H5" s="3" t="s">
        <v>146</v>
      </c>
      <c r="I5" s="3" t="s">
        <v>178</v>
      </c>
      <c r="J5" s="2" t="s">
        <v>424</v>
      </c>
      <c r="K5" s="3" t="s">
        <v>179</v>
      </c>
      <c r="L5" s="69" t="s">
        <v>428</v>
      </c>
      <c r="M5" s="3" t="s">
        <v>179</v>
      </c>
      <c r="O5" s="3" t="s">
        <v>179</v>
      </c>
      <c r="P5" s="3" t="s">
        <v>179</v>
      </c>
      <c r="Q5" s="3" t="s">
        <v>232</v>
      </c>
      <c r="R5" s="3" t="s">
        <v>232</v>
      </c>
      <c r="S5" s="3" t="s">
        <v>179</v>
      </c>
      <c r="T5" s="3" t="s">
        <v>447</v>
      </c>
      <c r="U5" s="7" t="s">
        <v>448</v>
      </c>
      <c r="V5" s="3" t="s">
        <v>180</v>
      </c>
      <c r="W5" s="3" t="s">
        <v>449</v>
      </c>
      <c r="X5" s="3" t="s">
        <v>87</v>
      </c>
      <c r="Y5" t="s">
        <v>629</v>
      </c>
      <c r="AA5" s="3" t="s">
        <v>93</v>
      </c>
      <c r="AD5" t="s">
        <v>182</v>
      </c>
      <c r="AE5" s="8" t="s">
        <v>285</v>
      </c>
      <c r="AF5" s="8" t="s">
        <v>285</v>
      </c>
      <c r="AG5" s="3" t="s">
        <v>451</v>
      </c>
      <c r="AH5" s="3" t="s">
        <v>460</v>
      </c>
      <c r="AK5" t="s">
        <v>183</v>
      </c>
      <c r="AN5" s="3" t="s">
        <v>146</v>
      </c>
      <c r="AP5" s="3" t="s">
        <v>146</v>
      </c>
      <c r="AR5" s="3" t="s">
        <v>127</v>
      </c>
      <c r="AT5" s="3" t="s">
        <v>440</v>
      </c>
      <c r="AW5" s="3" t="s">
        <v>129</v>
      </c>
      <c r="AX5" s="3" t="s">
        <v>536</v>
      </c>
    </row>
    <row r="6" spans="1:50">
      <c r="A6" s="3" t="s">
        <v>120</v>
      </c>
      <c r="B6" s="3" t="s">
        <v>121</v>
      </c>
      <c r="C6" s="3" t="s">
        <v>144</v>
      </c>
      <c r="D6" s="3" t="s">
        <v>146</v>
      </c>
      <c r="E6" s="3" t="s">
        <v>123</v>
      </c>
      <c r="F6" s="4">
        <f t="shared" ca="1" si="0"/>
        <v>43887.699955324075</v>
      </c>
      <c r="G6" s="2" t="s">
        <v>424</v>
      </c>
      <c r="H6" s="3" t="s">
        <v>146</v>
      </c>
      <c r="I6" s="3" t="s">
        <v>178</v>
      </c>
      <c r="J6" s="2" t="s">
        <v>424</v>
      </c>
      <c r="K6" s="3" t="s">
        <v>179</v>
      </c>
      <c r="L6" s="69" t="s">
        <v>428</v>
      </c>
      <c r="M6" s="3" t="s">
        <v>179</v>
      </c>
      <c r="O6" s="3" t="s">
        <v>179</v>
      </c>
      <c r="P6" s="3" t="s">
        <v>179</v>
      </c>
      <c r="Q6" s="3" t="s">
        <v>232</v>
      </c>
      <c r="R6" s="3" t="s">
        <v>232</v>
      </c>
      <c r="S6" s="3" t="s">
        <v>179</v>
      </c>
      <c r="T6" s="3" t="s">
        <v>146</v>
      </c>
      <c r="U6" t="s">
        <v>452</v>
      </c>
      <c r="V6" s="3" t="s">
        <v>180</v>
      </c>
      <c r="W6" s="3" t="s">
        <v>449</v>
      </c>
      <c r="X6" s="3" t="s">
        <v>87</v>
      </c>
      <c r="Y6" t="s">
        <v>629</v>
      </c>
      <c r="AA6" s="3" t="s">
        <v>93</v>
      </c>
      <c r="AD6" t="s">
        <v>182</v>
      </c>
      <c r="AE6" s="8" t="s">
        <v>282</v>
      </c>
      <c r="AF6" s="8" t="s">
        <v>282</v>
      </c>
      <c r="AG6" t="s">
        <v>453</v>
      </c>
      <c r="AH6" s="3" t="s">
        <v>460</v>
      </c>
      <c r="AK6" t="s">
        <v>183</v>
      </c>
      <c r="AN6" s="3" t="s">
        <v>146</v>
      </c>
      <c r="AP6" s="3" t="s">
        <v>146</v>
      </c>
      <c r="AR6" s="3" t="s">
        <v>127</v>
      </c>
      <c r="AT6" s="3" t="s">
        <v>432</v>
      </c>
      <c r="AW6" s="3" t="s">
        <v>129</v>
      </c>
      <c r="AX6" s="3" t="s">
        <v>536</v>
      </c>
    </row>
    <row r="7" spans="1:50">
      <c r="A7" s="3" t="s">
        <v>120</v>
      </c>
      <c r="B7" s="3" t="s">
        <v>121</v>
      </c>
      <c r="C7" s="3" t="s">
        <v>144</v>
      </c>
      <c r="D7" s="3" t="s">
        <v>146</v>
      </c>
      <c r="E7" s="3" t="s">
        <v>123</v>
      </c>
      <c r="F7" s="4">
        <f t="shared" ca="1" si="0"/>
        <v>43887.699955324075</v>
      </c>
      <c r="G7" s="2" t="s">
        <v>424</v>
      </c>
      <c r="H7" s="3" t="s">
        <v>146</v>
      </c>
      <c r="I7" s="3" t="s">
        <v>178</v>
      </c>
      <c r="J7" s="2" t="s">
        <v>424</v>
      </c>
      <c r="K7" s="3" t="s">
        <v>179</v>
      </c>
      <c r="L7" s="69" t="s">
        <v>428</v>
      </c>
      <c r="M7" s="3" t="s">
        <v>179</v>
      </c>
      <c r="O7" s="3" t="s">
        <v>179</v>
      </c>
      <c r="P7" s="3" t="s">
        <v>179</v>
      </c>
      <c r="Q7" s="3" t="s">
        <v>232</v>
      </c>
      <c r="R7" s="3" t="s">
        <v>232</v>
      </c>
      <c r="S7" s="3" t="s">
        <v>179</v>
      </c>
      <c r="T7" s="3" t="s">
        <v>146</v>
      </c>
      <c r="U7" s="3" t="s">
        <v>454</v>
      </c>
      <c r="V7" s="3" t="s">
        <v>180</v>
      </c>
      <c r="W7" s="3" t="s">
        <v>449</v>
      </c>
      <c r="X7" s="3" t="s">
        <v>87</v>
      </c>
      <c r="Y7" t="s">
        <v>629</v>
      </c>
      <c r="AA7" s="3" t="s">
        <v>93</v>
      </c>
      <c r="AD7" t="s">
        <v>182</v>
      </c>
      <c r="AE7" s="8" t="s">
        <v>282</v>
      </c>
      <c r="AF7" s="8" t="s">
        <v>282</v>
      </c>
      <c r="AG7" s="3" t="s">
        <v>454</v>
      </c>
      <c r="AH7" s="3" t="s">
        <v>460</v>
      </c>
      <c r="AK7" t="s">
        <v>183</v>
      </c>
      <c r="AN7" s="3" t="s">
        <v>146</v>
      </c>
      <c r="AP7" s="3" t="s">
        <v>146</v>
      </c>
      <c r="AR7" s="3" t="s">
        <v>127</v>
      </c>
      <c r="AT7" s="3" t="s">
        <v>432</v>
      </c>
      <c r="AW7" s="3" t="s">
        <v>129</v>
      </c>
      <c r="AX7" s="3" t="s">
        <v>536</v>
      </c>
    </row>
    <row r="8" spans="1:50">
      <c r="A8" s="3" t="s">
        <v>120</v>
      </c>
      <c r="B8" s="3" t="s">
        <v>121</v>
      </c>
      <c r="C8" s="3" t="s">
        <v>144</v>
      </c>
      <c r="D8" s="3" t="s">
        <v>146</v>
      </c>
      <c r="E8" s="3" t="s">
        <v>123</v>
      </c>
      <c r="F8" s="4">
        <f t="shared" ca="1" si="0"/>
        <v>43887.699955324075</v>
      </c>
      <c r="G8" s="2" t="s">
        <v>424</v>
      </c>
      <c r="H8" s="3" t="s">
        <v>146</v>
      </c>
      <c r="I8" s="3" t="s">
        <v>178</v>
      </c>
      <c r="J8" s="2" t="s">
        <v>424</v>
      </c>
      <c r="K8" s="3" t="s">
        <v>179</v>
      </c>
      <c r="L8" s="69" t="s">
        <v>428</v>
      </c>
      <c r="M8" s="3" t="s">
        <v>179</v>
      </c>
      <c r="O8" s="3" t="s">
        <v>179</v>
      </c>
      <c r="P8" s="3" t="s">
        <v>179</v>
      </c>
      <c r="Q8" s="3" t="s">
        <v>232</v>
      </c>
      <c r="R8" s="3" t="s">
        <v>232</v>
      </c>
      <c r="S8" s="3" t="s">
        <v>179</v>
      </c>
      <c r="T8" s="3" t="s">
        <v>146</v>
      </c>
      <c r="U8" s="8" t="s">
        <v>282</v>
      </c>
      <c r="V8" s="3" t="s">
        <v>180</v>
      </c>
      <c r="W8" s="3" t="s">
        <v>449</v>
      </c>
      <c r="X8" s="3" t="s">
        <v>87</v>
      </c>
      <c r="Y8" t="s">
        <v>629</v>
      </c>
      <c r="AA8" s="3" t="s">
        <v>93</v>
      </c>
      <c r="AD8" t="s">
        <v>182</v>
      </c>
      <c r="AE8" s="8" t="s">
        <v>282</v>
      </c>
      <c r="AF8" s="8" t="s">
        <v>282</v>
      </c>
      <c r="AG8" s="8" t="s">
        <v>282</v>
      </c>
      <c r="AH8" s="3" t="s">
        <v>460</v>
      </c>
      <c r="AK8" t="s">
        <v>183</v>
      </c>
      <c r="AN8" s="3" t="s">
        <v>146</v>
      </c>
      <c r="AP8" s="3" t="s">
        <v>146</v>
      </c>
      <c r="AR8" s="3" t="s">
        <v>127</v>
      </c>
      <c r="AT8" s="3" t="s">
        <v>432</v>
      </c>
      <c r="AW8" s="3" t="s">
        <v>129</v>
      </c>
      <c r="AX8" s="3" t="s">
        <v>536</v>
      </c>
    </row>
    <row r="9" spans="1:50">
      <c r="A9" s="3" t="s">
        <v>120</v>
      </c>
      <c r="B9" s="3" t="s">
        <v>121</v>
      </c>
      <c r="C9" s="3" t="s">
        <v>144</v>
      </c>
      <c r="D9" s="3" t="s">
        <v>146</v>
      </c>
      <c r="E9" s="3" t="s">
        <v>123</v>
      </c>
      <c r="F9" s="4">
        <f t="shared" ca="1" si="0"/>
        <v>43887.699955324075</v>
      </c>
      <c r="G9" s="2" t="s">
        <v>424</v>
      </c>
      <c r="H9" s="3" t="s">
        <v>146</v>
      </c>
      <c r="I9" s="3" t="s">
        <v>178</v>
      </c>
      <c r="J9" s="2" t="s">
        <v>424</v>
      </c>
      <c r="K9" s="3" t="s">
        <v>179</v>
      </c>
      <c r="L9" s="3" t="s">
        <v>445</v>
      </c>
      <c r="M9" s="3" t="s">
        <v>179</v>
      </c>
      <c r="O9" s="3" t="s">
        <v>179</v>
      </c>
      <c r="P9" s="3" t="s">
        <v>179</v>
      </c>
      <c r="Q9" s="3" t="s">
        <v>232</v>
      </c>
      <c r="R9" s="3" t="s">
        <v>232</v>
      </c>
      <c r="S9" s="3" t="s">
        <v>179</v>
      </c>
      <c r="T9" s="3" t="s">
        <v>87</v>
      </c>
      <c r="U9" s="7" t="s">
        <v>448</v>
      </c>
      <c r="V9" s="3" t="s">
        <v>180</v>
      </c>
      <c r="W9" s="3" t="s">
        <v>449</v>
      </c>
      <c r="X9" s="3" t="s">
        <v>87</v>
      </c>
      <c r="Y9" t="s">
        <v>629</v>
      </c>
      <c r="AA9" s="3" t="s">
        <v>93</v>
      </c>
      <c r="AD9" t="s">
        <v>182</v>
      </c>
      <c r="AE9" s="8" t="s">
        <v>282</v>
      </c>
      <c r="AF9" s="8" t="s">
        <v>282</v>
      </c>
      <c r="AG9" t="s">
        <v>451</v>
      </c>
      <c r="AH9" s="3" t="s">
        <v>460</v>
      </c>
      <c r="AK9" t="s">
        <v>183</v>
      </c>
      <c r="AN9" s="3" t="s">
        <v>146</v>
      </c>
      <c r="AP9" s="3" t="s">
        <v>146</v>
      </c>
      <c r="AR9" s="3" t="s">
        <v>127</v>
      </c>
      <c r="AT9" s="9" t="s">
        <v>461</v>
      </c>
      <c r="AW9" s="3" t="s">
        <v>129</v>
      </c>
      <c r="AX9" s="3" t="s">
        <v>536</v>
      </c>
    </row>
    <row r="10" spans="1:50">
      <c r="A10" s="3" t="s">
        <v>120</v>
      </c>
      <c r="B10" s="3" t="s">
        <v>121</v>
      </c>
      <c r="C10" s="3" t="s">
        <v>144</v>
      </c>
      <c r="D10" s="3" t="s">
        <v>146</v>
      </c>
      <c r="E10" s="3" t="s">
        <v>123</v>
      </c>
      <c r="F10" s="4">
        <f t="shared" ca="1" si="0"/>
        <v>43887.699955324075</v>
      </c>
      <c r="G10" s="2" t="s">
        <v>424</v>
      </c>
      <c r="H10" s="3" t="s">
        <v>146</v>
      </c>
      <c r="I10" s="3" t="s">
        <v>178</v>
      </c>
      <c r="J10" s="2" t="s">
        <v>424</v>
      </c>
      <c r="K10" s="3" t="s">
        <v>179</v>
      </c>
      <c r="L10" s="69" t="s">
        <v>446</v>
      </c>
      <c r="M10" s="3" t="s">
        <v>179</v>
      </c>
      <c r="O10" s="3" t="s">
        <v>179</v>
      </c>
      <c r="P10" s="3" t="s">
        <v>179</v>
      </c>
      <c r="Q10" s="3" t="s">
        <v>232</v>
      </c>
      <c r="R10" s="3" t="s">
        <v>232</v>
      </c>
      <c r="S10" s="3" t="s">
        <v>179</v>
      </c>
      <c r="T10" s="3" t="s">
        <v>87</v>
      </c>
      <c r="U10" s="7" t="s">
        <v>448</v>
      </c>
      <c r="V10" s="3" t="s">
        <v>180</v>
      </c>
      <c r="W10" s="3" t="s">
        <v>449</v>
      </c>
      <c r="X10" s="3" t="s">
        <v>87</v>
      </c>
      <c r="Y10" t="s">
        <v>629</v>
      </c>
      <c r="AA10" s="3" t="s">
        <v>93</v>
      </c>
      <c r="AD10" t="s">
        <v>182</v>
      </c>
      <c r="AE10" s="8" t="s">
        <v>282</v>
      </c>
      <c r="AF10" s="8" t="s">
        <v>282</v>
      </c>
      <c r="AG10" s="3" t="s">
        <v>451</v>
      </c>
      <c r="AH10" s="3" t="s">
        <v>460</v>
      </c>
      <c r="AK10" t="s">
        <v>183</v>
      </c>
      <c r="AN10" s="3" t="s">
        <v>146</v>
      </c>
      <c r="AP10" s="3" t="s">
        <v>146</v>
      </c>
      <c r="AR10" s="3" t="s">
        <v>127</v>
      </c>
      <c r="AT10" s="3" t="s">
        <v>461</v>
      </c>
      <c r="AW10" s="3" t="s">
        <v>129</v>
      </c>
      <c r="AX10" s="3" t="s">
        <v>536</v>
      </c>
    </row>
    <row r="11" spans="1:50">
      <c r="A11" s="3" t="s">
        <v>120</v>
      </c>
      <c r="B11" s="3" t="s">
        <v>121</v>
      </c>
      <c r="C11" s="3" t="s">
        <v>144</v>
      </c>
      <c r="D11" s="3" t="s">
        <v>146</v>
      </c>
      <c r="E11" s="3" t="s">
        <v>123</v>
      </c>
      <c r="F11" s="4">
        <f t="shared" ca="1" si="0"/>
        <v>43887.699955324075</v>
      </c>
      <c r="G11" s="2" t="s">
        <v>424</v>
      </c>
      <c r="H11" s="3" t="s">
        <v>146</v>
      </c>
      <c r="I11" s="3" t="s">
        <v>178</v>
      </c>
      <c r="J11" s="2" t="s">
        <v>424</v>
      </c>
      <c r="K11" s="3" t="s">
        <v>179</v>
      </c>
      <c r="L11" s="69" t="s">
        <v>446</v>
      </c>
      <c r="M11" s="3" t="s">
        <v>179</v>
      </c>
      <c r="O11" s="3" t="s">
        <v>179</v>
      </c>
      <c r="P11" s="3" t="s">
        <v>179</v>
      </c>
      <c r="Q11" s="3" t="s">
        <v>232</v>
      </c>
      <c r="R11" s="3" t="s">
        <v>232</v>
      </c>
      <c r="S11" s="3" t="s">
        <v>179</v>
      </c>
      <c r="T11" s="3" t="s">
        <v>87</v>
      </c>
      <c r="U11" t="s">
        <v>452</v>
      </c>
      <c r="V11" s="3" t="s">
        <v>180</v>
      </c>
      <c r="W11" s="3" t="s">
        <v>449</v>
      </c>
      <c r="X11" s="3" t="s">
        <v>87</v>
      </c>
      <c r="Y11" t="s">
        <v>629</v>
      </c>
      <c r="AA11" s="3" t="s">
        <v>93</v>
      </c>
      <c r="AD11" t="s">
        <v>182</v>
      </c>
      <c r="AE11" s="8" t="s">
        <v>282</v>
      </c>
      <c r="AF11" s="8" t="s">
        <v>282</v>
      </c>
      <c r="AG11" t="s">
        <v>453</v>
      </c>
      <c r="AH11" s="3" t="s">
        <v>460</v>
      </c>
      <c r="AK11" t="s">
        <v>183</v>
      </c>
      <c r="AN11" s="3" t="s">
        <v>146</v>
      </c>
      <c r="AP11" s="3" t="s">
        <v>146</v>
      </c>
      <c r="AR11" s="3" t="s">
        <v>127</v>
      </c>
      <c r="AT11" s="3" t="s">
        <v>461</v>
      </c>
      <c r="AW11" s="3" t="s">
        <v>129</v>
      </c>
      <c r="AX11" s="3" t="s">
        <v>536</v>
      </c>
    </row>
    <row r="12" spans="1:50">
      <c r="A12" s="3" t="s">
        <v>120</v>
      </c>
      <c r="B12" s="3" t="s">
        <v>121</v>
      </c>
      <c r="C12" s="3" t="s">
        <v>144</v>
      </c>
      <c r="D12" s="3" t="s">
        <v>146</v>
      </c>
      <c r="E12" s="3" t="s">
        <v>123</v>
      </c>
      <c r="F12" s="4">
        <f t="shared" ca="1" si="0"/>
        <v>43887.699955324075</v>
      </c>
      <c r="G12" s="2" t="s">
        <v>424</v>
      </c>
      <c r="H12" s="3" t="s">
        <v>146</v>
      </c>
      <c r="I12" s="3" t="s">
        <v>178</v>
      </c>
      <c r="J12" s="2" t="s">
        <v>424</v>
      </c>
      <c r="K12" s="3" t="s">
        <v>179</v>
      </c>
      <c r="L12" s="69" t="s">
        <v>446</v>
      </c>
      <c r="M12" s="3" t="s">
        <v>179</v>
      </c>
      <c r="O12" s="3" t="s">
        <v>179</v>
      </c>
      <c r="P12" s="3" t="s">
        <v>179</v>
      </c>
      <c r="Q12" s="3" t="s">
        <v>232</v>
      </c>
      <c r="R12" s="3" t="s">
        <v>232</v>
      </c>
      <c r="S12" s="3" t="s">
        <v>179</v>
      </c>
      <c r="T12" s="3" t="s">
        <v>87</v>
      </c>
      <c r="U12" s="3" t="s">
        <v>454</v>
      </c>
      <c r="V12" s="3" t="s">
        <v>180</v>
      </c>
      <c r="W12" s="3" t="s">
        <v>449</v>
      </c>
      <c r="X12" s="3" t="s">
        <v>87</v>
      </c>
      <c r="Y12" t="s">
        <v>629</v>
      </c>
      <c r="AA12" s="3" t="s">
        <v>93</v>
      </c>
      <c r="AD12" t="s">
        <v>182</v>
      </c>
      <c r="AE12" s="8" t="s">
        <v>285</v>
      </c>
      <c r="AF12" s="8" t="s">
        <v>285</v>
      </c>
      <c r="AG12" s="3" t="s">
        <v>454</v>
      </c>
      <c r="AH12" s="3" t="s">
        <v>460</v>
      </c>
      <c r="AK12" t="s">
        <v>183</v>
      </c>
      <c r="AN12" s="3" t="s">
        <v>146</v>
      </c>
      <c r="AP12" s="3" t="s">
        <v>146</v>
      </c>
      <c r="AR12" s="3" t="s">
        <v>127</v>
      </c>
      <c r="AT12" s="3" t="s">
        <v>461</v>
      </c>
      <c r="AW12" s="3" t="s">
        <v>129</v>
      </c>
      <c r="AX12" s="3" t="s">
        <v>536</v>
      </c>
    </row>
    <row r="13" spans="1:50">
      <c r="A13" s="3" t="s">
        <v>422</v>
      </c>
      <c r="B13" s="3" t="s">
        <v>121</v>
      </c>
      <c r="C13" s="3" t="s">
        <v>144</v>
      </c>
      <c r="D13" s="3" t="s">
        <v>146</v>
      </c>
      <c r="E13" s="3" t="s">
        <v>123</v>
      </c>
      <c r="F13" s="4">
        <f t="shared" ca="1" si="0"/>
        <v>43887.699955324075</v>
      </c>
      <c r="G13" s="2" t="s">
        <v>424</v>
      </c>
      <c r="H13" s="3" t="s">
        <v>146</v>
      </c>
      <c r="I13" s="3" t="s">
        <v>178</v>
      </c>
      <c r="J13" s="2" t="s">
        <v>424</v>
      </c>
      <c r="K13" s="3" t="s">
        <v>179</v>
      </c>
      <c r="L13" s="69" t="s">
        <v>446</v>
      </c>
      <c r="M13" s="3" t="s">
        <v>93</v>
      </c>
      <c r="O13" s="3" t="s">
        <v>179</v>
      </c>
      <c r="P13" s="3" t="s">
        <v>179</v>
      </c>
      <c r="Q13" s="3" t="s">
        <v>232</v>
      </c>
      <c r="R13" s="3" t="s">
        <v>232</v>
      </c>
      <c r="S13" s="3" t="s">
        <v>179</v>
      </c>
      <c r="T13" s="3" t="s">
        <v>87</v>
      </c>
      <c r="U13" s="8" t="s">
        <v>282</v>
      </c>
      <c r="V13" s="3" t="s">
        <v>180</v>
      </c>
      <c r="W13" s="3" t="s">
        <v>449</v>
      </c>
      <c r="X13" s="3" t="s">
        <v>87</v>
      </c>
      <c r="Y13" t="s">
        <v>629</v>
      </c>
      <c r="AA13" s="3" t="s">
        <v>93</v>
      </c>
      <c r="AD13" t="s">
        <v>182</v>
      </c>
      <c r="AE13" s="8" t="s">
        <v>285</v>
      </c>
      <c r="AF13" s="8" t="s">
        <v>285</v>
      </c>
      <c r="AG13" s="8" t="s">
        <v>282</v>
      </c>
      <c r="AH13" s="3" t="s">
        <v>460</v>
      </c>
      <c r="AK13" t="s">
        <v>183</v>
      </c>
      <c r="AN13" s="3" t="s">
        <v>146</v>
      </c>
      <c r="AP13" s="3" t="s">
        <v>146</v>
      </c>
      <c r="AR13" s="3" t="s">
        <v>127</v>
      </c>
      <c r="AT13" s="3" t="s">
        <v>461</v>
      </c>
      <c r="AW13" s="3" t="s">
        <v>129</v>
      </c>
      <c r="AX13" s="3" t="s">
        <v>536</v>
      </c>
    </row>
    <row r="14" spans="1:50">
      <c r="A14" s="3" t="s">
        <v>120</v>
      </c>
      <c r="B14" s="3" t="s">
        <v>121</v>
      </c>
      <c r="C14" s="3" t="s">
        <v>144</v>
      </c>
      <c r="D14" s="3" t="s">
        <v>87</v>
      </c>
      <c r="E14" s="3" t="s">
        <v>123</v>
      </c>
      <c r="F14" s="4">
        <f t="shared" ca="1" si="0"/>
        <v>43887.699955324075</v>
      </c>
      <c r="G14" s="2" t="s">
        <v>424</v>
      </c>
      <c r="H14" s="3" t="s">
        <v>87</v>
      </c>
      <c r="I14" s="3" t="s">
        <v>178</v>
      </c>
      <c r="J14" s="2" t="s">
        <v>424</v>
      </c>
      <c r="K14" s="3" t="s">
        <v>93</v>
      </c>
      <c r="L14" s="3" t="s">
        <v>456</v>
      </c>
      <c r="M14" s="3" t="s">
        <v>93</v>
      </c>
      <c r="O14" s="3" t="s">
        <v>93</v>
      </c>
      <c r="P14" s="3" t="s">
        <v>93</v>
      </c>
      <c r="Q14" s="3" t="s">
        <v>93</v>
      </c>
      <c r="R14" s="3" t="s">
        <v>93</v>
      </c>
      <c r="S14" s="3" t="s">
        <v>93</v>
      </c>
      <c r="T14" s="3" t="s">
        <v>87</v>
      </c>
      <c r="U14" s="7" t="s">
        <v>448</v>
      </c>
      <c r="V14" s="3" t="s">
        <v>180</v>
      </c>
      <c r="W14" s="3" t="s">
        <v>449</v>
      </c>
      <c r="X14" s="3" t="s">
        <v>87</v>
      </c>
      <c r="Y14" t="s">
        <v>629</v>
      </c>
      <c r="AA14" s="3" t="s">
        <v>87</v>
      </c>
      <c r="AD14" t="s">
        <v>182</v>
      </c>
      <c r="AE14" s="8" t="s">
        <v>282</v>
      </c>
      <c r="AF14" s="8" t="s">
        <v>282</v>
      </c>
      <c r="AG14" t="s">
        <v>451</v>
      </c>
      <c r="AH14" s="3" t="s">
        <v>460</v>
      </c>
      <c r="AK14" t="s">
        <v>183</v>
      </c>
      <c r="AN14" s="3" t="s">
        <v>87</v>
      </c>
      <c r="AP14" s="3" t="s">
        <v>87</v>
      </c>
      <c r="AR14" s="3" t="s">
        <v>127</v>
      </c>
      <c r="AT14" s="9" t="s">
        <v>442</v>
      </c>
      <c r="AW14" s="3" t="s">
        <v>129</v>
      </c>
      <c r="AX14" s="3" t="s">
        <v>536</v>
      </c>
    </row>
    <row r="15" spans="1:50">
      <c r="A15" s="3" t="s">
        <v>120</v>
      </c>
      <c r="B15" s="3" t="s">
        <v>121</v>
      </c>
      <c r="C15" s="3" t="s">
        <v>144</v>
      </c>
      <c r="D15" s="3" t="s">
        <v>87</v>
      </c>
      <c r="E15" s="3" t="s">
        <v>123</v>
      </c>
      <c r="F15" s="4">
        <f t="shared" ca="1" si="0"/>
        <v>43887.699955324075</v>
      </c>
      <c r="G15" s="2" t="s">
        <v>424</v>
      </c>
      <c r="H15" s="3" t="s">
        <v>87</v>
      </c>
      <c r="I15" s="3" t="s">
        <v>178</v>
      </c>
      <c r="J15" s="2" t="s">
        <v>424</v>
      </c>
      <c r="K15" s="3" t="s">
        <v>93</v>
      </c>
      <c r="L15" s="69" t="s">
        <v>457</v>
      </c>
      <c r="M15" s="3" t="s">
        <v>93</v>
      </c>
      <c r="O15" s="3" t="s">
        <v>93</v>
      </c>
      <c r="P15" s="3" t="s">
        <v>93</v>
      </c>
      <c r="Q15" s="3" t="s">
        <v>93</v>
      </c>
      <c r="R15" s="3" t="s">
        <v>93</v>
      </c>
      <c r="S15" s="3" t="s">
        <v>93</v>
      </c>
      <c r="T15" s="3" t="s">
        <v>87</v>
      </c>
      <c r="U15" s="7" t="s">
        <v>448</v>
      </c>
      <c r="V15" s="3" t="s">
        <v>180</v>
      </c>
      <c r="W15" s="3" t="s">
        <v>449</v>
      </c>
      <c r="X15" s="3" t="s">
        <v>87</v>
      </c>
      <c r="Y15" t="s">
        <v>629</v>
      </c>
      <c r="AA15" s="3" t="s">
        <v>87</v>
      </c>
      <c r="AD15" t="s">
        <v>182</v>
      </c>
      <c r="AE15" s="8" t="s">
        <v>282</v>
      </c>
      <c r="AF15" s="8" t="s">
        <v>282</v>
      </c>
      <c r="AG15" s="3" t="s">
        <v>451</v>
      </c>
      <c r="AH15" s="3" t="s">
        <v>460</v>
      </c>
      <c r="AK15" t="s">
        <v>183</v>
      </c>
      <c r="AN15" s="3" t="s">
        <v>87</v>
      </c>
      <c r="AP15" s="3" t="s">
        <v>87</v>
      </c>
      <c r="AR15" s="3" t="s">
        <v>127</v>
      </c>
      <c r="AT15" s="3" t="s">
        <v>442</v>
      </c>
      <c r="AW15" s="3" t="s">
        <v>129</v>
      </c>
      <c r="AX15" s="3" t="s">
        <v>536</v>
      </c>
    </row>
    <row r="16" spans="1:50">
      <c r="A16" s="3" t="s">
        <v>120</v>
      </c>
      <c r="B16" s="3" t="s">
        <v>121</v>
      </c>
      <c r="C16" s="3" t="s">
        <v>144</v>
      </c>
      <c r="D16" s="3" t="s">
        <v>87</v>
      </c>
      <c r="E16" s="3" t="s">
        <v>123</v>
      </c>
      <c r="F16" s="4">
        <f t="shared" ca="1" si="0"/>
        <v>43887.699955324075</v>
      </c>
      <c r="G16" s="2" t="s">
        <v>424</v>
      </c>
      <c r="H16" s="3" t="s">
        <v>87</v>
      </c>
      <c r="I16" s="3" t="s">
        <v>178</v>
      </c>
      <c r="J16" s="2" t="s">
        <v>424</v>
      </c>
      <c r="K16" s="3" t="s">
        <v>93</v>
      </c>
      <c r="L16" s="69" t="s">
        <v>457</v>
      </c>
      <c r="M16" s="3" t="s">
        <v>93</v>
      </c>
      <c r="O16" s="3" t="s">
        <v>93</v>
      </c>
      <c r="P16" s="3" t="s">
        <v>93</v>
      </c>
      <c r="Q16" s="3" t="s">
        <v>93</v>
      </c>
      <c r="R16" s="3" t="s">
        <v>93</v>
      </c>
      <c r="S16" s="3" t="s">
        <v>93</v>
      </c>
      <c r="T16" s="3" t="s">
        <v>87</v>
      </c>
      <c r="U16" t="s">
        <v>452</v>
      </c>
      <c r="V16" s="3" t="s">
        <v>180</v>
      </c>
      <c r="W16" s="3" t="s">
        <v>449</v>
      </c>
      <c r="X16" s="3" t="s">
        <v>87</v>
      </c>
      <c r="Y16" t="s">
        <v>629</v>
      </c>
      <c r="AA16" s="3" t="s">
        <v>87</v>
      </c>
      <c r="AD16" t="s">
        <v>182</v>
      </c>
      <c r="AE16" s="8" t="s">
        <v>282</v>
      </c>
      <c r="AF16" s="8" t="s">
        <v>282</v>
      </c>
      <c r="AG16" t="s">
        <v>453</v>
      </c>
      <c r="AH16" s="3" t="s">
        <v>460</v>
      </c>
      <c r="AK16" t="s">
        <v>183</v>
      </c>
      <c r="AN16" s="3" t="s">
        <v>87</v>
      </c>
      <c r="AP16" s="3" t="s">
        <v>87</v>
      </c>
      <c r="AR16" s="3" t="s">
        <v>127</v>
      </c>
      <c r="AT16" s="3" t="s">
        <v>442</v>
      </c>
      <c r="AW16" s="3" t="s">
        <v>129</v>
      </c>
      <c r="AX16" s="3" t="s">
        <v>536</v>
      </c>
    </row>
    <row r="17" spans="1:50">
      <c r="A17" s="3" t="s">
        <v>120</v>
      </c>
      <c r="B17" s="3" t="s">
        <v>121</v>
      </c>
      <c r="C17" s="3" t="s">
        <v>144</v>
      </c>
      <c r="D17" s="3" t="s">
        <v>87</v>
      </c>
      <c r="E17" s="3" t="s">
        <v>123</v>
      </c>
      <c r="F17" s="4">
        <f t="shared" ca="1" si="0"/>
        <v>43887.699955324075</v>
      </c>
      <c r="G17" s="2" t="s">
        <v>424</v>
      </c>
      <c r="H17" s="3" t="s">
        <v>87</v>
      </c>
      <c r="I17" s="3" t="s">
        <v>178</v>
      </c>
      <c r="J17" s="2" t="s">
        <v>424</v>
      </c>
      <c r="K17" s="3" t="s">
        <v>93</v>
      </c>
      <c r="L17" s="69" t="s">
        <v>457</v>
      </c>
      <c r="M17" s="3" t="s">
        <v>93</v>
      </c>
      <c r="O17" s="3" t="s">
        <v>93</v>
      </c>
      <c r="P17" s="3" t="s">
        <v>93</v>
      </c>
      <c r="Q17" s="3" t="s">
        <v>93</v>
      </c>
      <c r="R17" s="3" t="s">
        <v>93</v>
      </c>
      <c r="S17" s="3" t="s">
        <v>93</v>
      </c>
      <c r="T17" s="3" t="s">
        <v>87</v>
      </c>
      <c r="U17" s="3" t="s">
        <v>454</v>
      </c>
      <c r="V17" s="3" t="s">
        <v>180</v>
      </c>
      <c r="W17" s="3" t="s">
        <v>449</v>
      </c>
      <c r="X17" s="3" t="s">
        <v>87</v>
      </c>
      <c r="Y17" t="s">
        <v>629</v>
      </c>
      <c r="AA17" s="3" t="s">
        <v>87</v>
      </c>
      <c r="AD17" t="s">
        <v>182</v>
      </c>
      <c r="AE17" s="8" t="s">
        <v>285</v>
      </c>
      <c r="AF17" s="8" t="s">
        <v>285</v>
      </c>
      <c r="AG17" s="3" t="s">
        <v>454</v>
      </c>
      <c r="AH17" s="3" t="s">
        <v>460</v>
      </c>
      <c r="AK17" t="s">
        <v>183</v>
      </c>
      <c r="AN17" s="3" t="s">
        <v>87</v>
      </c>
      <c r="AP17" s="3" t="s">
        <v>87</v>
      </c>
      <c r="AR17" s="3" t="s">
        <v>127</v>
      </c>
      <c r="AT17" s="3" t="s">
        <v>442</v>
      </c>
      <c r="AW17" s="3" t="s">
        <v>129</v>
      </c>
      <c r="AX17" s="3" t="s">
        <v>536</v>
      </c>
    </row>
    <row r="18" spans="1:50" s="18" customFormat="1">
      <c r="A18" s="15" t="s">
        <v>422</v>
      </c>
      <c r="B18" s="15" t="s">
        <v>121</v>
      </c>
      <c r="C18" s="15" t="s">
        <v>144</v>
      </c>
      <c r="D18" s="15" t="s">
        <v>87</v>
      </c>
      <c r="E18" s="15" t="s">
        <v>123</v>
      </c>
      <c r="F18" s="17">
        <f t="shared" ca="1" si="0"/>
        <v>43887.699955324075</v>
      </c>
      <c r="G18" s="16" t="s">
        <v>424</v>
      </c>
      <c r="H18" s="15" t="s">
        <v>87</v>
      </c>
      <c r="I18" s="15" t="s">
        <v>178</v>
      </c>
      <c r="J18" s="16" t="s">
        <v>424</v>
      </c>
      <c r="K18" s="15" t="s">
        <v>93</v>
      </c>
      <c r="L18" s="63" t="s">
        <v>457</v>
      </c>
      <c r="M18" s="15" t="s">
        <v>93</v>
      </c>
      <c r="O18" s="15" t="s">
        <v>93</v>
      </c>
      <c r="P18" s="15" t="s">
        <v>93</v>
      </c>
      <c r="Q18" s="15" t="s">
        <v>93</v>
      </c>
      <c r="R18" s="15" t="s">
        <v>93</v>
      </c>
      <c r="S18" s="15" t="s">
        <v>93</v>
      </c>
      <c r="T18" s="15" t="s">
        <v>87</v>
      </c>
      <c r="U18" s="25" t="s">
        <v>458</v>
      </c>
      <c r="V18" s="15" t="s">
        <v>180</v>
      </c>
      <c r="W18" s="15" t="s">
        <v>449</v>
      </c>
      <c r="X18" s="15" t="s">
        <v>87</v>
      </c>
      <c r="Y18" s="18" t="s">
        <v>629</v>
      </c>
      <c r="AA18" s="15" t="s">
        <v>87</v>
      </c>
      <c r="AD18" s="18" t="s">
        <v>182</v>
      </c>
      <c r="AE18" s="26" t="s">
        <v>285</v>
      </c>
      <c r="AF18" s="26" t="s">
        <v>285</v>
      </c>
      <c r="AG18" s="25" t="s">
        <v>459</v>
      </c>
      <c r="AH18" s="15" t="s">
        <v>93</v>
      </c>
      <c r="AK18" s="18" t="s">
        <v>183</v>
      </c>
      <c r="AN18" s="15" t="s">
        <v>87</v>
      </c>
      <c r="AP18" s="15" t="s">
        <v>87</v>
      </c>
      <c r="AR18" s="15" t="s">
        <v>127</v>
      </c>
      <c r="AT18" s="15" t="s">
        <v>442</v>
      </c>
      <c r="AW18" s="15" t="s">
        <v>129</v>
      </c>
      <c r="AX18" s="3" t="s">
        <v>536</v>
      </c>
    </row>
    <row r="19" spans="1:50">
      <c r="A19" s="3" t="s">
        <v>26</v>
      </c>
      <c r="B19" s="3" t="s">
        <v>121</v>
      </c>
      <c r="C19" s="3" t="s">
        <v>144</v>
      </c>
      <c r="D19" s="3" t="s">
        <v>146</v>
      </c>
      <c r="E19" s="3" t="s">
        <v>123</v>
      </c>
      <c r="F19" s="4">
        <f t="shared" ca="1" si="0"/>
        <v>43887.699955324075</v>
      </c>
      <c r="G19" s="2" t="s">
        <v>424</v>
      </c>
      <c r="H19" s="3" t="s">
        <v>146</v>
      </c>
      <c r="I19" s="3" t="s">
        <v>178</v>
      </c>
      <c r="J19" s="2" t="s">
        <v>424</v>
      </c>
      <c r="K19" s="3" t="s">
        <v>179</v>
      </c>
      <c r="L19" s="3" t="s">
        <v>531</v>
      </c>
      <c r="M19" s="3" t="s">
        <v>179</v>
      </c>
      <c r="O19" s="3" t="s">
        <v>179</v>
      </c>
      <c r="P19" s="3" t="s">
        <v>179</v>
      </c>
      <c r="Q19" s="3" t="s">
        <v>179</v>
      </c>
      <c r="R19" s="3" t="s">
        <v>179</v>
      </c>
      <c r="S19" s="3" t="s">
        <v>179</v>
      </c>
      <c r="T19" s="3" t="s">
        <v>87</v>
      </c>
      <c r="U19" s="72" t="s">
        <v>448</v>
      </c>
      <c r="V19" s="20" t="s">
        <v>180</v>
      </c>
      <c r="W19" s="20" t="s">
        <v>443</v>
      </c>
      <c r="X19" s="20" t="s">
        <v>87</v>
      </c>
      <c r="Y19" s="23" t="s">
        <v>629</v>
      </c>
      <c r="Z19" s="23"/>
      <c r="AA19" s="64" t="s">
        <v>534</v>
      </c>
      <c r="AB19" s="23"/>
      <c r="AC19" s="23"/>
      <c r="AD19" s="23" t="s">
        <v>182</v>
      </c>
      <c r="AE19" s="71" t="s">
        <v>179</v>
      </c>
      <c r="AF19" s="71" t="s">
        <v>179</v>
      </c>
      <c r="AG19" s="23" t="s">
        <v>451</v>
      </c>
      <c r="AH19" s="20" t="s">
        <v>146</v>
      </c>
      <c r="AI19" s="23"/>
      <c r="AK19" t="s">
        <v>183</v>
      </c>
      <c r="AN19" s="3" t="s">
        <v>146</v>
      </c>
      <c r="AP19" s="3" t="s">
        <v>146</v>
      </c>
      <c r="AR19" s="3" t="s">
        <v>127</v>
      </c>
      <c r="AT19" s="60" t="s">
        <v>535</v>
      </c>
      <c r="AW19" s="3" t="s">
        <v>129</v>
      </c>
      <c r="AX19" s="3" t="s">
        <v>536</v>
      </c>
    </row>
    <row r="20" spans="1:50">
      <c r="A20" s="3" t="s">
        <v>26</v>
      </c>
      <c r="B20" s="3" t="s">
        <v>121</v>
      </c>
      <c r="C20" s="3" t="s">
        <v>144</v>
      </c>
      <c r="D20" s="3" t="s">
        <v>146</v>
      </c>
      <c r="E20" s="3" t="s">
        <v>123</v>
      </c>
      <c r="F20" s="4">
        <f t="shared" ca="1" si="0"/>
        <v>43887.699955324075</v>
      </c>
      <c r="G20" s="2" t="s">
        <v>424</v>
      </c>
      <c r="H20" s="3" t="s">
        <v>146</v>
      </c>
      <c r="I20" s="3" t="s">
        <v>178</v>
      </c>
      <c r="J20" s="2" t="s">
        <v>424</v>
      </c>
      <c r="K20" s="3" t="s">
        <v>179</v>
      </c>
      <c r="L20" s="69" t="s">
        <v>532</v>
      </c>
      <c r="M20" s="3" t="s">
        <v>93</v>
      </c>
      <c r="O20" s="3" t="s">
        <v>179</v>
      </c>
      <c r="P20" s="3" t="s">
        <v>179</v>
      </c>
      <c r="Q20" s="3" t="s">
        <v>179</v>
      </c>
      <c r="R20" s="3" t="s">
        <v>179</v>
      </c>
      <c r="S20" s="3" t="s">
        <v>179</v>
      </c>
      <c r="T20" s="3" t="s">
        <v>87</v>
      </c>
      <c r="U20" s="72" t="s">
        <v>448</v>
      </c>
      <c r="V20" s="20" t="s">
        <v>180</v>
      </c>
      <c r="W20" s="20" t="s">
        <v>443</v>
      </c>
      <c r="X20" s="20" t="s">
        <v>87</v>
      </c>
      <c r="Y20" s="23" t="s">
        <v>629</v>
      </c>
      <c r="Z20" s="23"/>
      <c r="AA20" s="64" t="s">
        <v>534</v>
      </c>
      <c r="AB20" s="23"/>
      <c r="AC20" s="23"/>
      <c r="AD20" s="23" t="s">
        <v>182</v>
      </c>
      <c r="AE20" s="71" t="s">
        <v>179</v>
      </c>
      <c r="AF20" s="71" t="s">
        <v>179</v>
      </c>
      <c r="AG20" s="20" t="s">
        <v>451</v>
      </c>
      <c r="AH20" s="20" t="s">
        <v>146</v>
      </c>
      <c r="AI20" s="23"/>
      <c r="AK20" t="s">
        <v>183</v>
      </c>
      <c r="AN20" s="3" t="s">
        <v>146</v>
      </c>
      <c r="AP20" s="3" t="s">
        <v>146</v>
      </c>
      <c r="AR20" s="3" t="s">
        <v>127</v>
      </c>
      <c r="AT20" s="20" t="s">
        <v>535</v>
      </c>
      <c r="AW20" s="3" t="s">
        <v>129</v>
      </c>
      <c r="AX20" s="3" t="s">
        <v>536</v>
      </c>
    </row>
    <row r="21" spans="1:50">
      <c r="A21" s="3" t="s">
        <v>26</v>
      </c>
      <c r="B21" s="3" t="s">
        <v>121</v>
      </c>
      <c r="C21" s="3" t="s">
        <v>144</v>
      </c>
      <c r="D21" s="3" t="s">
        <v>87</v>
      </c>
      <c r="E21" s="3" t="s">
        <v>123</v>
      </c>
      <c r="F21" s="4">
        <f t="shared" ca="1" si="0"/>
        <v>43887.699955324075</v>
      </c>
      <c r="G21" s="2" t="s">
        <v>424</v>
      </c>
      <c r="H21" s="3" t="s">
        <v>87</v>
      </c>
      <c r="I21" s="3" t="s">
        <v>178</v>
      </c>
      <c r="J21" s="2" t="s">
        <v>424</v>
      </c>
      <c r="K21" s="3" t="s">
        <v>93</v>
      </c>
      <c r="L21" s="69" t="s">
        <v>532</v>
      </c>
      <c r="M21" s="3" t="s">
        <v>93</v>
      </c>
      <c r="O21" s="3" t="s">
        <v>93</v>
      </c>
      <c r="P21" s="3" t="s">
        <v>93</v>
      </c>
      <c r="Q21" s="3" t="s">
        <v>93</v>
      </c>
      <c r="R21" s="3" t="s">
        <v>93</v>
      </c>
      <c r="S21" s="3" t="s">
        <v>93</v>
      </c>
      <c r="T21" s="3" t="s">
        <v>87</v>
      </c>
      <c r="U21" s="23" t="s">
        <v>452</v>
      </c>
      <c r="V21" s="20" t="s">
        <v>180</v>
      </c>
      <c r="W21" s="20" t="s">
        <v>443</v>
      </c>
      <c r="X21" s="20" t="s">
        <v>87</v>
      </c>
      <c r="Y21" s="23" t="s">
        <v>629</v>
      </c>
      <c r="Z21" s="23"/>
      <c r="AA21" s="64" t="s">
        <v>534</v>
      </c>
      <c r="AB21" s="23"/>
      <c r="AC21" s="23"/>
      <c r="AD21" s="23" t="s">
        <v>182</v>
      </c>
      <c r="AE21" s="71" t="s">
        <v>282</v>
      </c>
      <c r="AF21" s="71" t="s">
        <v>282</v>
      </c>
      <c r="AG21" s="23" t="s">
        <v>453</v>
      </c>
      <c r="AH21" s="20" t="s">
        <v>146</v>
      </c>
      <c r="AI21" s="23"/>
      <c r="AK21" t="s">
        <v>183</v>
      </c>
      <c r="AN21" s="3" t="s">
        <v>87</v>
      </c>
      <c r="AP21" s="3" t="s">
        <v>87</v>
      </c>
      <c r="AR21" s="3" t="s">
        <v>127</v>
      </c>
      <c r="AT21" s="20" t="s">
        <v>535</v>
      </c>
      <c r="AW21" s="3" t="s">
        <v>129</v>
      </c>
      <c r="AX21" s="3" t="s">
        <v>536</v>
      </c>
    </row>
    <row r="22" spans="1:50">
      <c r="A22" s="3" t="s">
        <v>26</v>
      </c>
      <c r="B22" s="3" t="s">
        <v>121</v>
      </c>
      <c r="C22" s="3" t="s">
        <v>144</v>
      </c>
      <c r="D22" s="3" t="s">
        <v>87</v>
      </c>
      <c r="E22" s="3" t="s">
        <v>123</v>
      </c>
      <c r="F22" s="4">
        <f t="shared" ca="1" si="0"/>
        <v>43887.699955324075</v>
      </c>
      <c r="G22" s="2" t="s">
        <v>424</v>
      </c>
      <c r="H22" s="3" t="s">
        <v>87</v>
      </c>
      <c r="I22" s="3" t="s">
        <v>178</v>
      </c>
      <c r="J22" s="2" t="s">
        <v>424</v>
      </c>
      <c r="K22" s="3" t="s">
        <v>93</v>
      </c>
      <c r="L22" s="69" t="s">
        <v>532</v>
      </c>
      <c r="M22" s="3" t="s">
        <v>93</v>
      </c>
      <c r="O22" s="3" t="s">
        <v>93</v>
      </c>
      <c r="P22" s="3" t="s">
        <v>93</v>
      </c>
      <c r="Q22" s="3" t="s">
        <v>93</v>
      </c>
      <c r="R22" s="3" t="s">
        <v>93</v>
      </c>
      <c r="S22" s="3" t="s">
        <v>93</v>
      </c>
      <c r="T22" s="3" t="s">
        <v>87</v>
      </c>
      <c r="U22" s="20" t="s">
        <v>122</v>
      </c>
      <c r="V22" s="20" t="s">
        <v>180</v>
      </c>
      <c r="W22" s="20" t="s">
        <v>443</v>
      </c>
      <c r="X22" s="20" t="s">
        <v>87</v>
      </c>
      <c r="Y22" s="23" t="s">
        <v>629</v>
      </c>
      <c r="Z22" s="23"/>
      <c r="AA22" s="64" t="s">
        <v>534</v>
      </c>
      <c r="AB22" s="23"/>
      <c r="AC22" s="23"/>
      <c r="AD22" s="23" t="s">
        <v>182</v>
      </c>
      <c r="AE22" s="71" t="s">
        <v>282</v>
      </c>
      <c r="AF22" s="71" t="s">
        <v>282</v>
      </c>
      <c r="AG22" s="20" t="s">
        <v>122</v>
      </c>
      <c r="AH22" s="20" t="s">
        <v>146</v>
      </c>
      <c r="AI22" s="23"/>
      <c r="AK22" t="s">
        <v>183</v>
      </c>
      <c r="AN22" s="3" t="s">
        <v>87</v>
      </c>
      <c r="AP22" s="3" t="s">
        <v>87</v>
      </c>
      <c r="AR22" s="3" t="s">
        <v>127</v>
      </c>
      <c r="AT22" s="20" t="s">
        <v>535</v>
      </c>
      <c r="AW22" s="3" t="s">
        <v>129</v>
      </c>
      <c r="AX22" s="3" t="s">
        <v>536</v>
      </c>
    </row>
    <row r="23" spans="1:50">
      <c r="A23" s="3" t="s">
        <v>26</v>
      </c>
      <c r="B23" s="3" t="s">
        <v>121</v>
      </c>
      <c r="C23" s="3" t="s">
        <v>144</v>
      </c>
      <c r="D23" s="3" t="s">
        <v>87</v>
      </c>
      <c r="E23" s="3" t="s">
        <v>123</v>
      </c>
      <c r="F23" s="4">
        <f t="shared" ca="1" si="0"/>
        <v>43887.699955324075</v>
      </c>
      <c r="G23" s="2" t="s">
        <v>424</v>
      </c>
      <c r="H23" s="3" t="s">
        <v>87</v>
      </c>
      <c r="I23" s="3" t="s">
        <v>178</v>
      </c>
      <c r="J23" s="2" t="s">
        <v>424</v>
      </c>
      <c r="K23" s="3" t="s">
        <v>93</v>
      </c>
      <c r="L23" s="69" t="s">
        <v>532</v>
      </c>
      <c r="M23" s="3" t="s">
        <v>93</v>
      </c>
      <c r="O23" s="3" t="s">
        <v>93</v>
      </c>
      <c r="P23" s="3" t="s">
        <v>93</v>
      </c>
      <c r="Q23" s="3" t="s">
        <v>93</v>
      </c>
      <c r="R23" s="3" t="s">
        <v>93</v>
      </c>
      <c r="S23" s="3" t="s">
        <v>93</v>
      </c>
      <c r="T23" s="3" t="s">
        <v>87</v>
      </c>
      <c r="U23" s="72" t="s">
        <v>543</v>
      </c>
      <c r="V23" s="20" t="s">
        <v>180</v>
      </c>
      <c r="W23" s="20" t="s">
        <v>443</v>
      </c>
      <c r="X23" s="20" t="s">
        <v>87</v>
      </c>
      <c r="Y23" s="23" t="s">
        <v>629</v>
      </c>
      <c r="Z23" s="23"/>
      <c r="AA23" s="64" t="s">
        <v>534</v>
      </c>
      <c r="AB23" s="23"/>
      <c r="AC23" s="23"/>
      <c r="AD23" s="23" t="s">
        <v>182</v>
      </c>
      <c r="AE23" s="71" t="s">
        <v>282</v>
      </c>
      <c r="AF23" s="71" t="s">
        <v>282</v>
      </c>
      <c r="AG23" s="98" t="s">
        <v>144</v>
      </c>
      <c r="AH23" s="64" t="s">
        <v>179</v>
      </c>
      <c r="AI23" s="23"/>
      <c r="AK23" t="s">
        <v>183</v>
      </c>
      <c r="AN23" s="3" t="s">
        <v>87</v>
      </c>
      <c r="AP23" s="3" t="s">
        <v>87</v>
      </c>
      <c r="AR23" s="3" t="s">
        <v>127</v>
      </c>
      <c r="AT23" s="20" t="s">
        <v>535</v>
      </c>
      <c r="AW23" s="3" t="s">
        <v>129</v>
      </c>
      <c r="AX23" s="3" t="s">
        <v>536</v>
      </c>
    </row>
    <row r="24" spans="1:50">
      <c r="A24" s="3" t="s">
        <v>555</v>
      </c>
      <c r="B24" s="3" t="s">
        <v>556</v>
      </c>
      <c r="C24" s="3" t="s">
        <v>543</v>
      </c>
      <c r="D24" s="3" t="s">
        <v>146</v>
      </c>
      <c r="E24" s="3" t="s">
        <v>123</v>
      </c>
      <c r="F24" s="4">
        <f t="shared" ca="1" si="0"/>
        <v>43887.699955324075</v>
      </c>
      <c r="G24" s="3" t="s">
        <v>424</v>
      </c>
      <c r="H24" s="3" t="s">
        <v>557</v>
      </c>
      <c r="I24" s="3" t="s">
        <v>558</v>
      </c>
      <c r="J24" s="3" t="s">
        <v>424</v>
      </c>
      <c r="K24" s="3" t="s">
        <v>559</v>
      </c>
      <c r="L24" s="3" t="s">
        <v>560</v>
      </c>
      <c r="M24" s="3" t="s">
        <v>179</v>
      </c>
      <c r="O24" s="3" t="s">
        <v>179</v>
      </c>
      <c r="P24" s="3" t="s">
        <v>179</v>
      </c>
      <c r="Q24" s="3" t="s">
        <v>559</v>
      </c>
      <c r="R24" s="3" t="s">
        <v>179</v>
      </c>
      <c r="S24" s="3" t="s">
        <v>179</v>
      </c>
      <c r="T24" s="3" t="s">
        <v>561</v>
      </c>
      <c r="U24" s="3" t="s">
        <v>562</v>
      </c>
      <c r="V24" s="3" t="s">
        <v>563</v>
      </c>
      <c r="W24" s="96" t="s">
        <v>564</v>
      </c>
      <c r="X24" t="s">
        <v>563</v>
      </c>
      <c r="Y24" s="3" t="s">
        <v>629</v>
      </c>
      <c r="AA24" t="s">
        <v>179</v>
      </c>
      <c r="AC24" s="8"/>
      <c r="AD24" s="8" t="s">
        <v>565</v>
      </c>
      <c r="AE24" s="3" t="s">
        <v>559</v>
      </c>
      <c r="AF24" s="3" t="s">
        <v>179</v>
      </c>
      <c r="AG24" t="s">
        <v>566</v>
      </c>
      <c r="AH24" t="s">
        <v>557</v>
      </c>
      <c r="AK24" s="3" t="s">
        <v>567</v>
      </c>
      <c r="AL24" s="3"/>
      <c r="AN24" s="3" t="s">
        <v>561</v>
      </c>
      <c r="AP24" s="3" t="s">
        <v>561</v>
      </c>
      <c r="AR24" t="s">
        <v>568</v>
      </c>
      <c r="AT24" s="3"/>
      <c r="AU24" s="3"/>
      <c r="AV24" s="3"/>
      <c r="AW24" t="s">
        <v>129</v>
      </c>
      <c r="AX24" t="s">
        <v>462</v>
      </c>
    </row>
    <row r="25" spans="1:50">
      <c r="A25" t="s">
        <v>569</v>
      </c>
      <c r="B25" t="s">
        <v>121</v>
      </c>
      <c r="C25" t="s">
        <v>570</v>
      </c>
      <c r="D25" t="s">
        <v>561</v>
      </c>
      <c r="E25" t="s">
        <v>571</v>
      </c>
      <c r="F25" s="4">
        <f t="shared" ca="1" si="0"/>
        <v>43887.699955324075</v>
      </c>
      <c r="G25" t="s">
        <v>424</v>
      </c>
      <c r="H25" t="s">
        <v>561</v>
      </c>
      <c r="I25" t="s">
        <v>572</v>
      </c>
      <c r="J25" t="s">
        <v>424</v>
      </c>
      <c r="K25" t="s">
        <v>573</v>
      </c>
      <c r="L25" t="s">
        <v>114</v>
      </c>
      <c r="M25" t="s">
        <v>574</v>
      </c>
      <c r="O25" t="s">
        <v>573</v>
      </c>
      <c r="P25" t="s">
        <v>573</v>
      </c>
      <c r="Q25" t="s">
        <v>573</v>
      </c>
      <c r="R25" t="s">
        <v>575</v>
      </c>
      <c r="S25" t="s">
        <v>573</v>
      </c>
      <c r="T25" t="s">
        <v>561</v>
      </c>
      <c r="U25" t="s">
        <v>179</v>
      </c>
      <c r="V25" t="s">
        <v>576</v>
      </c>
      <c r="W25" s="96" t="s">
        <v>577</v>
      </c>
      <c r="X25" t="s">
        <v>576</v>
      </c>
      <c r="Y25" t="s">
        <v>629</v>
      </c>
      <c r="AA25" t="s">
        <v>573</v>
      </c>
      <c r="AD25" t="s">
        <v>578</v>
      </c>
      <c r="AE25" t="s">
        <v>573</v>
      </c>
      <c r="AF25" t="s">
        <v>573</v>
      </c>
      <c r="AG25" t="s">
        <v>559</v>
      </c>
      <c r="AH25" t="s">
        <v>579</v>
      </c>
      <c r="AK25" t="s">
        <v>567</v>
      </c>
      <c r="AN25" t="s">
        <v>561</v>
      </c>
      <c r="AP25" t="s">
        <v>561</v>
      </c>
      <c r="AR25" t="s">
        <v>568</v>
      </c>
      <c r="AT25" s="3"/>
      <c r="AW25" t="s">
        <v>580</v>
      </c>
      <c r="AX25" t="s">
        <v>581</v>
      </c>
    </row>
    <row r="26" spans="1:50" s="18" customFormat="1">
      <c r="A26" s="15" t="s">
        <v>26</v>
      </c>
      <c r="B26" s="15" t="s">
        <v>121</v>
      </c>
      <c r="C26" s="15" t="s">
        <v>144</v>
      </c>
      <c r="D26" s="15" t="s">
        <v>146</v>
      </c>
      <c r="E26" s="15" t="s">
        <v>123</v>
      </c>
      <c r="F26" s="17">
        <f t="shared" ca="1" si="0"/>
        <v>43887.699955324075</v>
      </c>
      <c r="G26" s="16" t="s">
        <v>424</v>
      </c>
      <c r="H26" s="15" t="s">
        <v>146</v>
      </c>
      <c r="I26" s="15" t="s">
        <v>178</v>
      </c>
      <c r="J26" s="16" t="s">
        <v>424</v>
      </c>
      <c r="K26" s="15" t="s">
        <v>179</v>
      </c>
      <c r="L26" s="15" t="s">
        <v>533</v>
      </c>
      <c r="M26" s="15" t="s">
        <v>179</v>
      </c>
      <c r="O26" s="15" t="s">
        <v>179</v>
      </c>
      <c r="P26" s="15" t="s">
        <v>179</v>
      </c>
      <c r="Q26" s="15" t="s">
        <v>179</v>
      </c>
      <c r="R26" s="15" t="s">
        <v>179</v>
      </c>
      <c r="S26" s="15" t="s">
        <v>179</v>
      </c>
      <c r="T26" s="15" t="s">
        <v>87</v>
      </c>
      <c r="U26" s="25" t="s">
        <v>448</v>
      </c>
      <c r="V26" s="15" t="s">
        <v>180</v>
      </c>
      <c r="W26" s="15" t="s">
        <v>537</v>
      </c>
      <c r="X26" s="63" t="s">
        <v>180</v>
      </c>
      <c r="Y26" s="18" t="s">
        <v>629</v>
      </c>
      <c r="AA26" s="73" t="s">
        <v>542</v>
      </c>
      <c r="AD26" s="18" t="s">
        <v>182</v>
      </c>
      <c r="AE26" s="26" t="s">
        <v>179</v>
      </c>
      <c r="AF26" s="26" t="s">
        <v>179</v>
      </c>
      <c r="AG26" s="18" t="s">
        <v>451</v>
      </c>
      <c r="AH26" s="15" t="s">
        <v>146</v>
      </c>
      <c r="AK26" s="18" t="s">
        <v>183</v>
      </c>
      <c r="AN26" s="15" t="s">
        <v>146</v>
      </c>
      <c r="AP26" s="15" t="s">
        <v>146</v>
      </c>
      <c r="AR26" s="15" t="s">
        <v>127</v>
      </c>
      <c r="AT26" s="61" t="s">
        <v>545</v>
      </c>
      <c r="AW26" s="15" t="s">
        <v>129</v>
      </c>
      <c r="AX26" s="15" t="s">
        <v>536</v>
      </c>
    </row>
    <row r="27" spans="1:50">
      <c r="A27" s="3" t="s">
        <v>26</v>
      </c>
      <c r="B27" s="3" t="s">
        <v>121</v>
      </c>
      <c r="C27" s="3" t="s">
        <v>144</v>
      </c>
      <c r="D27" s="3" t="s">
        <v>146</v>
      </c>
      <c r="E27" s="3" t="s">
        <v>123</v>
      </c>
      <c r="F27" s="4">
        <f t="shared" ca="1" si="0"/>
        <v>43887.699955324075</v>
      </c>
      <c r="G27" s="2" t="s">
        <v>424</v>
      </c>
      <c r="H27" s="3" t="s">
        <v>146</v>
      </c>
      <c r="I27" s="3" t="s">
        <v>178</v>
      </c>
      <c r="J27" s="2" t="s">
        <v>424</v>
      </c>
      <c r="K27" s="3" t="s">
        <v>179</v>
      </c>
      <c r="L27" s="69" t="s">
        <v>165</v>
      </c>
      <c r="M27" s="3" t="s">
        <v>93</v>
      </c>
      <c r="O27" s="3" t="s">
        <v>179</v>
      </c>
      <c r="P27" s="3" t="s">
        <v>179</v>
      </c>
      <c r="Q27" s="3" t="s">
        <v>179</v>
      </c>
      <c r="R27" s="3" t="s">
        <v>179</v>
      </c>
      <c r="S27" s="3" t="s">
        <v>179</v>
      </c>
      <c r="T27" s="3" t="s">
        <v>87</v>
      </c>
      <c r="U27" s="72" t="s">
        <v>448</v>
      </c>
      <c r="V27" s="3" t="s">
        <v>180</v>
      </c>
      <c r="W27" s="20" t="s">
        <v>537</v>
      </c>
      <c r="X27" s="64" t="s">
        <v>180</v>
      </c>
      <c r="Y27" t="s">
        <v>629</v>
      </c>
      <c r="AA27" s="74" t="s">
        <v>542</v>
      </c>
      <c r="AD27" t="s">
        <v>182</v>
      </c>
      <c r="AE27" s="8" t="s">
        <v>179</v>
      </c>
      <c r="AF27" s="8" t="s">
        <v>179</v>
      </c>
      <c r="AG27" s="20" t="s">
        <v>451</v>
      </c>
      <c r="AH27" s="20" t="s">
        <v>146</v>
      </c>
      <c r="AK27" t="s">
        <v>183</v>
      </c>
      <c r="AN27" s="3" t="s">
        <v>146</v>
      </c>
      <c r="AP27" s="3" t="s">
        <v>146</v>
      </c>
      <c r="AR27" s="3" t="s">
        <v>127</v>
      </c>
      <c r="AT27" s="20" t="s">
        <v>545</v>
      </c>
      <c r="AW27" s="3" t="s">
        <v>129</v>
      </c>
      <c r="AX27" s="3" t="s">
        <v>536</v>
      </c>
    </row>
    <row r="28" spans="1:50">
      <c r="A28" s="3" t="s">
        <v>26</v>
      </c>
      <c r="B28" s="3" t="s">
        <v>121</v>
      </c>
      <c r="C28" s="3" t="s">
        <v>144</v>
      </c>
      <c r="D28" s="3" t="s">
        <v>87</v>
      </c>
      <c r="E28" s="3" t="s">
        <v>123</v>
      </c>
      <c r="F28" s="4">
        <f t="shared" ca="1" si="0"/>
        <v>43887.699955324075</v>
      </c>
      <c r="G28" s="2" t="s">
        <v>424</v>
      </c>
      <c r="H28" s="3" t="s">
        <v>87</v>
      </c>
      <c r="I28" s="3" t="s">
        <v>178</v>
      </c>
      <c r="J28" s="2" t="s">
        <v>424</v>
      </c>
      <c r="K28" s="3" t="s">
        <v>93</v>
      </c>
      <c r="L28" s="69" t="s">
        <v>165</v>
      </c>
      <c r="M28" s="3" t="s">
        <v>93</v>
      </c>
      <c r="O28" s="3" t="s">
        <v>93</v>
      </c>
      <c r="P28" s="3" t="s">
        <v>93</v>
      </c>
      <c r="Q28" s="3" t="s">
        <v>93</v>
      </c>
      <c r="R28" s="3" t="s">
        <v>93</v>
      </c>
      <c r="S28" s="3" t="s">
        <v>93</v>
      </c>
      <c r="T28" s="3" t="s">
        <v>87</v>
      </c>
      <c r="U28" s="23" t="s">
        <v>452</v>
      </c>
      <c r="V28" s="3" t="s">
        <v>180</v>
      </c>
      <c r="W28" s="20" t="s">
        <v>537</v>
      </c>
      <c r="X28" s="64" t="s">
        <v>180</v>
      </c>
      <c r="Y28" t="s">
        <v>629</v>
      </c>
      <c r="AA28" s="74" t="s">
        <v>542</v>
      </c>
      <c r="AD28" t="s">
        <v>182</v>
      </c>
      <c r="AE28" s="8" t="s">
        <v>282</v>
      </c>
      <c r="AF28" s="8" t="s">
        <v>282</v>
      </c>
      <c r="AG28" s="23" t="s">
        <v>453</v>
      </c>
      <c r="AH28" s="20" t="s">
        <v>146</v>
      </c>
      <c r="AK28" t="s">
        <v>183</v>
      </c>
      <c r="AN28" s="3" t="s">
        <v>87</v>
      </c>
      <c r="AP28" s="3" t="s">
        <v>87</v>
      </c>
      <c r="AR28" s="3" t="s">
        <v>127</v>
      </c>
      <c r="AT28" s="20" t="s">
        <v>545</v>
      </c>
      <c r="AW28" s="3" t="s">
        <v>129</v>
      </c>
      <c r="AX28" s="3" t="s">
        <v>536</v>
      </c>
    </row>
    <row r="29" spans="1:50">
      <c r="A29" s="3" t="s">
        <v>26</v>
      </c>
      <c r="B29" s="3" t="s">
        <v>121</v>
      </c>
      <c r="C29" s="3" t="s">
        <v>144</v>
      </c>
      <c r="D29" s="3" t="s">
        <v>87</v>
      </c>
      <c r="E29" s="3" t="s">
        <v>123</v>
      </c>
      <c r="F29" s="4">
        <f t="shared" ca="1" si="0"/>
        <v>43887.699955324075</v>
      </c>
      <c r="G29" s="2" t="s">
        <v>424</v>
      </c>
      <c r="H29" s="3" t="s">
        <v>87</v>
      </c>
      <c r="I29" s="3" t="s">
        <v>178</v>
      </c>
      <c r="J29" s="2" t="s">
        <v>424</v>
      </c>
      <c r="K29" s="3" t="s">
        <v>93</v>
      </c>
      <c r="L29" s="69" t="s">
        <v>165</v>
      </c>
      <c r="M29" s="3" t="s">
        <v>93</v>
      </c>
      <c r="O29" s="3" t="s">
        <v>93</v>
      </c>
      <c r="P29" s="3" t="s">
        <v>93</v>
      </c>
      <c r="Q29" s="3" t="s">
        <v>93</v>
      </c>
      <c r="R29" s="3" t="s">
        <v>93</v>
      </c>
      <c r="S29" s="3" t="s">
        <v>93</v>
      </c>
      <c r="T29" s="3" t="s">
        <v>87</v>
      </c>
      <c r="U29" s="20" t="s">
        <v>122</v>
      </c>
      <c r="V29" s="3" t="s">
        <v>180</v>
      </c>
      <c r="W29" s="20" t="s">
        <v>537</v>
      </c>
      <c r="X29" s="64" t="s">
        <v>180</v>
      </c>
      <c r="Y29" t="s">
        <v>629</v>
      </c>
      <c r="AA29" s="74" t="s">
        <v>542</v>
      </c>
      <c r="AD29" t="s">
        <v>182</v>
      </c>
      <c r="AE29" s="8" t="s">
        <v>282</v>
      </c>
      <c r="AF29" s="8" t="s">
        <v>282</v>
      </c>
      <c r="AG29" s="20" t="s">
        <v>122</v>
      </c>
      <c r="AH29" s="20" t="s">
        <v>146</v>
      </c>
      <c r="AK29" t="s">
        <v>183</v>
      </c>
      <c r="AN29" s="3" t="s">
        <v>87</v>
      </c>
      <c r="AP29" s="3" t="s">
        <v>87</v>
      </c>
      <c r="AR29" s="3" t="s">
        <v>127</v>
      </c>
      <c r="AT29" s="20" t="s">
        <v>545</v>
      </c>
      <c r="AW29" s="3" t="s">
        <v>129</v>
      </c>
      <c r="AX29" s="3" t="s">
        <v>536</v>
      </c>
    </row>
    <row r="30" spans="1:50">
      <c r="A30" s="3" t="s">
        <v>26</v>
      </c>
      <c r="B30" s="3" t="s">
        <v>121</v>
      </c>
      <c r="C30" s="3" t="s">
        <v>144</v>
      </c>
      <c r="D30" s="3" t="s">
        <v>87</v>
      </c>
      <c r="E30" s="3" t="s">
        <v>123</v>
      </c>
      <c r="F30" s="4">
        <f t="shared" ca="1" si="0"/>
        <v>43887.699955324075</v>
      </c>
      <c r="G30" s="2" t="s">
        <v>424</v>
      </c>
      <c r="H30" s="3" t="s">
        <v>87</v>
      </c>
      <c r="I30" s="3" t="s">
        <v>178</v>
      </c>
      <c r="J30" s="2" t="s">
        <v>424</v>
      </c>
      <c r="K30" s="3" t="s">
        <v>93</v>
      </c>
      <c r="L30" s="69" t="s">
        <v>165</v>
      </c>
      <c r="M30" s="3" t="s">
        <v>93</v>
      </c>
      <c r="O30" s="3" t="s">
        <v>93</v>
      </c>
      <c r="P30" s="3" t="s">
        <v>93</v>
      </c>
      <c r="Q30" s="3" t="s">
        <v>93</v>
      </c>
      <c r="R30" s="3" t="s">
        <v>93</v>
      </c>
      <c r="S30" s="3" t="s">
        <v>93</v>
      </c>
      <c r="T30" s="3" t="s">
        <v>87</v>
      </c>
      <c r="U30" s="72" t="s">
        <v>184</v>
      </c>
      <c r="V30" s="3" t="s">
        <v>180</v>
      </c>
      <c r="W30" s="20" t="s">
        <v>537</v>
      </c>
      <c r="X30" s="64" t="s">
        <v>180</v>
      </c>
      <c r="Y30" t="s">
        <v>629</v>
      </c>
      <c r="AA30" s="74" t="s">
        <v>542</v>
      </c>
      <c r="AD30" t="s">
        <v>182</v>
      </c>
      <c r="AE30" s="8" t="s">
        <v>282</v>
      </c>
      <c r="AF30" s="8" t="s">
        <v>282</v>
      </c>
      <c r="AG30" s="98" t="s">
        <v>184</v>
      </c>
      <c r="AH30" s="64" t="s">
        <v>179</v>
      </c>
      <c r="AK30" t="s">
        <v>183</v>
      </c>
      <c r="AN30" s="3" t="s">
        <v>87</v>
      </c>
      <c r="AP30" s="3" t="s">
        <v>87</v>
      </c>
      <c r="AR30" s="3" t="s">
        <v>127</v>
      </c>
      <c r="AT30" s="20" t="s">
        <v>545</v>
      </c>
      <c r="AW30" s="3" t="s">
        <v>129</v>
      </c>
      <c r="AX30" s="3" t="s">
        <v>536</v>
      </c>
    </row>
    <row r="31" spans="1:50" s="23" customFormat="1">
      <c r="A31" s="20" t="s">
        <v>26</v>
      </c>
      <c r="B31" s="20" t="s">
        <v>121</v>
      </c>
      <c r="C31" s="20" t="s">
        <v>144</v>
      </c>
      <c r="D31" s="20" t="s">
        <v>146</v>
      </c>
      <c r="E31" s="20" t="s">
        <v>123</v>
      </c>
      <c r="F31" s="22">
        <f t="shared" ca="1" si="0"/>
        <v>43887.699955324075</v>
      </c>
      <c r="G31" s="21" t="s">
        <v>424</v>
      </c>
      <c r="H31" s="20" t="s">
        <v>146</v>
      </c>
      <c r="I31" s="20" t="s">
        <v>178</v>
      </c>
      <c r="J31" s="21" t="s">
        <v>424</v>
      </c>
      <c r="K31" s="20" t="s">
        <v>179</v>
      </c>
      <c r="L31" s="20" t="s">
        <v>121</v>
      </c>
      <c r="M31" s="20" t="s">
        <v>179</v>
      </c>
      <c r="O31" s="20" t="s">
        <v>179</v>
      </c>
      <c r="P31" s="20" t="s">
        <v>179</v>
      </c>
      <c r="Q31" s="20" t="s">
        <v>179</v>
      </c>
      <c r="R31" s="20" t="s">
        <v>179</v>
      </c>
      <c r="S31" s="20" t="s">
        <v>179</v>
      </c>
      <c r="T31" s="20" t="s">
        <v>87</v>
      </c>
      <c r="U31" s="72" t="s">
        <v>448</v>
      </c>
      <c r="V31" s="20" t="s">
        <v>180</v>
      </c>
      <c r="W31" s="20" t="s">
        <v>537</v>
      </c>
      <c r="X31" s="64" t="s">
        <v>180</v>
      </c>
      <c r="Y31" s="23" t="s">
        <v>629</v>
      </c>
      <c r="AA31" s="74" t="s">
        <v>542</v>
      </c>
      <c r="AD31" s="23" t="s">
        <v>182</v>
      </c>
      <c r="AE31" s="71" t="s">
        <v>179</v>
      </c>
      <c r="AF31" s="71" t="s">
        <v>179</v>
      </c>
      <c r="AG31" s="23" t="s">
        <v>451</v>
      </c>
      <c r="AH31" s="20" t="s">
        <v>146</v>
      </c>
      <c r="AK31" s="23" t="s">
        <v>183</v>
      </c>
      <c r="AN31" s="20" t="s">
        <v>146</v>
      </c>
      <c r="AP31" s="20" t="s">
        <v>146</v>
      </c>
      <c r="AR31" s="20" t="s">
        <v>127</v>
      </c>
      <c r="AT31" s="60" t="s">
        <v>546</v>
      </c>
      <c r="AW31" s="20" t="s">
        <v>129</v>
      </c>
      <c r="AX31" s="20" t="s">
        <v>536</v>
      </c>
    </row>
    <row r="32" spans="1:50">
      <c r="A32" s="3" t="s">
        <v>26</v>
      </c>
      <c r="B32" s="3" t="s">
        <v>121</v>
      </c>
      <c r="C32" s="3" t="s">
        <v>144</v>
      </c>
      <c r="D32" s="3" t="s">
        <v>146</v>
      </c>
      <c r="E32" s="3" t="s">
        <v>123</v>
      </c>
      <c r="F32" s="4">
        <f t="shared" ca="1" si="0"/>
        <v>43887.699955324075</v>
      </c>
      <c r="G32" s="2" t="s">
        <v>424</v>
      </c>
      <c r="H32" s="3" t="s">
        <v>146</v>
      </c>
      <c r="I32" s="3" t="s">
        <v>178</v>
      </c>
      <c r="J32" s="2" t="s">
        <v>424</v>
      </c>
      <c r="K32" s="3" t="s">
        <v>179</v>
      </c>
      <c r="L32" s="69" t="s">
        <v>541</v>
      </c>
      <c r="M32" s="3" t="s">
        <v>93</v>
      </c>
      <c r="O32" s="3" t="s">
        <v>179</v>
      </c>
      <c r="P32" s="3" t="s">
        <v>179</v>
      </c>
      <c r="Q32" s="3" t="s">
        <v>179</v>
      </c>
      <c r="R32" s="3" t="s">
        <v>179</v>
      </c>
      <c r="S32" s="3" t="s">
        <v>179</v>
      </c>
      <c r="T32" s="3" t="s">
        <v>87</v>
      </c>
      <c r="U32" s="72" t="s">
        <v>448</v>
      </c>
      <c r="V32" s="3" t="s">
        <v>180</v>
      </c>
      <c r="W32" s="20" t="s">
        <v>537</v>
      </c>
      <c r="X32" s="64" t="s">
        <v>180</v>
      </c>
      <c r="Y32" t="s">
        <v>629</v>
      </c>
      <c r="AA32" s="74" t="s">
        <v>542</v>
      </c>
      <c r="AD32" t="s">
        <v>182</v>
      </c>
      <c r="AE32" s="8" t="s">
        <v>179</v>
      </c>
      <c r="AF32" s="8" t="s">
        <v>179</v>
      </c>
      <c r="AG32" s="20" t="s">
        <v>451</v>
      </c>
      <c r="AH32" s="20" t="s">
        <v>146</v>
      </c>
      <c r="AK32" t="s">
        <v>183</v>
      </c>
      <c r="AN32" s="3" t="s">
        <v>146</v>
      </c>
      <c r="AP32" s="3" t="s">
        <v>146</v>
      </c>
      <c r="AR32" s="3" t="s">
        <v>127</v>
      </c>
      <c r="AT32" s="20" t="s">
        <v>546</v>
      </c>
      <c r="AW32" s="3" t="s">
        <v>129</v>
      </c>
      <c r="AX32" s="3" t="s">
        <v>536</v>
      </c>
    </row>
    <row r="33" spans="1:50">
      <c r="A33" s="3" t="s">
        <v>26</v>
      </c>
      <c r="B33" s="3" t="s">
        <v>121</v>
      </c>
      <c r="C33" s="3" t="s">
        <v>144</v>
      </c>
      <c r="D33" s="3" t="s">
        <v>87</v>
      </c>
      <c r="E33" s="3" t="s">
        <v>123</v>
      </c>
      <c r="F33" s="4">
        <f t="shared" ca="1" si="0"/>
        <v>43887.699955324075</v>
      </c>
      <c r="G33" s="2" t="s">
        <v>424</v>
      </c>
      <c r="H33" s="3" t="s">
        <v>87</v>
      </c>
      <c r="I33" s="3" t="s">
        <v>178</v>
      </c>
      <c r="J33" s="2" t="s">
        <v>424</v>
      </c>
      <c r="K33" s="3" t="s">
        <v>93</v>
      </c>
      <c r="L33" s="69" t="s">
        <v>541</v>
      </c>
      <c r="M33" s="3" t="s">
        <v>93</v>
      </c>
      <c r="O33" s="3" t="s">
        <v>93</v>
      </c>
      <c r="P33" s="3" t="s">
        <v>93</v>
      </c>
      <c r="Q33" s="3" t="s">
        <v>93</v>
      </c>
      <c r="R33" s="3" t="s">
        <v>93</v>
      </c>
      <c r="S33" s="3" t="s">
        <v>93</v>
      </c>
      <c r="T33" s="3" t="s">
        <v>87</v>
      </c>
      <c r="U33" s="23" t="s">
        <v>452</v>
      </c>
      <c r="V33" s="3" t="s">
        <v>180</v>
      </c>
      <c r="W33" s="20" t="s">
        <v>537</v>
      </c>
      <c r="X33" s="64" t="s">
        <v>180</v>
      </c>
      <c r="Y33" t="s">
        <v>629</v>
      </c>
      <c r="AA33" s="74" t="s">
        <v>542</v>
      </c>
      <c r="AD33" t="s">
        <v>182</v>
      </c>
      <c r="AE33" s="8" t="s">
        <v>282</v>
      </c>
      <c r="AF33" s="8" t="s">
        <v>282</v>
      </c>
      <c r="AG33" s="23" t="s">
        <v>453</v>
      </c>
      <c r="AH33" s="20" t="s">
        <v>146</v>
      </c>
      <c r="AK33" t="s">
        <v>183</v>
      </c>
      <c r="AN33" s="3" t="s">
        <v>87</v>
      </c>
      <c r="AP33" s="3" t="s">
        <v>87</v>
      </c>
      <c r="AR33" s="3" t="s">
        <v>127</v>
      </c>
      <c r="AT33" s="20" t="s">
        <v>546</v>
      </c>
      <c r="AW33" s="3" t="s">
        <v>129</v>
      </c>
      <c r="AX33" s="3" t="s">
        <v>536</v>
      </c>
    </row>
    <row r="34" spans="1:50">
      <c r="A34" s="3" t="s">
        <v>26</v>
      </c>
      <c r="B34" s="3" t="s">
        <v>121</v>
      </c>
      <c r="C34" s="3" t="s">
        <v>144</v>
      </c>
      <c r="D34" s="3" t="s">
        <v>87</v>
      </c>
      <c r="E34" s="3" t="s">
        <v>123</v>
      </c>
      <c r="F34" s="4">
        <f t="shared" ca="1" si="0"/>
        <v>43887.699955324075</v>
      </c>
      <c r="G34" s="2" t="s">
        <v>424</v>
      </c>
      <c r="H34" s="3" t="s">
        <v>87</v>
      </c>
      <c r="I34" s="3" t="s">
        <v>178</v>
      </c>
      <c r="J34" s="2" t="s">
        <v>424</v>
      </c>
      <c r="K34" s="3" t="s">
        <v>93</v>
      </c>
      <c r="L34" s="69" t="s">
        <v>541</v>
      </c>
      <c r="M34" s="3" t="s">
        <v>93</v>
      </c>
      <c r="O34" s="3" t="s">
        <v>93</v>
      </c>
      <c r="P34" s="3" t="s">
        <v>93</v>
      </c>
      <c r="Q34" s="3" t="s">
        <v>93</v>
      </c>
      <c r="R34" s="3" t="s">
        <v>93</v>
      </c>
      <c r="S34" s="3" t="s">
        <v>93</v>
      </c>
      <c r="T34" s="3" t="s">
        <v>87</v>
      </c>
      <c r="U34" s="20" t="s">
        <v>122</v>
      </c>
      <c r="V34" s="3" t="s">
        <v>180</v>
      </c>
      <c r="W34" s="20" t="s">
        <v>537</v>
      </c>
      <c r="X34" s="64" t="s">
        <v>180</v>
      </c>
      <c r="Y34" t="s">
        <v>629</v>
      </c>
      <c r="AA34" s="74" t="s">
        <v>542</v>
      </c>
      <c r="AD34" t="s">
        <v>182</v>
      </c>
      <c r="AE34" s="8" t="s">
        <v>282</v>
      </c>
      <c r="AF34" s="8" t="s">
        <v>282</v>
      </c>
      <c r="AG34" s="20" t="s">
        <v>122</v>
      </c>
      <c r="AH34" s="20" t="s">
        <v>146</v>
      </c>
      <c r="AK34" t="s">
        <v>183</v>
      </c>
      <c r="AN34" s="3" t="s">
        <v>87</v>
      </c>
      <c r="AP34" s="3" t="s">
        <v>87</v>
      </c>
      <c r="AR34" s="3" t="s">
        <v>127</v>
      </c>
      <c r="AT34" s="20" t="s">
        <v>546</v>
      </c>
      <c r="AW34" s="3" t="s">
        <v>129</v>
      </c>
      <c r="AX34" s="3" t="s">
        <v>536</v>
      </c>
    </row>
    <row r="35" spans="1:50" s="18" customFormat="1">
      <c r="A35" s="15" t="s">
        <v>26</v>
      </c>
      <c r="B35" s="15" t="s">
        <v>121</v>
      </c>
      <c r="C35" s="15" t="s">
        <v>144</v>
      </c>
      <c r="D35" s="15" t="s">
        <v>87</v>
      </c>
      <c r="E35" s="15" t="s">
        <v>123</v>
      </c>
      <c r="F35" s="17">
        <f t="shared" ca="1" si="0"/>
        <v>43887.699955324075</v>
      </c>
      <c r="G35" s="16" t="s">
        <v>424</v>
      </c>
      <c r="H35" s="15" t="s">
        <v>87</v>
      </c>
      <c r="I35" s="15" t="s">
        <v>178</v>
      </c>
      <c r="J35" s="16" t="s">
        <v>424</v>
      </c>
      <c r="K35" s="15" t="s">
        <v>93</v>
      </c>
      <c r="L35" s="63" t="s">
        <v>541</v>
      </c>
      <c r="M35" s="15" t="s">
        <v>93</v>
      </c>
      <c r="O35" s="15" t="s">
        <v>93</v>
      </c>
      <c r="P35" s="15" t="s">
        <v>93</v>
      </c>
      <c r="Q35" s="15" t="s">
        <v>93</v>
      </c>
      <c r="R35" s="15" t="s">
        <v>93</v>
      </c>
      <c r="S35" s="15" t="s">
        <v>93</v>
      </c>
      <c r="T35" s="15" t="s">
        <v>87</v>
      </c>
      <c r="U35" s="25" t="s">
        <v>544</v>
      </c>
      <c r="V35" s="15" t="s">
        <v>180</v>
      </c>
      <c r="W35" s="15" t="s">
        <v>537</v>
      </c>
      <c r="X35" s="63" t="s">
        <v>180</v>
      </c>
      <c r="Y35" s="18" t="s">
        <v>629</v>
      </c>
      <c r="AA35" s="73" t="s">
        <v>542</v>
      </c>
      <c r="AD35" s="18" t="s">
        <v>182</v>
      </c>
      <c r="AE35" s="26" t="s">
        <v>282</v>
      </c>
      <c r="AF35" s="26" t="s">
        <v>282</v>
      </c>
      <c r="AG35" s="25" t="s">
        <v>547</v>
      </c>
      <c r="AH35" s="15" t="s">
        <v>179</v>
      </c>
      <c r="AK35" s="18" t="s">
        <v>183</v>
      </c>
      <c r="AN35" s="15" t="s">
        <v>87</v>
      </c>
      <c r="AP35" s="15" t="s">
        <v>87</v>
      </c>
      <c r="AR35" s="15" t="s">
        <v>127</v>
      </c>
      <c r="AT35" s="15" t="s">
        <v>546</v>
      </c>
      <c r="AW35" s="15" t="s">
        <v>129</v>
      </c>
      <c r="AX35" s="15" t="s">
        <v>536</v>
      </c>
    </row>
    <row r="36" spans="1:50" s="23" customFormat="1">
      <c r="A36" s="20" t="s">
        <v>26</v>
      </c>
      <c r="B36" s="20" t="s">
        <v>121</v>
      </c>
      <c r="C36" s="20" t="s">
        <v>144</v>
      </c>
      <c r="D36" s="20" t="s">
        <v>146</v>
      </c>
      <c r="E36" s="20" t="s">
        <v>123</v>
      </c>
      <c r="F36" s="22">
        <f t="shared" ca="1" si="0"/>
        <v>43887.699955324075</v>
      </c>
      <c r="G36" s="21" t="s">
        <v>424</v>
      </c>
      <c r="H36" s="20" t="s">
        <v>146</v>
      </c>
      <c r="I36" s="20" t="s">
        <v>178</v>
      </c>
      <c r="J36" s="21" t="s">
        <v>424</v>
      </c>
      <c r="K36" s="20" t="s">
        <v>179</v>
      </c>
      <c r="L36" s="20" t="s">
        <v>548</v>
      </c>
      <c r="M36" s="20" t="s">
        <v>179</v>
      </c>
      <c r="O36" s="20" t="s">
        <v>179</v>
      </c>
      <c r="P36" s="20" t="s">
        <v>179</v>
      </c>
      <c r="Q36" s="20" t="s">
        <v>179</v>
      </c>
      <c r="R36" s="20" t="s">
        <v>179</v>
      </c>
      <c r="S36" s="20" t="s">
        <v>179</v>
      </c>
      <c r="T36" s="20" t="s">
        <v>87</v>
      </c>
      <c r="U36" s="72" t="s">
        <v>448</v>
      </c>
      <c r="V36" s="20" t="s">
        <v>180</v>
      </c>
      <c r="W36" s="20" t="s">
        <v>513</v>
      </c>
      <c r="X36" s="64" t="s">
        <v>180</v>
      </c>
      <c r="Y36" s="23" t="s">
        <v>629</v>
      </c>
      <c r="AA36" s="74" t="s">
        <v>542</v>
      </c>
      <c r="AD36" s="23" t="s">
        <v>182</v>
      </c>
      <c r="AE36" s="71" t="s">
        <v>179</v>
      </c>
      <c r="AF36" s="71" t="s">
        <v>179</v>
      </c>
      <c r="AG36" s="23" t="s">
        <v>451</v>
      </c>
      <c r="AH36" s="20" t="s">
        <v>146</v>
      </c>
      <c r="AK36" s="23" t="s">
        <v>183</v>
      </c>
      <c r="AN36" s="20" t="s">
        <v>146</v>
      </c>
      <c r="AP36" s="20" t="s">
        <v>146</v>
      </c>
      <c r="AR36" s="20" t="s">
        <v>127</v>
      </c>
      <c r="AT36" s="60" t="s">
        <v>551</v>
      </c>
      <c r="AW36" s="20" t="s">
        <v>129</v>
      </c>
      <c r="AX36" s="20" t="s">
        <v>536</v>
      </c>
    </row>
    <row r="37" spans="1:50">
      <c r="A37" s="3" t="s">
        <v>26</v>
      </c>
      <c r="B37" s="3" t="s">
        <v>121</v>
      </c>
      <c r="C37" s="3" t="s">
        <v>144</v>
      </c>
      <c r="D37" s="3" t="s">
        <v>146</v>
      </c>
      <c r="E37" s="3" t="s">
        <v>123</v>
      </c>
      <c r="F37" s="4">
        <f t="shared" ca="1" si="0"/>
        <v>43887.699955324075</v>
      </c>
      <c r="G37" s="2" t="s">
        <v>424</v>
      </c>
      <c r="H37" s="3" t="s">
        <v>146</v>
      </c>
      <c r="I37" s="3" t="s">
        <v>178</v>
      </c>
      <c r="J37" s="2" t="s">
        <v>424</v>
      </c>
      <c r="K37" s="3" t="s">
        <v>179</v>
      </c>
      <c r="L37" s="69" t="s">
        <v>549</v>
      </c>
      <c r="M37" s="3" t="s">
        <v>93</v>
      </c>
      <c r="O37" s="3" t="s">
        <v>179</v>
      </c>
      <c r="P37" s="3" t="s">
        <v>179</v>
      </c>
      <c r="Q37" s="3" t="s">
        <v>179</v>
      </c>
      <c r="R37" s="3" t="s">
        <v>179</v>
      </c>
      <c r="S37" s="3" t="s">
        <v>179</v>
      </c>
      <c r="T37" s="3" t="s">
        <v>87</v>
      </c>
      <c r="U37" s="72" t="s">
        <v>448</v>
      </c>
      <c r="V37" s="3" t="s">
        <v>180</v>
      </c>
      <c r="W37" s="20" t="s">
        <v>537</v>
      </c>
      <c r="X37" s="64" t="s">
        <v>180</v>
      </c>
      <c r="Y37" t="s">
        <v>629</v>
      </c>
      <c r="AA37" s="74" t="s">
        <v>542</v>
      </c>
      <c r="AD37" t="s">
        <v>182</v>
      </c>
      <c r="AE37" s="8" t="s">
        <v>179</v>
      </c>
      <c r="AF37" s="8" t="s">
        <v>179</v>
      </c>
      <c r="AG37" s="20" t="s">
        <v>451</v>
      </c>
      <c r="AH37" s="20" t="s">
        <v>146</v>
      </c>
      <c r="AK37" t="s">
        <v>183</v>
      </c>
      <c r="AN37" s="3" t="s">
        <v>146</v>
      </c>
      <c r="AP37" s="3" t="s">
        <v>146</v>
      </c>
      <c r="AR37" s="3" t="s">
        <v>127</v>
      </c>
      <c r="AT37" s="20" t="s">
        <v>551</v>
      </c>
      <c r="AW37" s="3" t="s">
        <v>129</v>
      </c>
      <c r="AX37" s="3" t="s">
        <v>536</v>
      </c>
    </row>
    <row r="38" spans="1:50">
      <c r="A38" s="3" t="s">
        <v>26</v>
      </c>
      <c r="B38" s="3" t="s">
        <v>121</v>
      </c>
      <c r="C38" s="3" t="s">
        <v>144</v>
      </c>
      <c r="D38" s="3" t="s">
        <v>87</v>
      </c>
      <c r="E38" s="3" t="s">
        <v>123</v>
      </c>
      <c r="F38" s="4">
        <f t="shared" ca="1" si="0"/>
        <v>43887.699955324075</v>
      </c>
      <c r="G38" s="2" t="s">
        <v>424</v>
      </c>
      <c r="H38" s="3" t="s">
        <v>87</v>
      </c>
      <c r="I38" s="3" t="s">
        <v>178</v>
      </c>
      <c r="J38" s="2" t="s">
        <v>424</v>
      </c>
      <c r="K38" s="3" t="s">
        <v>93</v>
      </c>
      <c r="L38" s="69" t="s">
        <v>549</v>
      </c>
      <c r="M38" s="3" t="s">
        <v>93</v>
      </c>
      <c r="O38" s="3" t="s">
        <v>93</v>
      </c>
      <c r="P38" s="3" t="s">
        <v>93</v>
      </c>
      <c r="Q38" s="3" t="s">
        <v>93</v>
      </c>
      <c r="R38" s="3" t="s">
        <v>93</v>
      </c>
      <c r="S38" s="3" t="s">
        <v>93</v>
      </c>
      <c r="T38" s="3" t="s">
        <v>87</v>
      </c>
      <c r="U38" s="23" t="s">
        <v>452</v>
      </c>
      <c r="V38" s="3" t="s">
        <v>180</v>
      </c>
      <c r="W38" s="20" t="s">
        <v>537</v>
      </c>
      <c r="X38" s="64" t="s">
        <v>180</v>
      </c>
      <c r="Y38" t="s">
        <v>629</v>
      </c>
      <c r="AA38" s="74" t="s">
        <v>542</v>
      </c>
      <c r="AD38" t="s">
        <v>182</v>
      </c>
      <c r="AE38" s="8" t="s">
        <v>282</v>
      </c>
      <c r="AF38" s="8" t="s">
        <v>282</v>
      </c>
      <c r="AG38" s="23" t="s">
        <v>453</v>
      </c>
      <c r="AH38" s="20" t="s">
        <v>146</v>
      </c>
      <c r="AK38" t="s">
        <v>183</v>
      </c>
      <c r="AN38" s="3" t="s">
        <v>87</v>
      </c>
      <c r="AP38" s="3" t="s">
        <v>87</v>
      </c>
      <c r="AR38" s="3" t="s">
        <v>127</v>
      </c>
      <c r="AT38" s="20" t="s">
        <v>551</v>
      </c>
      <c r="AW38" s="3" t="s">
        <v>129</v>
      </c>
      <c r="AX38" s="3" t="s">
        <v>536</v>
      </c>
    </row>
    <row r="39" spans="1:50">
      <c r="A39" s="3" t="s">
        <v>26</v>
      </c>
      <c r="B39" s="3" t="s">
        <v>121</v>
      </c>
      <c r="C39" s="3" t="s">
        <v>144</v>
      </c>
      <c r="D39" s="3" t="s">
        <v>87</v>
      </c>
      <c r="E39" s="3" t="s">
        <v>123</v>
      </c>
      <c r="F39" s="4">
        <f t="shared" ca="1" si="0"/>
        <v>43887.699955324075</v>
      </c>
      <c r="G39" s="2" t="s">
        <v>424</v>
      </c>
      <c r="H39" s="3" t="s">
        <v>87</v>
      </c>
      <c r="I39" s="3" t="s">
        <v>178</v>
      </c>
      <c r="J39" s="2" t="s">
        <v>424</v>
      </c>
      <c r="K39" s="3" t="s">
        <v>93</v>
      </c>
      <c r="L39" s="69" t="s">
        <v>549</v>
      </c>
      <c r="M39" s="3" t="s">
        <v>93</v>
      </c>
      <c r="O39" s="3" t="s">
        <v>93</v>
      </c>
      <c r="P39" s="3" t="s">
        <v>93</v>
      </c>
      <c r="Q39" s="3" t="s">
        <v>93</v>
      </c>
      <c r="R39" s="3" t="s">
        <v>93</v>
      </c>
      <c r="S39" s="3" t="s">
        <v>93</v>
      </c>
      <c r="T39" s="3" t="s">
        <v>87</v>
      </c>
      <c r="U39" s="20" t="s">
        <v>122</v>
      </c>
      <c r="V39" s="3" t="s">
        <v>180</v>
      </c>
      <c r="W39" s="20" t="s">
        <v>537</v>
      </c>
      <c r="X39" s="64" t="s">
        <v>180</v>
      </c>
      <c r="Y39" t="s">
        <v>629</v>
      </c>
      <c r="AA39" s="74" t="s">
        <v>542</v>
      </c>
      <c r="AD39" t="s">
        <v>182</v>
      </c>
      <c r="AE39" s="8" t="s">
        <v>282</v>
      </c>
      <c r="AF39" s="8" t="s">
        <v>282</v>
      </c>
      <c r="AG39" s="20" t="s">
        <v>122</v>
      </c>
      <c r="AH39" s="20" t="s">
        <v>146</v>
      </c>
      <c r="AK39" t="s">
        <v>183</v>
      </c>
      <c r="AN39" s="3" t="s">
        <v>87</v>
      </c>
      <c r="AP39" s="3" t="s">
        <v>87</v>
      </c>
      <c r="AR39" s="3" t="s">
        <v>127</v>
      </c>
      <c r="AT39" s="20" t="s">
        <v>551</v>
      </c>
      <c r="AW39" s="3" t="s">
        <v>129</v>
      </c>
      <c r="AX39" s="3" t="s">
        <v>536</v>
      </c>
    </row>
    <row r="40" spans="1:50" s="84" customFormat="1">
      <c r="A40" s="81" t="s">
        <v>26</v>
      </c>
      <c r="B40" s="81" t="s">
        <v>121</v>
      </c>
      <c r="C40" s="81" t="s">
        <v>144</v>
      </c>
      <c r="D40" s="81" t="s">
        <v>87</v>
      </c>
      <c r="E40" s="81" t="s">
        <v>123</v>
      </c>
      <c r="F40" s="82">
        <f t="shared" ca="1" si="0"/>
        <v>43887.699955324075</v>
      </c>
      <c r="G40" s="83" t="s">
        <v>424</v>
      </c>
      <c r="H40" s="81" t="s">
        <v>87</v>
      </c>
      <c r="I40" s="81" t="s">
        <v>178</v>
      </c>
      <c r="J40" s="83" t="s">
        <v>424</v>
      </c>
      <c r="K40" s="81" t="s">
        <v>93</v>
      </c>
      <c r="L40" s="69" t="s">
        <v>549</v>
      </c>
      <c r="M40" s="81" t="s">
        <v>93</v>
      </c>
      <c r="O40" s="81" t="s">
        <v>93</v>
      </c>
      <c r="P40" s="81" t="s">
        <v>93</v>
      </c>
      <c r="Q40" s="81" t="s">
        <v>93</v>
      </c>
      <c r="R40" s="81" t="s">
        <v>93</v>
      </c>
      <c r="S40" s="81" t="s">
        <v>93</v>
      </c>
      <c r="T40" s="81" t="s">
        <v>87</v>
      </c>
      <c r="U40" s="85" t="s">
        <v>544</v>
      </c>
      <c r="V40" s="81" t="s">
        <v>180</v>
      </c>
      <c r="W40" s="81" t="s">
        <v>537</v>
      </c>
      <c r="X40" s="66" t="s">
        <v>180</v>
      </c>
      <c r="Y40" s="84" t="s">
        <v>629</v>
      </c>
      <c r="AA40" s="86" t="s">
        <v>542</v>
      </c>
      <c r="AD40" s="84" t="s">
        <v>182</v>
      </c>
      <c r="AE40" s="87" t="s">
        <v>282</v>
      </c>
      <c r="AF40" s="87" t="s">
        <v>282</v>
      </c>
      <c r="AG40" s="97" t="s">
        <v>547</v>
      </c>
      <c r="AH40" s="66" t="s">
        <v>179</v>
      </c>
      <c r="AK40" s="84" t="s">
        <v>183</v>
      </c>
      <c r="AN40" s="81" t="s">
        <v>87</v>
      </c>
      <c r="AP40" s="81" t="s">
        <v>87</v>
      </c>
      <c r="AR40" s="81" t="s">
        <v>127</v>
      </c>
      <c r="AT40" s="20" t="s">
        <v>551</v>
      </c>
      <c r="AW40" s="81" t="s">
        <v>129</v>
      </c>
      <c r="AX40" s="81" t="s">
        <v>536</v>
      </c>
    </row>
    <row r="41" spans="1:50" s="23" customFormat="1">
      <c r="A41" s="20" t="s">
        <v>26</v>
      </c>
      <c r="B41" s="20" t="s">
        <v>121</v>
      </c>
      <c r="C41" s="20" t="s">
        <v>144</v>
      </c>
      <c r="D41" s="20" t="s">
        <v>146</v>
      </c>
      <c r="E41" s="20" t="s">
        <v>123</v>
      </c>
      <c r="F41" s="22">
        <f t="shared" ca="1" si="0"/>
        <v>43887.699955324075</v>
      </c>
      <c r="G41" s="21" t="s">
        <v>424</v>
      </c>
      <c r="H41" s="20" t="s">
        <v>146</v>
      </c>
      <c r="I41" s="20" t="s">
        <v>178</v>
      </c>
      <c r="J41" s="21" t="s">
        <v>424</v>
      </c>
      <c r="K41" s="20" t="s">
        <v>179</v>
      </c>
      <c r="L41" s="20" t="s">
        <v>550</v>
      </c>
      <c r="M41" s="20" t="s">
        <v>179</v>
      </c>
      <c r="O41" s="20" t="s">
        <v>179</v>
      </c>
      <c r="P41" s="20" t="s">
        <v>179</v>
      </c>
      <c r="Q41" s="20" t="s">
        <v>179</v>
      </c>
      <c r="R41" s="20" t="s">
        <v>179</v>
      </c>
      <c r="S41" s="20" t="s">
        <v>179</v>
      </c>
      <c r="T41" s="20" t="s">
        <v>87</v>
      </c>
      <c r="U41" s="72" t="s">
        <v>448</v>
      </c>
      <c r="V41" s="20" t="s">
        <v>180</v>
      </c>
      <c r="W41" s="20" t="s">
        <v>513</v>
      </c>
      <c r="X41" s="64" t="s">
        <v>180</v>
      </c>
      <c r="Y41" s="23" t="s">
        <v>629</v>
      </c>
      <c r="AA41" s="74" t="s">
        <v>542</v>
      </c>
      <c r="AD41" s="23" t="s">
        <v>182</v>
      </c>
      <c r="AE41" s="71" t="s">
        <v>179</v>
      </c>
      <c r="AF41" s="71" t="s">
        <v>179</v>
      </c>
      <c r="AG41" s="23" t="s">
        <v>451</v>
      </c>
      <c r="AH41" s="20" t="s">
        <v>146</v>
      </c>
      <c r="AK41" s="23" t="s">
        <v>183</v>
      </c>
      <c r="AN41" s="20" t="s">
        <v>146</v>
      </c>
      <c r="AP41" s="20" t="s">
        <v>146</v>
      </c>
      <c r="AR41" s="20" t="s">
        <v>127</v>
      </c>
      <c r="AT41" s="60" t="s">
        <v>552</v>
      </c>
      <c r="AW41" s="20" t="s">
        <v>129</v>
      </c>
      <c r="AX41" s="20" t="s">
        <v>536</v>
      </c>
    </row>
    <row r="42" spans="1:50">
      <c r="A42" s="3" t="s">
        <v>26</v>
      </c>
      <c r="B42" s="3" t="s">
        <v>121</v>
      </c>
      <c r="C42" s="3" t="s">
        <v>144</v>
      </c>
      <c r="D42" s="3" t="s">
        <v>146</v>
      </c>
      <c r="E42" s="3" t="s">
        <v>123</v>
      </c>
      <c r="F42" s="4">
        <f t="shared" ca="1" si="0"/>
        <v>43887.699955324075</v>
      </c>
      <c r="G42" s="2" t="s">
        <v>424</v>
      </c>
      <c r="H42" s="3" t="s">
        <v>146</v>
      </c>
      <c r="I42" s="3" t="s">
        <v>178</v>
      </c>
      <c r="J42" s="2" t="s">
        <v>424</v>
      </c>
      <c r="K42" s="3" t="s">
        <v>179</v>
      </c>
      <c r="L42" s="69" t="s">
        <v>112</v>
      </c>
      <c r="M42" s="3" t="s">
        <v>93</v>
      </c>
      <c r="O42" s="3" t="s">
        <v>179</v>
      </c>
      <c r="P42" s="3" t="s">
        <v>179</v>
      </c>
      <c r="Q42" s="3" t="s">
        <v>179</v>
      </c>
      <c r="R42" s="3" t="s">
        <v>179</v>
      </c>
      <c r="S42" s="3" t="s">
        <v>179</v>
      </c>
      <c r="T42" s="3" t="s">
        <v>87</v>
      </c>
      <c r="U42" s="72" t="s">
        <v>448</v>
      </c>
      <c r="V42" s="3" t="s">
        <v>180</v>
      </c>
      <c r="W42" s="20" t="s">
        <v>537</v>
      </c>
      <c r="X42" s="64" t="s">
        <v>180</v>
      </c>
      <c r="Y42" t="s">
        <v>629</v>
      </c>
      <c r="AA42" s="74" t="s">
        <v>542</v>
      </c>
      <c r="AD42" t="s">
        <v>182</v>
      </c>
      <c r="AE42" s="8" t="s">
        <v>179</v>
      </c>
      <c r="AF42" s="8" t="s">
        <v>179</v>
      </c>
      <c r="AG42" s="20" t="s">
        <v>451</v>
      </c>
      <c r="AH42" s="20" t="s">
        <v>146</v>
      </c>
      <c r="AK42" t="s">
        <v>183</v>
      </c>
      <c r="AN42" s="3" t="s">
        <v>146</v>
      </c>
      <c r="AP42" s="3" t="s">
        <v>146</v>
      </c>
      <c r="AR42" s="3" t="s">
        <v>127</v>
      </c>
      <c r="AT42" s="20" t="s">
        <v>552</v>
      </c>
      <c r="AW42" s="3" t="s">
        <v>129</v>
      </c>
      <c r="AX42" s="3" t="s">
        <v>536</v>
      </c>
    </row>
    <row r="43" spans="1:50">
      <c r="A43" s="3" t="s">
        <v>26</v>
      </c>
      <c r="B43" s="3" t="s">
        <v>121</v>
      </c>
      <c r="C43" s="3" t="s">
        <v>144</v>
      </c>
      <c r="D43" s="3" t="s">
        <v>87</v>
      </c>
      <c r="E43" s="3" t="s">
        <v>123</v>
      </c>
      <c r="F43" s="4">
        <f t="shared" ca="1" si="0"/>
        <v>43887.699955324075</v>
      </c>
      <c r="G43" s="2" t="s">
        <v>424</v>
      </c>
      <c r="H43" s="3" t="s">
        <v>87</v>
      </c>
      <c r="I43" s="3" t="s">
        <v>178</v>
      </c>
      <c r="J43" s="2" t="s">
        <v>424</v>
      </c>
      <c r="K43" s="3" t="s">
        <v>93</v>
      </c>
      <c r="L43" s="69" t="s">
        <v>112</v>
      </c>
      <c r="M43" s="3" t="s">
        <v>93</v>
      </c>
      <c r="O43" s="3" t="s">
        <v>93</v>
      </c>
      <c r="P43" s="3" t="s">
        <v>93</v>
      </c>
      <c r="Q43" s="3" t="s">
        <v>93</v>
      </c>
      <c r="R43" s="3" t="s">
        <v>93</v>
      </c>
      <c r="S43" s="3" t="s">
        <v>93</v>
      </c>
      <c r="T43" s="3" t="s">
        <v>87</v>
      </c>
      <c r="U43" s="23" t="s">
        <v>452</v>
      </c>
      <c r="V43" s="3" t="s">
        <v>180</v>
      </c>
      <c r="W43" s="20" t="s">
        <v>537</v>
      </c>
      <c r="X43" s="64" t="s">
        <v>180</v>
      </c>
      <c r="Y43" t="s">
        <v>629</v>
      </c>
      <c r="AA43" s="74" t="s">
        <v>542</v>
      </c>
      <c r="AD43" t="s">
        <v>182</v>
      </c>
      <c r="AE43" s="8" t="s">
        <v>282</v>
      </c>
      <c r="AF43" s="8" t="s">
        <v>282</v>
      </c>
      <c r="AG43" s="23" t="s">
        <v>453</v>
      </c>
      <c r="AH43" s="20" t="s">
        <v>146</v>
      </c>
      <c r="AK43" t="s">
        <v>183</v>
      </c>
      <c r="AN43" s="3" t="s">
        <v>87</v>
      </c>
      <c r="AP43" s="3" t="s">
        <v>87</v>
      </c>
      <c r="AR43" s="3" t="s">
        <v>127</v>
      </c>
      <c r="AT43" s="20" t="s">
        <v>552</v>
      </c>
      <c r="AW43" s="3" t="s">
        <v>129</v>
      </c>
      <c r="AX43" s="3" t="s">
        <v>536</v>
      </c>
    </row>
    <row r="44" spans="1:50">
      <c r="A44" s="3" t="s">
        <v>26</v>
      </c>
      <c r="B44" s="3" t="s">
        <v>121</v>
      </c>
      <c r="C44" s="3" t="s">
        <v>144</v>
      </c>
      <c r="D44" s="3" t="s">
        <v>87</v>
      </c>
      <c r="E44" s="3" t="s">
        <v>123</v>
      </c>
      <c r="F44" s="4">
        <f t="shared" ca="1" si="0"/>
        <v>43887.699955324075</v>
      </c>
      <c r="G44" s="2" t="s">
        <v>424</v>
      </c>
      <c r="H44" s="3" t="s">
        <v>87</v>
      </c>
      <c r="I44" s="3" t="s">
        <v>178</v>
      </c>
      <c r="J44" s="2" t="s">
        <v>424</v>
      </c>
      <c r="K44" s="3" t="s">
        <v>93</v>
      </c>
      <c r="L44" s="69" t="s">
        <v>112</v>
      </c>
      <c r="M44" s="3" t="s">
        <v>93</v>
      </c>
      <c r="O44" s="3" t="s">
        <v>93</v>
      </c>
      <c r="P44" s="3" t="s">
        <v>93</v>
      </c>
      <c r="Q44" s="3" t="s">
        <v>93</v>
      </c>
      <c r="R44" s="3" t="s">
        <v>93</v>
      </c>
      <c r="S44" s="3" t="s">
        <v>93</v>
      </c>
      <c r="T44" s="3" t="s">
        <v>87</v>
      </c>
      <c r="U44" s="20" t="s">
        <v>122</v>
      </c>
      <c r="V44" s="3" t="s">
        <v>180</v>
      </c>
      <c r="W44" s="20" t="s">
        <v>537</v>
      </c>
      <c r="X44" s="64" t="s">
        <v>180</v>
      </c>
      <c r="Y44" t="s">
        <v>629</v>
      </c>
      <c r="AA44" s="74" t="s">
        <v>542</v>
      </c>
      <c r="AD44" t="s">
        <v>182</v>
      </c>
      <c r="AE44" s="8" t="s">
        <v>282</v>
      </c>
      <c r="AF44" s="8" t="s">
        <v>282</v>
      </c>
      <c r="AG44" s="20" t="s">
        <v>122</v>
      </c>
      <c r="AH44" s="20" t="s">
        <v>146</v>
      </c>
      <c r="AK44" t="s">
        <v>183</v>
      </c>
      <c r="AN44" s="3" t="s">
        <v>87</v>
      </c>
      <c r="AP44" s="3" t="s">
        <v>87</v>
      </c>
      <c r="AR44" s="3" t="s">
        <v>127</v>
      </c>
      <c r="AT44" s="20" t="s">
        <v>552</v>
      </c>
      <c r="AW44" s="3" t="s">
        <v>129</v>
      </c>
      <c r="AX44" s="3" t="s">
        <v>536</v>
      </c>
    </row>
    <row r="45" spans="1:50" s="92" customFormat="1">
      <c r="A45" s="88" t="s">
        <v>26</v>
      </c>
      <c r="B45" s="88" t="s">
        <v>121</v>
      </c>
      <c r="C45" s="88" t="s">
        <v>144</v>
      </c>
      <c r="D45" s="88" t="s">
        <v>87</v>
      </c>
      <c r="E45" s="88" t="s">
        <v>123</v>
      </c>
      <c r="F45" s="89">
        <f t="shared" ca="1" si="0"/>
        <v>43887.699955324075</v>
      </c>
      <c r="G45" s="90" t="s">
        <v>424</v>
      </c>
      <c r="H45" s="88" t="s">
        <v>87</v>
      </c>
      <c r="I45" s="88" t="s">
        <v>178</v>
      </c>
      <c r="J45" s="90" t="s">
        <v>424</v>
      </c>
      <c r="K45" s="88" t="s">
        <v>93</v>
      </c>
      <c r="L45" s="69" t="s">
        <v>112</v>
      </c>
      <c r="M45" s="88" t="s">
        <v>93</v>
      </c>
      <c r="O45" s="88" t="s">
        <v>93</v>
      </c>
      <c r="P45" s="88" t="s">
        <v>93</v>
      </c>
      <c r="Q45" s="88" t="s">
        <v>93</v>
      </c>
      <c r="R45" s="88" t="s">
        <v>93</v>
      </c>
      <c r="S45" s="88" t="s">
        <v>93</v>
      </c>
      <c r="T45" s="88" t="s">
        <v>87</v>
      </c>
      <c r="U45" s="93" t="s">
        <v>544</v>
      </c>
      <c r="V45" s="88" t="s">
        <v>180</v>
      </c>
      <c r="W45" s="88" t="s">
        <v>537</v>
      </c>
      <c r="X45" s="91" t="s">
        <v>180</v>
      </c>
      <c r="Y45" s="92" t="s">
        <v>629</v>
      </c>
      <c r="AA45" s="94" t="s">
        <v>542</v>
      </c>
      <c r="AD45" s="92" t="s">
        <v>182</v>
      </c>
      <c r="AE45" s="95" t="s">
        <v>282</v>
      </c>
      <c r="AF45" s="95" t="s">
        <v>282</v>
      </c>
      <c r="AG45" s="93" t="s">
        <v>547</v>
      </c>
      <c r="AH45" s="88" t="s">
        <v>179</v>
      </c>
      <c r="AK45" s="92" t="s">
        <v>183</v>
      </c>
      <c r="AN45" s="88" t="s">
        <v>87</v>
      </c>
      <c r="AP45" s="88" t="s">
        <v>87</v>
      </c>
      <c r="AR45" s="88" t="s">
        <v>127</v>
      </c>
      <c r="AT45" s="20" t="s">
        <v>552</v>
      </c>
      <c r="AW45" s="88" t="s">
        <v>129</v>
      </c>
      <c r="AX45" s="88" t="s">
        <v>536</v>
      </c>
    </row>
    <row r="46" spans="1:50">
      <c r="A46" s="3" t="s">
        <v>26</v>
      </c>
      <c r="B46" s="3" t="s">
        <v>121</v>
      </c>
      <c r="C46" s="3" t="s">
        <v>144</v>
      </c>
      <c r="D46" s="3" t="s">
        <v>87</v>
      </c>
      <c r="E46" s="3" t="s">
        <v>123</v>
      </c>
      <c r="F46" s="4">
        <f t="shared" ca="1" si="0"/>
        <v>43887.699955324075</v>
      </c>
      <c r="G46" s="3" t="s">
        <v>424</v>
      </c>
      <c r="H46" s="3" t="s">
        <v>87</v>
      </c>
      <c r="I46" s="3" t="s">
        <v>178</v>
      </c>
      <c r="J46" s="3" t="s">
        <v>424</v>
      </c>
      <c r="K46" s="3" t="s">
        <v>93</v>
      </c>
      <c r="L46" s="3" t="s">
        <v>553</v>
      </c>
      <c r="M46" s="3" t="s">
        <v>93</v>
      </c>
      <c r="O46" s="3" t="s">
        <v>93</v>
      </c>
      <c r="P46" s="3" t="s">
        <v>93</v>
      </c>
      <c r="Q46" s="3" t="s">
        <v>93</v>
      </c>
      <c r="R46" s="3" t="s">
        <v>93</v>
      </c>
      <c r="S46" s="3" t="s">
        <v>93</v>
      </c>
      <c r="T46" s="3" t="s">
        <v>87</v>
      </c>
      <c r="U46" s="3" t="s">
        <v>122</v>
      </c>
      <c r="V46" s="3" t="s">
        <v>180</v>
      </c>
      <c r="W46" s="96" t="s">
        <v>519</v>
      </c>
      <c r="X46" t="s">
        <v>554</v>
      </c>
      <c r="Y46" s="3" t="s">
        <v>629</v>
      </c>
      <c r="AA46" s="99" t="s">
        <v>538</v>
      </c>
      <c r="AC46" s="8"/>
      <c r="AD46" s="8" t="s">
        <v>182</v>
      </c>
      <c r="AE46" s="3" t="s">
        <v>179</v>
      </c>
      <c r="AF46" s="3" t="s">
        <v>179</v>
      </c>
      <c r="AG46" t="s">
        <v>122</v>
      </c>
      <c r="AH46" t="s">
        <v>146</v>
      </c>
      <c r="AK46" s="3" t="s">
        <v>183</v>
      </c>
      <c r="AL46" s="3"/>
      <c r="AN46" s="3" t="s">
        <v>87</v>
      </c>
      <c r="AP46" s="3" t="s">
        <v>87</v>
      </c>
      <c r="AR46" t="s">
        <v>127</v>
      </c>
      <c r="AT46" s="3"/>
      <c r="AU46" s="3"/>
      <c r="AV46" s="3"/>
      <c r="AW46" t="s">
        <v>129</v>
      </c>
      <c r="AX46" t="s">
        <v>462</v>
      </c>
    </row>
    <row r="47" spans="1:50">
      <c r="A47" t="s">
        <v>26</v>
      </c>
      <c r="B47" t="s">
        <v>121</v>
      </c>
      <c r="C47" t="s">
        <v>144</v>
      </c>
      <c r="D47" t="s">
        <v>87</v>
      </c>
      <c r="E47" t="s">
        <v>123</v>
      </c>
      <c r="F47" s="4">
        <f t="shared" ca="1" si="0"/>
        <v>43887.699955324075</v>
      </c>
      <c r="G47" t="s">
        <v>424</v>
      </c>
      <c r="H47" t="s">
        <v>87</v>
      </c>
      <c r="I47" t="s">
        <v>178</v>
      </c>
      <c r="J47" t="s">
        <v>424</v>
      </c>
      <c r="K47" t="s">
        <v>93</v>
      </c>
      <c r="L47" t="s">
        <v>213</v>
      </c>
      <c r="M47" t="s">
        <v>93</v>
      </c>
      <c r="O47" t="s">
        <v>93</v>
      </c>
      <c r="P47" t="s">
        <v>93</v>
      </c>
      <c r="Q47" t="s">
        <v>93</v>
      </c>
      <c r="R47" t="s">
        <v>93</v>
      </c>
      <c r="S47" t="s">
        <v>93</v>
      </c>
      <c r="T47" t="s">
        <v>87</v>
      </c>
      <c r="U47" t="s">
        <v>179</v>
      </c>
      <c r="V47" t="s">
        <v>180</v>
      </c>
      <c r="W47" s="96" t="s">
        <v>519</v>
      </c>
      <c r="X47" t="s">
        <v>87</v>
      </c>
      <c r="Y47" t="s">
        <v>629</v>
      </c>
      <c r="AA47" s="99" t="s">
        <v>539</v>
      </c>
      <c r="AD47" t="s">
        <v>182</v>
      </c>
      <c r="AE47" t="s">
        <v>179</v>
      </c>
      <c r="AF47" t="s">
        <v>179</v>
      </c>
      <c r="AG47" t="s">
        <v>179</v>
      </c>
      <c r="AH47" t="s">
        <v>540</v>
      </c>
      <c r="AK47" t="s">
        <v>183</v>
      </c>
      <c r="AN47" t="s">
        <v>87</v>
      </c>
      <c r="AP47" t="s">
        <v>87</v>
      </c>
      <c r="AR47" t="s">
        <v>127</v>
      </c>
      <c r="AT47" s="3"/>
      <c r="AW47" t="s">
        <v>129</v>
      </c>
      <c r="AX47" t="s">
        <v>462</v>
      </c>
    </row>
    <row r="48" spans="1:50" s="23" customFormat="1">
      <c r="A48" s="20" t="s">
        <v>26</v>
      </c>
      <c r="B48" s="20" t="s">
        <v>121</v>
      </c>
      <c r="C48" s="20" t="s">
        <v>144</v>
      </c>
      <c r="D48" s="20" t="s">
        <v>146</v>
      </c>
      <c r="E48" s="20" t="s">
        <v>123</v>
      </c>
      <c r="F48" s="22">
        <f t="shared" ca="1" si="0"/>
        <v>43887.699955324075</v>
      </c>
      <c r="G48" s="21" t="s">
        <v>424</v>
      </c>
      <c r="H48" s="20" t="s">
        <v>146</v>
      </c>
      <c r="I48" s="20" t="s">
        <v>178</v>
      </c>
      <c r="J48" s="21" t="s">
        <v>424</v>
      </c>
      <c r="K48" s="20" t="s">
        <v>179</v>
      </c>
      <c r="L48" s="20" t="s">
        <v>582</v>
      </c>
      <c r="M48" s="20" t="s">
        <v>179</v>
      </c>
      <c r="O48" s="20" t="s">
        <v>179</v>
      </c>
      <c r="P48" s="20" t="s">
        <v>179</v>
      </c>
      <c r="Q48" s="20" t="s">
        <v>179</v>
      </c>
      <c r="R48" s="20" t="s">
        <v>179</v>
      </c>
      <c r="S48" s="20" t="s">
        <v>179</v>
      </c>
      <c r="T48" s="20" t="s">
        <v>87</v>
      </c>
      <c r="U48" s="72" t="s">
        <v>448</v>
      </c>
      <c r="V48" s="20" t="s">
        <v>180</v>
      </c>
      <c r="W48" s="20" t="s">
        <v>519</v>
      </c>
      <c r="X48" t="s">
        <v>87</v>
      </c>
      <c r="Y48" s="23" t="s">
        <v>629</v>
      </c>
      <c r="AA48" s="64" t="s">
        <v>586</v>
      </c>
      <c r="AD48" s="23" t="s">
        <v>182</v>
      </c>
      <c r="AE48" s="71" t="s">
        <v>179</v>
      </c>
      <c r="AF48" s="71" t="s">
        <v>179</v>
      </c>
      <c r="AG48" s="23" t="s">
        <v>451</v>
      </c>
      <c r="AH48" s="20" t="s">
        <v>146</v>
      </c>
      <c r="AK48" s="23" t="s">
        <v>183</v>
      </c>
      <c r="AN48" s="20" t="s">
        <v>146</v>
      </c>
      <c r="AP48" s="20" t="s">
        <v>146</v>
      </c>
      <c r="AR48" s="20" t="s">
        <v>127</v>
      </c>
      <c r="AT48" s="60" t="s">
        <v>521</v>
      </c>
      <c r="AW48" s="20" t="s">
        <v>129</v>
      </c>
      <c r="AX48" s="20" t="s">
        <v>536</v>
      </c>
    </row>
    <row r="49" spans="1:50">
      <c r="A49" s="3" t="s">
        <v>26</v>
      </c>
      <c r="B49" s="3" t="s">
        <v>121</v>
      </c>
      <c r="C49" s="3" t="s">
        <v>144</v>
      </c>
      <c r="D49" s="3" t="s">
        <v>146</v>
      </c>
      <c r="E49" s="3" t="s">
        <v>123</v>
      </c>
      <c r="F49" s="4">
        <f t="shared" ca="1" si="0"/>
        <v>43887.699955324075</v>
      </c>
      <c r="G49" s="2" t="s">
        <v>424</v>
      </c>
      <c r="H49" s="3" t="s">
        <v>146</v>
      </c>
      <c r="I49" s="3" t="s">
        <v>178</v>
      </c>
      <c r="J49" s="2" t="s">
        <v>424</v>
      </c>
      <c r="K49" s="3" t="s">
        <v>179</v>
      </c>
      <c r="L49" s="69" t="s">
        <v>583</v>
      </c>
      <c r="M49" s="3" t="s">
        <v>93</v>
      </c>
      <c r="O49" s="3" t="s">
        <v>179</v>
      </c>
      <c r="P49" s="3" t="s">
        <v>179</v>
      </c>
      <c r="Q49" s="3" t="s">
        <v>179</v>
      </c>
      <c r="R49" s="3" t="s">
        <v>179</v>
      </c>
      <c r="S49" s="3" t="s">
        <v>179</v>
      </c>
      <c r="T49" s="3" t="s">
        <v>87</v>
      </c>
      <c r="U49" s="72" t="s">
        <v>448</v>
      </c>
      <c r="V49" s="3" t="s">
        <v>180</v>
      </c>
      <c r="W49" s="20" t="s">
        <v>519</v>
      </c>
      <c r="X49" t="s">
        <v>87</v>
      </c>
      <c r="Y49" t="s">
        <v>629</v>
      </c>
      <c r="AA49" s="74" t="s">
        <v>586</v>
      </c>
      <c r="AD49" t="s">
        <v>182</v>
      </c>
      <c r="AE49" s="8" t="s">
        <v>179</v>
      </c>
      <c r="AF49" s="8" t="s">
        <v>179</v>
      </c>
      <c r="AG49" s="20" t="s">
        <v>451</v>
      </c>
      <c r="AH49" s="20" t="s">
        <v>146</v>
      </c>
      <c r="AK49" t="s">
        <v>183</v>
      </c>
      <c r="AN49" s="3" t="s">
        <v>146</v>
      </c>
      <c r="AP49" s="3" t="s">
        <v>146</v>
      </c>
      <c r="AR49" s="3" t="s">
        <v>127</v>
      </c>
      <c r="AT49" s="20" t="s">
        <v>521</v>
      </c>
      <c r="AW49" s="3" t="s">
        <v>129</v>
      </c>
      <c r="AX49" s="3" t="s">
        <v>536</v>
      </c>
    </row>
    <row r="50" spans="1:50">
      <c r="A50" s="3" t="s">
        <v>26</v>
      </c>
      <c r="B50" s="3" t="s">
        <v>121</v>
      </c>
      <c r="C50" s="3" t="s">
        <v>144</v>
      </c>
      <c r="D50" s="3" t="s">
        <v>87</v>
      </c>
      <c r="E50" s="3" t="s">
        <v>123</v>
      </c>
      <c r="F50" s="4">
        <f t="shared" ca="1" si="0"/>
        <v>43887.699955324075</v>
      </c>
      <c r="G50" s="2" t="s">
        <v>424</v>
      </c>
      <c r="H50" s="3" t="s">
        <v>87</v>
      </c>
      <c r="I50" s="3" t="s">
        <v>178</v>
      </c>
      <c r="J50" s="2" t="s">
        <v>424</v>
      </c>
      <c r="K50" s="3" t="s">
        <v>93</v>
      </c>
      <c r="L50" s="69" t="s">
        <v>583</v>
      </c>
      <c r="M50" s="3" t="s">
        <v>93</v>
      </c>
      <c r="O50" s="3" t="s">
        <v>93</v>
      </c>
      <c r="P50" s="3" t="s">
        <v>93</v>
      </c>
      <c r="Q50" s="3" t="s">
        <v>93</v>
      </c>
      <c r="R50" s="3" t="s">
        <v>93</v>
      </c>
      <c r="S50" s="3" t="s">
        <v>93</v>
      </c>
      <c r="T50" s="3" t="s">
        <v>87</v>
      </c>
      <c r="U50" s="23" t="s">
        <v>452</v>
      </c>
      <c r="V50" s="3" t="s">
        <v>180</v>
      </c>
      <c r="W50" s="20" t="s">
        <v>519</v>
      </c>
      <c r="X50" t="s">
        <v>87</v>
      </c>
      <c r="Y50" t="s">
        <v>629</v>
      </c>
      <c r="AA50" s="74" t="s">
        <v>586</v>
      </c>
      <c r="AD50" t="s">
        <v>182</v>
      </c>
      <c r="AE50" s="8" t="s">
        <v>282</v>
      </c>
      <c r="AF50" s="8" t="s">
        <v>282</v>
      </c>
      <c r="AG50" s="23" t="s">
        <v>453</v>
      </c>
      <c r="AH50" s="20" t="s">
        <v>146</v>
      </c>
      <c r="AK50" t="s">
        <v>183</v>
      </c>
      <c r="AN50" s="3" t="s">
        <v>87</v>
      </c>
      <c r="AP50" s="3" t="s">
        <v>87</v>
      </c>
      <c r="AR50" s="3" t="s">
        <v>127</v>
      </c>
      <c r="AT50" s="20" t="s">
        <v>521</v>
      </c>
      <c r="AW50" s="3" t="s">
        <v>129</v>
      </c>
      <c r="AX50" s="3" t="s">
        <v>536</v>
      </c>
    </row>
    <row r="51" spans="1:50">
      <c r="A51" s="3" t="s">
        <v>26</v>
      </c>
      <c r="B51" s="3" t="s">
        <v>121</v>
      </c>
      <c r="C51" s="3" t="s">
        <v>144</v>
      </c>
      <c r="D51" s="3" t="s">
        <v>87</v>
      </c>
      <c r="E51" s="3" t="s">
        <v>123</v>
      </c>
      <c r="F51" s="4">
        <f t="shared" ca="1" si="0"/>
        <v>43887.699955324075</v>
      </c>
      <c r="G51" s="2" t="s">
        <v>424</v>
      </c>
      <c r="H51" s="3" t="s">
        <v>87</v>
      </c>
      <c r="I51" s="3" t="s">
        <v>178</v>
      </c>
      <c r="J51" s="2" t="s">
        <v>424</v>
      </c>
      <c r="K51" s="3" t="s">
        <v>93</v>
      </c>
      <c r="L51" s="69" t="s">
        <v>583</v>
      </c>
      <c r="M51" s="3" t="s">
        <v>93</v>
      </c>
      <c r="O51" s="3" t="s">
        <v>93</v>
      </c>
      <c r="P51" s="3" t="s">
        <v>93</v>
      </c>
      <c r="Q51" s="3" t="s">
        <v>93</v>
      </c>
      <c r="R51" s="3" t="s">
        <v>93</v>
      </c>
      <c r="S51" s="3" t="s">
        <v>93</v>
      </c>
      <c r="T51" s="3" t="s">
        <v>87</v>
      </c>
      <c r="U51" s="20" t="s">
        <v>122</v>
      </c>
      <c r="V51" s="3" t="s">
        <v>180</v>
      </c>
      <c r="W51" s="20" t="s">
        <v>519</v>
      </c>
      <c r="X51" t="s">
        <v>87</v>
      </c>
      <c r="Y51" t="s">
        <v>629</v>
      </c>
      <c r="AA51" s="74" t="s">
        <v>586</v>
      </c>
      <c r="AD51" t="s">
        <v>182</v>
      </c>
      <c r="AE51" s="8" t="s">
        <v>282</v>
      </c>
      <c r="AF51" s="8" t="s">
        <v>282</v>
      </c>
      <c r="AG51" s="20" t="s">
        <v>122</v>
      </c>
      <c r="AH51" s="20" t="s">
        <v>146</v>
      </c>
      <c r="AK51" t="s">
        <v>183</v>
      </c>
      <c r="AN51" s="3" t="s">
        <v>87</v>
      </c>
      <c r="AP51" s="3" t="s">
        <v>87</v>
      </c>
      <c r="AR51" s="3" t="s">
        <v>127</v>
      </c>
      <c r="AT51" s="20" t="s">
        <v>521</v>
      </c>
      <c r="AW51" s="3" t="s">
        <v>129</v>
      </c>
      <c r="AX51" s="3" t="s">
        <v>536</v>
      </c>
    </row>
    <row r="52" spans="1:50" s="84" customFormat="1">
      <c r="A52" s="81" t="s">
        <v>26</v>
      </c>
      <c r="B52" s="81" t="s">
        <v>121</v>
      </c>
      <c r="C52" s="81" t="s">
        <v>144</v>
      </c>
      <c r="D52" s="81" t="s">
        <v>87</v>
      </c>
      <c r="E52" s="81" t="s">
        <v>123</v>
      </c>
      <c r="F52" s="82">
        <f t="shared" ca="1" si="0"/>
        <v>43887.699955324075</v>
      </c>
      <c r="G52" s="83" t="s">
        <v>424</v>
      </c>
      <c r="H52" s="81" t="s">
        <v>87</v>
      </c>
      <c r="I52" s="81" t="s">
        <v>178</v>
      </c>
      <c r="J52" s="83" t="s">
        <v>424</v>
      </c>
      <c r="K52" s="81" t="s">
        <v>93</v>
      </c>
      <c r="L52" s="69" t="s">
        <v>583</v>
      </c>
      <c r="M52" s="81" t="s">
        <v>93</v>
      </c>
      <c r="O52" s="81" t="s">
        <v>93</v>
      </c>
      <c r="P52" s="81" t="s">
        <v>93</v>
      </c>
      <c r="Q52" s="81" t="s">
        <v>93</v>
      </c>
      <c r="R52" s="81" t="s">
        <v>93</v>
      </c>
      <c r="S52" s="81" t="s">
        <v>93</v>
      </c>
      <c r="T52" s="81" t="s">
        <v>87</v>
      </c>
      <c r="U52" s="85" t="s">
        <v>544</v>
      </c>
      <c r="V52" s="81" t="s">
        <v>180</v>
      </c>
      <c r="W52" s="20" t="s">
        <v>519</v>
      </c>
      <c r="X52" t="s">
        <v>87</v>
      </c>
      <c r="Y52" s="84" t="s">
        <v>629</v>
      </c>
      <c r="AA52" s="74" t="s">
        <v>586</v>
      </c>
      <c r="AD52" s="84" t="s">
        <v>182</v>
      </c>
      <c r="AE52" s="87" t="s">
        <v>282</v>
      </c>
      <c r="AF52" s="87" t="s">
        <v>282</v>
      </c>
      <c r="AG52" s="97" t="s">
        <v>547</v>
      </c>
      <c r="AH52" s="66" t="s">
        <v>179</v>
      </c>
      <c r="AK52" s="84" t="s">
        <v>183</v>
      </c>
      <c r="AN52" s="81" t="s">
        <v>87</v>
      </c>
      <c r="AP52" s="81" t="s">
        <v>87</v>
      </c>
      <c r="AR52" s="81" t="s">
        <v>127</v>
      </c>
      <c r="AT52" s="20" t="s">
        <v>521</v>
      </c>
      <c r="AW52" s="81" t="s">
        <v>129</v>
      </c>
      <c r="AX52" s="81" t="s">
        <v>536</v>
      </c>
    </row>
    <row r="53" spans="1:50" s="23" customFormat="1">
      <c r="A53" s="20" t="s">
        <v>26</v>
      </c>
      <c r="B53" s="20" t="s">
        <v>121</v>
      </c>
      <c r="C53" s="20" t="s">
        <v>144</v>
      </c>
      <c r="D53" s="20" t="s">
        <v>146</v>
      </c>
      <c r="E53" s="20" t="s">
        <v>123</v>
      </c>
      <c r="F53" s="22">
        <f t="shared" ca="1" si="0"/>
        <v>43887.699955324075</v>
      </c>
      <c r="G53" s="21" t="s">
        <v>424</v>
      </c>
      <c r="H53" s="20" t="s">
        <v>146</v>
      </c>
      <c r="I53" s="20" t="s">
        <v>178</v>
      </c>
      <c r="J53" s="21" t="s">
        <v>424</v>
      </c>
      <c r="K53" s="20" t="s">
        <v>179</v>
      </c>
      <c r="L53" s="20" t="s">
        <v>584</v>
      </c>
      <c r="M53" s="20" t="s">
        <v>179</v>
      </c>
      <c r="O53" s="20" t="s">
        <v>179</v>
      </c>
      <c r="P53" s="20" t="s">
        <v>179</v>
      </c>
      <c r="Q53" s="20" t="s">
        <v>179</v>
      </c>
      <c r="R53" s="20" t="s">
        <v>179</v>
      </c>
      <c r="S53" s="20" t="s">
        <v>179</v>
      </c>
      <c r="T53" s="20" t="s">
        <v>87</v>
      </c>
      <c r="U53" s="72" t="s">
        <v>448</v>
      </c>
      <c r="V53" s="20" t="s">
        <v>180</v>
      </c>
      <c r="W53" s="20" t="s">
        <v>519</v>
      </c>
      <c r="X53" t="s">
        <v>87</v>
      </c>
      <c r="Y53" s="23" t="s">
        <v>629</v>
      </c>
      <c r="AA53" s="74" t="s">
        <v>586</v>
      </c>
      <c r="AD53" s="23" t="s">
        <v>182</v>
      </c>
      <c r="AE53" s="71" t="s">
        <v>179</v>
      </c>
      <c r="AF53" s="71" t="s">
        <v>179</v>
      </c>
      <c r="AG53" s="23" t="s">
        <v>451</v>
      </c>
      <c r="AH53" s="20" t="s">
        <v>146</v>
      </c>
      <c r="AK53" s="23" t="s">
        <v>183</v>
      </c>
      <c r="AN53" s="20" t="s">
        <v>146</v>
      </c>
      <c r="AP53" s="20" t="s">
        <v>146</v>
      </c>
      <c r="AR53" s="20" t="s">
        <v>127</v>
      </c>
      <c r="AT53" s="60" t="s">
        <v>587</v>
      </c>
      <c r="AW53" s="20" t="s">
        <v>129</v>
      </c>
      <c r="AX53" s="20" t="s">
        <v>536</v>
      </c>
    </row>
    <row r="54" spans="1:50">
      <c r="A54" s="3" t="s">
        <v>26</v>
      </c>
      <c r="B54" s="3" t="s">
        <v>121</v>
      </c>
      <c r="C54" s="3" t="s">
        <v>144</v>
      </c>
      <c r="D54" s="3" t="s">
        <v>146</v>
      </c>
      <c r="E54" s="3" t="s">
        <v>123</v>
      </c>
      <c r="F54" s="4">
        <f t="shared" ca="1" si="0"/>
        <v>43887.699955324075</v>
      </c>
      <c r="G54" s="2" t="s">
        <v>424</v>
      </c>
      <c r="H54" s="3" t="s">
        <v>146</v>
      </c>
      <c r="I54" s="3" t="s">
        <v>178</v>
      </c>
      <c r="J54" s="2" t="s">
        <v>424</v>
      </c>
      <c r="K54" s="3" t="s">
        <v>179</v>
      </c>
      <c r="L54" s="69" t="s">
        <v>585</v>
      </c>
      <c r="M54" s="3" t="s">
        <v>93</v>
      </c>
      <c r="O54" s="3" t="s">
        <v>179</v>
      </c>
      <c r="P54" s="3" t="s">
        <v>179</v>
      </c>
      <c r="Q54" s="3" t="s">
        <v>179</v>
      </c>
      <c r="R54" s="3" t="s">
        <v>179</v>
      </c>
      <c r="S54" s="3" t="s">
        <v>179</v>
      </c>
      <c r="T54" s="3" t="s">
        <v>87</v>
      </c>
      <c r="U54" s="72" t="s">
        <v>448</v>
      </c>
      <c r="V54" s="3" t="s">
        <v>180</v>
      </c>
      <c r="W54" s="20" t="s">
        <v>519</v>
      </c>
      <c r="X54" t="s">
        <v>87</v>
      </c>
      <c r="Y54" t="s">
        <v>629</v>
      </c>
      <c r="AA54" s="74" t="s">
        <v>586</v>
      </c>
      <c r="AD54" t="s">
        <v>182</v>
      </c>
      <c r="AE54" s="8" t="s">
        <v>179</v>
      </c>
      <c r="AF54" s="8" t="s">
        <v>179</v>
      </c>
      <c r="AG54" s="20" t="s">
        <v>451</v>
      </c>
      <c r="AH54" s="20" t="s">
        <v>146</v>
      </c>
      <c r="AK54" t="s">
        <v>183</v>
      </c>
      <c r="AN54" s="3" t="s">
        <v>146</v>
      </c>
      <c r="AP54" s="3" t="s">
        <v>146</v>
      </c>
      <c r="AR54" s="3" t="s">
        <v>127</v>
      </c>
      <c r="AT54" s="20" t="s">
        <v>587</v>
      </c>
      <c r="AW54" s="3" t="s">
        <v>129</v>
      </c>
      <c r="AX54" s="3" t="s">
        <v>536</v>
      </c>
    </row>
    <row r="55" spans="1:50">
      <c r="A55" s="3" t="s">
        <v>26</v>
      </c>
      <c r="B55" s="3" t="s">
        <v>121</v>
      </c>
      <c r="C55" s="3" t="s">
        <v>144</v>
      </c>
      <c r="D55" s="3" t="s">
        <v>87</v>
      </c>
      <c r="E55" s="3" t="s">
        <v>123</v>
      </c>
      <c r="F55" s="4">
        <f t="shared" ca="1" si="0"/>
        <v>43887.699955324075</v>
      </c>
      <c r="G55" s="2" t="s">
        <v>424</v>
      </c>
      <c r="H55" s="3" t="s">
        <v>87</v>
      </c>
      <c r="I55" s="3" t="s">
        <v>178</v>
      </c>
      <c r="J55" s="2" t="s">
        <v>424</v>
      </c>
      <c r="K55" s="3" t="s">
        <v>93</v>
      </c>
      <c r="L55" s="69" t="s">
        <v>585</v>
      </c>
      <c r="M55" s="3" t="s">
        <v>93</v>
      </c>
      <c r="O55" s="3" t="s">
        <v>93</v>
      </c>
      <c r="P55" s="3" t="s">
        <v>93</v>
      </c>
      <c r="Q55" s="3" t="s">
        <v>93</v>
      </c>
      <c r="R55" s="3" t="s">
        <v>93</v>
      </c>
      <c r="S55" s="3" t="s">
        <v>93</v>
      </c>
      <c r="T55" s="3" t="s">
        <v>87</v>
      </c>
      <c r="U55" s="23" t="s">
        <v>452</v>
      </c>
      <c r="V55" s="3" t="s">
        <v>180</v>
      </c>
      <c r="W55" s="20" t="s">
        <v>519</v>
      </c>
      <c r="X55" t="s">
        <v>87</v>
      </c>
      <c r="Y55" t="s">
        <v>629</v>
      </c>
      <c r="AA55" s="74" t="s">
        <v>586</v>
      </c>
      <c r="AD55" t="s">
        <v>182</v>
      </c>
      <c r="AE55" s="8" t="s">
        <v>282</v>
      </c>
      <c r="AF55" s="8" t="s">
        <v>282</v>
      </c>
      <c r="AG55" s="23" t="s">
        <v>453</v>
      </c>
      <c r="AH55" s="20" t="s">
        <v>146</v>
      </c>
      <c r="AK55" t="s">
        <v>183</v>
      </c>
      <c r="AN55" s="3" t="s">
        <v>87</v>
      </c>
      <c r="AP55" s="3" t="s">
        <v>87</v>
      </c>
      <c r="AR55" s="3" t="s">
        <v>127</v>
      </c>
      <c r="AT55" s="20" t="s">
        <v>587</v>
      </c>
      <c r="AW55" s="3" t="s">
        <v>129</v>
      </c>
      <c r="AX55" s="3" t="s">
        <v>536</v>
      </c>
    </row>
    <row r="56" spans="1:50">
      <c r="A56" s="3" t="s">
        <v>26</v>
      </c>
      <c r="B56" s="3" t="s">
        <v>121</v>
      </c>
      <c r="C56" s="3" t="s">
        <v>144</v>
      </c>
      <c r="D56" s="3" t="s">
        <v>87</v>
      </c>
      <c r="E56" s="3" t="s">
        <v>123</v>
      </c>
      <c r="F56" s="4">
        <f t="shared" ca="1" si="0"/>
        <v>43887.699955324075</v>
      </c>
      <c r="G56" s="2" t="s">
        <v>424</v>
      </c>
      <c r="H56" s="3" t="s">
        <v>87</v>
      </c>
      <c r="I56" s="3" t="s">
        <v>178</v>
      </c>
      <c r="J56" s="2" t="s">
        <v>424</v>
      </c>
      <c r="K56" s="3" t="s">
        <v>93</v>
      </c>
      <c r="L56" s="69" t="s">
        <v>585</v>
      </c>
      <c r="M56" s="3" t="s">
        <v>93</v>
      </c>
      <c r="O56" s="3" t="s">
        <v>93</v>
      </c>
      <c r="P56" s="3" t="s">
        <v>93</v>
      </c>
      <c r="Q56" s="3" t="s">
        <v>93</v>
      </c>
      <c r="R56" s="3" t="s">
        <v>93</v>
      </c>
      <c r="S56" s="3" t="s">
        <v>93</v>
      </c>
      <c r="T56" s="3" t="s">
        <v>87</v>
      </c>
      <c r="U56" s="20" t="s">
        <v>122</v>
      </c>
      <c r="V56" s="3" t="s">
        <v>180</v>
      </c>
      <c r="W56" s="20" t="s">
        <v>519</v>
      </c>
      <c r="X56" t="s">
        <v>87</v>
      </c>
      <c r="Y56" t="s">
        <v>629</v>
      </c>
      <c r="AA56" s="74" t="s">
        <v>586</v>
      </c>
      <c r="AD56" t="s">
        <v>182</v>
      </c>
      <c r="AE56" s="8" t="s">
        <v>282</v>
      </c>
      <c r="AF56" s="8" t="s">
        <v>282</v>
      </c>
      <c r="AG56" s="20" t="s">
        <v>122</v>
      </c>
      <c r="AH56" s="20" t="s">
        <v>146</v>
      </c>
      <c r="AK56" t="s">
        <v>183</v>
      </c>
      <c r="AN56" s="3" t="s">
        <v>87</v>
      </c>
      <c r="AP56" s="3" t="s">
        <v>87</v>
      </c>
      <c r="AR56" s="3" t="s">
        <v>127</v>
      </c>
      <c r="AT56" s="20" t="s">
        <v>587</v>
      </c>
      <c r="AW56" s="3" t="s">
        <v>129</v>
      </c>
      <c r="AX56" s="3" t="s">
        <v>536</v>
      </c>
    </row>
    <row r="57" spans="1:50" s="78" customFormat="1">
      <c r="A57" s="75" t="s">
        <v>26</v>
      </c>
      <c r="B57" s="75" t="s">
        <v>121</v>
      </c>
      <c r="C57" s="75" t="s">
        <v>144</v>
      </c>
      <c r="D57" s="75" t="s">
        <v>87</v>
      </c>
      <c r="E57" s="75" t="s">
        <v>123</v>
      </c>
      <c r="F57" s="76">
        <f t="shared" ca="1" si="0"/>
        <v>43887.699955324075</v>
      </c>
      <c r="G57" s="77" t="s">
        <v>424</v>
      </c>
      <c r="H57" s="75" t="s">
        <v>87</v>
      </c>
      <c r="I57" s="75" t="s">
        <v>178</v>
      </c>
      <c r="J57" s="77" t="s">
        <v>424</v>
      </c>
      <c r="K57" s="75" t="s">
        <v>93</v>
      </c>
      <c r="L57" s="63" t="s">
        <v>585</v>
      </c>
      <c r="M57" s="75" t="s">
        <v>93</v>
      </c>
      <c r="O57" s="75" t="s">
        <v>93</v>
      </c>
      <c r="P57" s="75" t="s">
        <v>93</v>
      </c>
      <c r="Q57" s="75" t="s">
        <v>93</v>
      </c>
      <c r="R57" s="75" t="s">
        <v>93</v>
      </c>
      <c r="S57" s="75" t="s">
        <v>93</v>
      </c>
      <c r="T57" s="75" t="s">
        <v>87</v>
      </c>
      <c r="U57" s="79" t="s">
        <v>544</v>
      </c>
      <c r="V57" s="75" t="s">
        <v>180</v>
      </c>
      <c r="W57" s="15" t="s">
        <v>519</v>
      </c>
      <c r="X57" s="18" t="s">
        <v>87</v>
      </c>
      <c r="Y57" s="78" t="s">
        <v>629</v>
      </c>
      <c r="AA57" s="73" t="s">
        <v>586</v>
      </c>
      <c r="AD57" s="78" t="s">
        <v>182</v>
      </c>
      <c r="AE57" s="80" t="s">
        <v>282</v>
      </c>
      <c r="AF57" s="80" t="s">
        <v>282</v>
      </c>
      <c r="AG57" s="79" t="s">
        <v>547</v>
      </c>
      <c r="AH57" s="75" t="s">
        <v>179</v>
      </c>
      <c r="AK57" s="78" t="s">
        <v>183</v>
      </c>
      <c r="AN57" s="75" t="s">
        <v>87</v>
      </c>
      <c r="AP57" s="75" t="s">
        <v>87</v>
      </c>
      <c r="AR57" s="75" t="s">
        <v>127</v>
      </c>
      <c r="AT57" s="15" t="s">
        <v>587</v>
      </c>
      <c r="AW57" s="75" t="s">
        <v>129</v>
      </c>
      <c r="AX57" s="75" t="s">
        <v>536</v>
      </c>
    </row>
    <row r="58" spans="1:50" s="23" customFormat="1">
      <c r="A58" s="20" t="s">
        <v>26</v>
      </c>
      <c r="B58" s="20" t="s">
        <v>121</v>
      </c>
      <c r="C58" s="20" t="s">
        <v>144</v>
      </c>
      <c r="D58" s="20" t="s">
        <v>146</v>
      </c>
      <c r="E58" s="20" t="s">
        <v>123</v>
      </c>
      <c r="F58" s="22">
        <f t="shared" ca="1" si="0"/>
        <v>43887.699955324075</v>
      </c>
      <c r="G58" s="21" t="s">
        <v>424</v>
      </c>
      <c r="H58" s="20" t="s">
        <v>146</v>
      </c>
      <c r="I58" s="20" t="s">
        <v>178</v>
      </c>
      <c r="J58" s="21" t="s">
        <v>424</v>
      </c>
      <c r="K58" s="20" t="s">
        <v>179</v>
      </c>
      <c r="L58" s="20" t="s">
        <v>589</v>
      </c>
      <c r="M58" s="20" t="s">
        <v>179</v>
      </c>
      <c r="O58" s="20" t="s">
        <v>179</v>
      </c>
      <c r="P58" s="20" t="s">
        <v>179</v>
      </c>
      <c r="Q58" s="20" t="s">
        <v>179</v>
      </c>
      <c r="R58" s="20" t="s">
        <v>179</v>
      </c>
      <c r="S58" s="20" t="s">
        <v>179</v>
      </c>
      <c r="T58" s="20" t="s">
        <v>87</v>
      </c>
      <c r="U58" s="72" t="s">
        <v>448</v>
      </c>
      <c r="V58" s="20" t="s">
        <v>180</v>
      </c>
      <c r="W58" s="20" t="s">
        <v>519</v>
      </c>
      <c r="X58" t="s">
        <v>87</v>
      </c>
      <c r="Y58" s="23" t="s">
        <v>629</v>
      </c>
      <c r="AA58" s="64" t="s">
        <v>184</v>
      </c>
      <c r="AD58" s="23" t="s">
        <v>182</v>
      </c>
      <c r="AE58" s="71" t="s">
        <v>179</v>
      </c>
      <c r="AF58" s="71" t="s">
        <v>179</v>
      </c>
      <c r="AG58" s="23" t="s">
        <v>451</v>
      </c>
      <c r="AH58" s="20" t="s">
        <v>146</v>
      </c>
      <c r="AK58" s="23" t="s">
        <v>183</v>
      </c>
      <c r="AN58" s="20" t="s">
        <v>146</v>
      </c>
      <c r="AP58" s="20" t="s">
        <v>146</v>
      </c>
      <c r="AR58" s="20" t="s">
        <v>127</v>
      </c>
      <c r="AT58" s="60" t="s">
        <v>588</v>
      </c>
      <c r="AW58" s="20" t="s">
        <v>129</v>
      </c>
      <c r="AX58" s="20" t="s">
        <v>536</v>
      </c>
    </row>
    <row r="59" spans="1:50">
      <c r="A59" s="3" t="s">
        <v>26</v>
      </c>
      <c r="B59" s="3" t="s">
        <v>121</v>
      </c>
      <c r="C59" s="3" t="s">
        <v>144</v>
      </c>
      <c r="D59" s="3" t="s">
        <v>146</v>
      </c>
      <c r="E59" s="3" t="s">
        <v>123</v>
      </c>
      <c r="F59" s="4">
        <f t="shared" ca="1" si="0"/>
        <v>43887.699955324075</v>
      </c>
      <c r="G59" s="2" t="s">
        <v>424</v>
      </c>
      <c r="H59" s="3" t="s">
        <v>146</v>
      </c>
      <c r="I59" s="3" t="s">
        <v>178</v>
      </c>
      <c r="J59" s="2" t="s">
        <v>424</v>
      </c>
      <c r="K59" s="3" t="s">
        <v>179</v>
      </c>
      <c r="L59" s="69" t="s">
        <v>590</v>
      </c>
      <c r="M59" s="3" t="s">
        <v>93</v>
      </c>
      <c r="O59" s="3" t="s">
        <v>179</v>
      </c>
      <c r="P59" s="3" t="s">
        <v>179</v>
      </c>
      <c r="Q59" s="3" t="s">
        <v>179</v>
      </c>
      <c r="R59" s="3" t="s">
        <v>179</v>
      </c>
      <c r="S59" s="3" t="s">
        <v>179</v>
      </c>
      <c r="T59" s="3" t="s">
        <v>87</v>
      </c>
      <c r="U59" s="72" t="s">
        <v>448</v>
      </c>
      <c r="V59" s="3" t="s">
        <v>180</v>
      </c>
      <c r="W59" s="20" t="s">
        <v>519</v>
      </c>
      <c r="X59" t="s">
        <v>87</v>
      </c>
      <c r="Y59" t="s">
        <v>629</v>
      </c>
      <c r="AA59" s="74" t="s">
        <v>586</v>
      </c>
      <c r="AD59" t="s">
        <v>182</v>
      </c>
      <c r="AE59" s="8" t="s">
        <v>179</v>
      </c>
      <c r="AF59" s="8" t="s">
        <v>179</v>
      </c>
      <c r="AG59" s="20" t="s">
        <v>451</v>
      </c>
      <c r="AH59" s="20" t="s">
        <v>146</v>
      </c>
      <c r="AK59" t="s">
        <v>183</v>
      </c>
      <c r="AN59" s="3" t="s">
        <v>146</v>
      </c>
      <c r="AP59" s="3" t="s">
        <v>146</v>
      </c>
      <c r="AR59" s="3" t="s">
        <v>127</v>
      </c>
      <c r="AT59" s="20" t="s">
        <v>588</v>
      </c>
      <c r="AW59" s="3" t="s">
        <v>129</v>
      </c>
      <c r="AX59" s="3" t="s">
        <v>536</v>
      </c>
    </row>
    <row r="60" spans="1:50">
      <c r="A60" s="3" t="s">
        <v>26</v>
      </c>
      <c r="B60" s="3" t="s">
        <v>121</v>
      </c>
      <c r="C60" s="3" t="s">
        <v>144</v>
      </c>
      <c r="D60" s="3" t="s">
        <v>87</v>
      </c>
      <c r="E60" s="3" t="s">
        <v>123</v>
      </c>
      <c r="F60" s="4">
        <f t="shared" ca="1" si="0"/>
        <v>43887.699955324075</v>
      </c>
      <c r="G60" s="2" t="s">
        <v>424</v>
      </c>
      <c r="H60" s="3" t="s">
        <v>87</v>
      </c>
      <c r="I60" s="3" t="s">
        <v>178</v>
      </c>
      <c r="J60" s="2" t="s">
        <v>424</v>
      </c>
      <c r="K60" s="3" t="s">
        <v>93</v>
      </c>
      <c r="L60" s="69" t="s">
        <v>590</v>
      </c>
      <c r="M60" s="3" t="s">
        <v>93</v>
      </c>
      <c r="O60" s="3" t="s">
        <v>93</v>
      </c>
      <c r="P60" s="3" t="s">
        <v>93</v>
      </c>
      <c r="Q60" s="3" t="s">
        <v>93</v>
      </c>
      <c r="R60" s="3" t="s">
        <v>93</v>
      </c>
      <c r="S60" s="3" t="s">
        <v>93</v>
      </c>
      <c r="T60" s="3" t="s">
        <v>87</v>
      </c>
      <c r="U60" s="23" t="s">
        <v>452</v>
      </c>
      <c r="V60" s="3" t="s">
        <v>180</v>
      </c>
      <c r="W60" s="20" t="s">
        <v>519</v>
      </c>
      <c r="X60" t="s">
        <v>87</v>
      </c>
      <c r="Y60" t="s">
        <v>629</v>
      </c>
      <c r="AA60" s="74" t="s">
        <v>586</v>
      </c>
      <c r="AD60" t="s">
        <v>182</v>
      </c>
      <c r="AE60" s="8" t="s">
        <v>282</v>
      </c>
      <c r="AF60" s="8" t="s">
        <v>282</v>
      </c>
      <c r="AG60" s="23" t="s">
        <v>453</v>
      </c>
      <c r="AH60" s="20" t="s">
        <v>146</v>
      </c>
      <c r="AK60" t="s">
        <v>183</v>
      </c>
      <c r="AN60" s="3" t="s">
        <v>87</v>
      </c>
      <c r="AP60" s="3" t="s">
        <v>87</v>
      </c>
      <c r="AR60" s="3" t="s">
        <v>127</v>
      </c>
      <c r="AT60" s="20" t="s">
        <v>588</v>
      </c>
      <c r="AW60" s="3" t="s">
        <v>129</v>
      </c>
      <c r="AX60" s="3" t="s">
        <v>536</v>
      </c>
    </row>
    <row r="61" spans="1:50">
      <c r="A61" s="3" t="s">
        <v>26</v>
      </c>
      <c r="B61" s="3" t="s">
        <v>121</v>
      </c>
      <c r="C61" s="3" t="s">
        <v>144</v>
      </c>
      <c r="D61" s="3" t="s">
        <v>87</v>
      </c>
      <c r="E61" s="3" t="s">
        <v>123</v>
      </c>
      <c r="F61" s="4">
        <f t="shared" ca="1" si="0"/>
        <v>43887.699955324075</v>
      </c>
      <c r="G61" s="2" t="s">
        <v>424</v>
      </c>
      <c r="H61" s="3" t="s">
        <v>87</v>
      </c>
      <c r="I61" s="3" t="s">
        <v>178</v>
      </c>
      <c r="J61" s="2" t="s">
        <v>424</v>
      </c>
      <c r="K61" s="3" t="s">
        <v>93</v>
      </c>
      <c r="L61" s="69" t="s">
        <v>590</v>
      </c>
      <c r="M61" s="3" t="s">
        <v>93</v>
      </c>
      <c r="O61" s="3" t="s">
        <v>93</v>
      </c>
      <c r="P61" s="3" t="s">
        <v>93</v>
      </c>
      <c r="Q61" s="3" t="s">
        <v>93</v>
      </c>
      <c r="R61" s="3" t="s">
        <v>93</v>
      </c>
      <c r="S61" s="3" t="s">
        <v>93</v>
      </c>
      <c r="T61" s="3" t="s">
        <v>87</v>
      </c>
      <c r="U61" s="20" t="s">
        <v>122</v>
      </c>
      <c r="V61" s="3" t="s">
        <v>180</v>
      </c>
      <c r="W61" s="20" t="s">
        <v>519</v>
      </c>
      <c r="X61" t="s">
        <v>87</v>
      </c>
      <c r="Y61" t="s">
        <v>629</v>
      </c>
      <c r="AA61" s="74" t="s">
        <v>586</v>
      </c>
      <c r="AD61" t="s">
        <v>182</v>
      </c>
      <c r="AE61" s="8" t="s">
        <v>282</v>
      </c>
      <c r="AF61" s="8" t="s">
        <v>282</v>
      </c>
      <c r="AG61" s="20" t="s">
        <v>122</v>
      </c>
      <c r="AH61" s="20" t="s">
        <v>146</v>
      </c>
      <c r="AK61" t="s">
        <v>183</v>
      </c>
      <c r="AN61" s="3" t="s">
        <v>87</v>
      </c>
      <c r="AP61" s="3" t="s">
        <v>87</v>
      </c>
      <c r="AR61" s="3" t="s">
        <v>127</v>
      </c>
      <c r="AT61" s="20" t="s">
        <v>588</v>
      </c>
      <c r="AW61" s="3" t="s">
        <v>129</v>
      </c>
      <c r="AX61" s="3" t="s">
        <v>536</v>
      </c>
    </row>
    <row r="62" spans="1:50" s="84" customFormat="1">
      <c r="A62" s="81" t="s">
        <v>26</v>
      </c>
      <c r="B62" s="81" t="s">
        <v>121</v>
      </c>
      <c r="C62" s="81" t="s">
        <v>144</v>
      </c>
      <c r="D62" s="81" t="s">
        <v>87</v>
      </c>
      <c r="E62" s="81" t="s">
        <v>123</v>
      </c>
      <c r="F62" s="82">
        <f t="shared" ca="1" si="0"/>
        <v>43887.699955324075</v>
      </c>
      <c r="G62" s="83" t="s">
        <v>424</v>
      </c>
      <c r="H62" s="81" t="s">
        <v>87</v>
      </c>
      <c r="I62" s="81" t="s">
        <v>178</v>
      </c>
      <c r="J62" s="83" t="s">
        <v>424</v>
      </c>
      <c r="K62" s="81" t="s">
        <v>93</v>
      </c>
      <c r="L62" s="69" t="s">
        <v>590</v>
      </c>
      <c r="M62" s="81" t="s">
        <v>93</v>
      </c>
      <c r="O62" s="81" t="s">
        <v>93</v>
      </c>
      <c r="P62" s="81" t="s">
        <v>93</v>
      </c>
      <c r="Q62" s="81" t="s">
        <v>93</v>
      </c>
      <c r="R62" s="81" t="s">
        <v>93</v>
      </c>
      <c r="S62" s="81" t="s">
        <v>93</v>
      </c>
      <c r="T62" s="81" t="s">
        <v>87</v>
      </c>
      <c r="U62" s="85" t="s">
        <v>544</v>
      </c>
      <c r="V62" s="81" t="s">
        <v>180</v>
      </c>
      <c r="W62" s="20" t="s">
        <v>519</v>
      </c>
      <c r="X62" t="s">
        <v>87</v>
      </c>
      <c r="Y62" s="84" t="s">
        <v>629</v>
      </c>
      <c r="AA62" s="74" t="s">
        <v>586</v>
      </c>
      <c r="AD62" s="84" t="s">
        <v>182</v>
      </c>
      <c r="AE62" s="87" t="s">
        <v>282</v>
      </c>
      <c r="AF62" s="87" t="s">
        <v>282</v>
      </c>
      <c r="AG62" s="97" t="s">
        <v>547</v>
      </c>
      <c r="AH62" s="66" t="s">
        <v>179</v>
      </c>
      <c r="AK62" s="84" t="s">
        <v>183</v>
      </c>
      <c r="AN62" s="81" t="s">
        <v>87</v>
      </c>
      <c r="AP62" s="81" t="s">
        <v>87</v>
      </c>
      <c r="AR62" s="81" t="s">
        <v>127</v>
      </c>
      <c r="AT62" s="20" t="s">
        <v>588</v>
      </c>
      <c r="AW62" s="81" t="s">
        <v>129</v>
      </c>
      <c r="AX62" s="81" t="s">
        <v>536</v>
      </c>
    </row>
    <row r="63" spans="1:50" s="23" customFormat="1">
      <c r="A63" s="20" t="s">
        <v>26</v>
      </c>
      <c r="B63" s="20" t="s">
        <v>121</v>
      </c>
      <c r="C63" s="20" t="s">
        <v>144</v>
      </c>
      <c r="D63" s="20" t="s">
        <v>146</v>
      </c>
      <c r="E63" s="20" t="s">
        <v>123</v>
      </c>
      <c r="F63" s="22">
        <f t="shared" ca="1" si="0"/>
        <v>43887.699955324075</v>
      </c>
      <c r="G63" s="21" t="s">
        <v>424</v>
      </c>
      <c r="H63" s="20" t="s">
        <v>146</v>
      </c>
      <c r="I63" s="20" t="s">
        <v>178</v>
      </c>
      <c r="J63" s="21" t="s">
        <v>424</v>
      </c>
      <c r="K63" s="20" t="s">
        <v>179</v>
      </c>
      <c r="L63" s="20" t="s">
        <v>591</v>
      </c>
      <c r="M63" s="20" t="s">
        <v>179</v>
      </c>
      <c r="O63" s="20" t="s">
        <v>179</v>
      </c>
      <c r="P63" s="20" t="s">
        <v>179</v>
      </c>
      <c r="Q63" s="20" t="s">
        <v>179</v>
      </c>
      <c r="R63" s="20" t="s">
        <v>179</v>
      </c>
      <c r="S63" s="20" t="s">
        <v>179</v>
      </c>
      <c r="T63" s="20" t="s">
        <v>87</v>
      </c>
      <c r="U63" s="72" t="s">
        <v>448</v>
      </c>
      <c r="V63" s="20" t="s">
        <v>180</v>
      </c>
      <c r="W63" s="20" t="s">
        <v>519</v>
      </c>
      <c r="X63" t="s">
        <v>87</v>
      </c>
      <c r="Y63" s="23" t="s">
        <v>629</v>
      </c>
      <c r="AA63" s="74" t="s">
        <v>586</v>
      </c>
      <c r="AD63" s="23" t="s">
        <v>182</v>
      </c>
      <c r="AE63" s="71" t="s">
        <v>179</v>
      </c>
      <c r="AF63" s="71" t="s">
        <v>179</v>
      </c>
      <c r="AG63" s="23" t="s">
        <v>451</v>
      </c>
      <c r="AH63" s="20" t="s">
        <v>146</v>
      </c>
      <c r="AK63" s="23" t="s">
        <v>183</v>
      </c>
      <c r="AN63" s="20" t="s">
        <v>146</v>
      </c>
      <c r="AP63" s="20" t="s">
        <v>146</v>
      </c>
      <c r="AR63" s="20" t="s">
        <v>127</v>
      </c>
      <c r="AT63" s="60" t="s">
        <v>448</v>
      </c>
      <c r="AW63" s="20" t="s">
        <v>129</v>
      </c>
      <c r="AX63" s="20" t="s">
        <v>536</v>
      </c>
    </row>
    <row r="64" spans="1:50">
      <c r="A64" s="3" t="s">
        <v>26</v>
      </c>
      <c r="B64" s="3" t="s">
        <v>121</v>
      </c>
      <c r="C64" s="3" t="s">
        <v>144</v>
      </c>
      <c r="D64" s="3" t="s">
        <v>146</v>
      </c>
      <c r="E64" s="3" t="s">
        <v>123</v>
      </c>
      <c r="F64" s="4">
        <f t="shared" ca="1" si="0"/>
        <v>43887.699955324075</v>
      </c>
      <c r="G64" s="2" t="s">
        <v>424</v>
      </c>
      <c r="H64" s="3" t="s">
        <v>146</v>
      </c>
      <c r="I64" s="3" t="s">
        <v>178</v>
      </c>
      <c r="J64" s="2" t="s">
        <v>424</v>
      </c>
      <c r="K64" s="3" t="s">
        <v>179</v>
      </c>
      <c r="L64" s="69" t="s">
        <v>592</v>
      </c>
      <c r="M64" s="3" t="s">
        <v>93</v>
      </c>
      <c r="O64" s="3" t="s">
        <v>179</v>
      </c>
      <c r="P64" s="3" t="s">
        <v>179</v>
      </c>
      <c r="Q64" s="3" t="s">
        <v>179</v>
      </c>
      <c r="R64" s="3" t="s">
        <v>179</v>
      </c>
      <c r="S64" s="3" t="s">
        <v>179</v>
      </c>
      <c r="T64" s="3" t="s">
        <v>87</v>
      </c>
      <c r="U64" s="72" t="s">
        <v>448</v>
      </c>
      <c r="V64" s="3" t="s">
        <v>180</v>
      </c>
      <c r="W64" s="20" t="s">
        <v>519</v>
      </c>
      <c r="X64" t="s">
        <v>87</v>
      </c>
      <c r="Y64" t="s">
        <v>629</v>
      </c>
      <c r="AA64" s="74" t="s">
        <v>586</v>
      </c>
      <c r="AD64" t="s">
        <v>182</v>
      </c>
      <c r="AE64" s="8" t="s">
        <v>179</v>
      </c>
      <c r="AF64" s="8" t="s">
        <v>179</v>
      </c>
      <c r="AG64" s="20" t="s">
        <v>451</v>
      </c>
      <c r="AH64" s="20" t="s">
        <v>146</v>
      </c>
      <c r="AK64" t="s">
        <v>183</v>
      </c>
      <c r="AN64" s="3" t="s">
        <v>146</v>
      </c>
      <c r="AP64" s="3" t="s">
        <v>146</v>
      </c>
      <c r="AR64" s="3" t="s">
        <v>127</v>
      </c>
      <c r="AT64" s="20" t="s">
        <v>448</v>
      </c>
      <c r="AW64" s="3" t="s">
        <v>129</v>
      </c>
      <c r="AX64" s="3" t="s">
        <v>536</v>
      </c>
    </row>
    <row r="65" spans="1:50">
      <c r="A65" s="3" t="s">
        <v>26</v>
      </c>
      <c r="B65" s="3" t="s">
        <v>121</v>
      </c>
      <c r="C65" s="3" t="s">
        <v>144</v>
      </c>
      <c r="D65" s="3" t="s">
        <v>87</v>
      </c>
      <c r="E65" s="3" t="s">
        <v>123</v>
      </c>
      <c r="F65" s="4">
        <f t="shared" ca="1" si="0"/>
        <v>43887.699955324075</v>
      </c>
      <c r="G65" s="2" t="s">
        <v>424</v>
      </c>
      <c r="H65" s="3" t="s">
        <v>87</v>
      </c>
      <c r="I65" s="3" t="s">
        <v>178</v>
      </c>
      <c r="J65" s="2" t="s">
        <v>424</v>
      </c>
      <c r="K65" s="3" t="s">
        <v>93</v>
      </c>
      <c r="L65" s="69" t="s">
        <v>592</v>
      </c>
      <c r="M65" s="3" t="s">
        <v>93</v>
      </c>
      <c r="O65" s="3" t="s">
        <v>93</v>
      </c>
      <c r="P65" s="3" t="s">
        <v>93</v>
      </c>
      <c r="Q65" s="3" t="s">
        <v>93</v>
      </c>
      <c r="R65" s="3" t="s">
        <v>93</v>
      </c>
      <c r="S65" s="3" t="s">
        <v>93</v>
      </c>
      <c r="T65" s="3" t="s">
        <v>87</v>
      </c>
      <c r="U65" s="23" t="s">
        <v>452</v>
      </c>
      <c r="V65" s="3" t="s">
        <v>180</v>
      </c>
      <c r="W65" s="20" t="s">
        <v>519</v>
      </c>
      <c r="X65" t="s">
        <v>87</v>
      </c>
      <c r="Y65" t="s">
        <v>629</v>
      </c>
      <c r="AA65" s="74" t="s">
        <v>586</v>
      </c>
      <c r="AD65" t="s">
        <v>182</v>
      </c>
      <c r="AE65" s="8" t="s">
        <v>282</v>
      </c>
      <c r="AF65" s="8" t="s">
        <v>282</v>
      </c>
      <c r="AG65" s="23" t="s">
        <v>453</v>
      </c>
      <c r="AH65" s="20" t="s">
        <v>146</v>
      </c>
      <c r="AK65" t="s">
        <v>183</v>
      </c>
      <c r="AN65" s="3" t="s">
        <v>87</v>
      </c>
      <c r="AP65" s="3" t="s">
        <v>87</v>
      </c>
      <c r="AR65" s="3" t="s">
        <v>127</v>
      </c>
      <c r="AT65" s="20" t="s">
        <v>448</v>
      </c>
      <c r="AW65" s="3" t="s">
        <v>129</v>
      </c>
      <c r="AX65" s="3" t="s">
        <v>536</v>
      </c>
    </row>
    <row r="66" spans="1:50">
      <c r="A66" s="3" t="s">
        <v>26</v>
      </c>
      <c r="B66" s="3" t="s">
        <v>121</v>
      </c>
      <c r="C66" s="3" t="s">
        <v>144</v>
      </c>
      <c r="D66" s="3" t="s">
        <v>87</v>
      </c>
      <c r="E66" s="3" t="s">
        <v>123</v>
      </c>
      <c r="F66" s="4">
        <f t="shared" ca="1" si="0"/>
        <v>43887.699955324075</v>
      </c>
      <c r="G66" s="2" t="s">
        <v>424</v>
      </c>
      <c r="H66" s="3" t="s">
        <v>87</v>
      </c>
      <c r="I66" s="3" t="s">
        <v>178</v>
      </c>
      <c r="J66" s="2" t="s">
        <v>424</v>
      </c>
      <c r="K66" s="3" t="s">
        <v>93</v>
      </c>
      <c r="L66" s="69" t="s">
        <v>592</v>
      </c>
      <c r="M66" s="3" t="s">
        <v>93</v>
      </c>
      <c r="O66" s="3" t="s">
        <v>93</v>
      </c>
      <c r="P66" s="3" t="s">
        <v>93</v>
      </c>
      <c r="Q66" s="3" t="s">
        <v>93</v>
      </c>
      <c r="R66" s="3" t="s">
        <v>93</v>
      </c>
      <c r="S66" s="3" t="s">
        <v>93</v>
      </c>
      <c r="T66" s="3" t="s">
        <v>87</v>
      </c>
      <c r="U66" s="20" t="s">
        <v>122</v>
      </c>
      <c r="V66" s="3" t="s">
        <v>180</v>
      </c>
      <c r="W66" s="20" t="s">
        <v>519</v>
      </c>
      <c r="X66" t="s">
        <v>87</v>
      </c>
      <c r="Y66" t="s">
        <v>629</v>
      </c>
      <c r="AA66" s="74" t="s">
        <v>586</v>
      </c>
      <c r="AD66" t="s">
        <v>182</v>
      </c>
      <c r="AE66" s="8" t="s">
        <v>282</v>
      </c>
      <c r="AF66" s="8" t="s">
        <v>282</v>
      </c>
      <c r="AG66" s="20" t="s">
        <v>122</v>
      </c>
      <c r="AH66" s="20" t="s">
        <v>146</v>
      </c>
      <c r="AK66" t="s">
        <v>183</v>
      </c>
      <c r="AN66" s="3" t="s">
        <v>87</v>
      </c>
      <c r="AP66" s="3" t="s">
        <v>87</v>
      </c>
      <c r="AR66" s="3" t="s">
        <v>127</v>
      </c>
      <c r="AT66" s="20" t="s">
        <v>448</v>
      </c>
      <c r="AW66" s="3" t="s">
        <v>129</v>
      </c>
      <c r="AX66" s="3" t="s">
        <v>536</v>
      </c>
    </row>
    <row r="67" spans="1:50" s="78" customFormat="1">
      <c r="A67" s="75" t="s">
        <v>26</v>
      </c>
      <c r="B67" s="75" t="s">
        <v>121</v>
      </c>
      <c r="C67" s="75" t="s">
        <v>144</v>
      </c>
      <c r="D67" s="75" t="s">
        <v>87</v>
      </c>
      <c r="E67" s="75" t="s">
        <v>123</v>
      </c>
      <c r="F67" s="76">
        <f t="shared" ca="1" si="0"/>
        <v>43887.699955324075</v>
      </c>
      <c r="G67" s="77" t="s">
        <v>424</v>
      </c>
      <c r="H67" s="75" t="s">
        <v>87</v>
      </c>
      <c r="I67" s="75" t="s">
        <v>178</v>
      </c>
      <c r="J67" s="77" t="s">
        <v>424</v>
      </c>
      <c r="K67" s="75" t="s">
        <v>93</v>
      </c>
      <c r="L67" s="63" t="s">
        <v>592</v>
      </c>
      <c r="M67" s="75" t="s">
        <v>93</v>
      </c>
      <c r="O67" s="75" t="s">
        <v>93</v>
      </c>
      <c r="P67" s="75" t="s">
        <v>93</v>
      </c>
      <c r="Q67" s="75" t="s">
        <v>93</v>
      </c>
      <c r="R67" s="75" t="s">
        <v>93</v>
      </c>
      <c r="S67" s="75" t="s">
        <v>93</v>
      </c>
      <c r="T67" s="75" t="s">
        <v>87</v>
      </c>
      <c r="U67" s="79" t="s">
        <v>544</v>
      </c>
      <c r="V67" s="75" t="s">
        <v>180</v>
      </c>
      <c r="W67" s="15" t="s">
        <v>519</v>
      </c>
      <c r="X67" s="18" t="s">
        <v>87</v>
      </c>
      <c r="Y67" s="78" t="s">
        <v>629</v>
      </c>
      <c r="AA67" s="73" t="s">
        <v>586</v>
      </c>
      <c r="AD67" s="78" t="s">
        <v>182</v>
      </c>
      <c r="AE67" s="80" t="s">
        <v>282</v>
      </c>
      <c r="AF67" s="80" t="s">
        <v>282</v>
      </c>
      <c r="AG67" s="79" t="s">
        <v>547</v>
      </c>
      <c r="AH67" s="75" t="s">
        <v>179</v>
      </c>
      <c r="AK67" s="78" t="s">
        <v>183</v>
      </c>
      <c r="AN67" s="75" t="s">
        <v>87</v>
      </c>
      <c r="AP67" s="75" t="s">
        <v>87</v>
      </c>
      <c r="AR67" s="75" t="s">
        <v>127</v>
      </c>
      <c r="AT67" s="15" t="s">
        <v>448</v>
      </c>
      <c r="AW67" s="75" t="s">
        <v>129</v>
      </c>
      <c r="AX67" s="75" t="s">
        <v>536</v>
      </c>
    </row>
    <row r="68" spans="1:50">
      <c r="A68" s="3" t="s">
        <v>26</v>
      </c>
      <c r="B68" s="3" t="s">
        <v>121</v>
      </c>
      <c r="C68" s="3" t="s">
        <v>144</v>
      </c>
      <c r="D68" s="3" t="s">
        <v>87</v>
      </c>
      <c r="E68" s="3" t="s">
        <v>123</v>
      </c>
      <c r="F68" s="4">
        <f t="shared" ca="1" si="0"/>
        <v>43887.699955324075</v>
      </c>
      <c r="G68" s="2" t="s">
        <v>424</v>
      </c>
      <c r="H68" s="3" t="s">
        <v>87</v>
      </c>
      <c r="I68" s="3" t="s">
        <v>178</v>
      </c>
      <c r="J68" s="2" t="s">
        <v>424</v>
      </c>
      <c r="K68" s="3" t="s">
        <v>93</v>
      </c>
      <c r="L68" s="3" t="s">
        <v>593</v>
      </c>
      <c r="M68" s="3" t="s">
        <v>93</v>
      </c>
      <c r="O68" s="3" t="s">
        <v>93</v>
      </c>
      <c r="P68" s="3" t="s">
        <v>93</v>
      </c>
      <c r="Q68" s="3" t="s">
        <v>93</v>
      </c>
      <c r="R68" s="3" t="s">
        <v>93</v>
      </c>
      <c r="S68" s="3" t="s">
        <v>93</v>
      </c>
      <c r="T68" s="3" t="s">
        <v>87</v>
      </c>
      <c r="U68" s="7" t="s">
        <v>448</v>
      </c>
      <c r="V68" s="3" t="s">
        <v>180</v>
      </c>
      <c r="W68" s="20" t="s">
        <v>519</v>
      </c>
      <c r="X68" s="3" t="s">
        <v>87</v>
      </c>
      <c r="Y68" t="s">
        <v>629</v>
      </c>
      <c r="AA68" s="11" t="s">
        <v>147</v>
      </c>
      <c r="AD68" t="s">
        <v>182</v>
      </c>
      <c r="AE68" s="8" t="s">
        <v>282</v>
      </c>
      <c r="AF68" s="8" t="s">
        <v>282</v>
      </c>
      <c r="AG68" t="s">
        <v>451</v>
      </c>
      <c r="AH68" s="3" t="s">
        <v>146</v>
      </c>
      <c r="AK68" t="s">
        <v>183</v>
      </c>
      <c r="AM68" s="18"/>
      <c r="AN68" s="3" t="s">
        <v>87</v>
      </c>
      <c r="AP68" s="3" t="s">
        <v>87</v>
      </c>
      <c r="AR68" s="3" t="s">
        <v>127</v>
      </c>
      <c r="AT68" s="20" t="s">
        <v>448</v>
      </c>
      <c r="AW68" s="3" t="s">
        <v>129</v>
      </c>
      <c r="AX68" s="3" t="s">
        <v>536</v>
      </c>
    </row>
    <row r="69" spans="1:50">
      <c r="A69" s="3" t="s">
        <v>26</v>
      </c>
      <c r="B69" s="3" t="s">
        <v>121</v>
      </c>
      <c r="C69" s="3" t="s">
        <v>144</v>
      </c>
      <c r="D69" s="3" t="s">
        <v>87</v>
      </c>
      <c r="E69" s="3" t="s">
        <v>123</v>
      </c>
      <c r="F69" s="4">
        <f t="shared" ref="F69:F74" ca="1" si="1">NOW()</f>
        <v>43887.699955324075</v>
      </c>
      <c r="G69" s="2" t="s">
        <v>424</v>
      </c>
      <c r="H69" s="3" t="s">
        <v>87</v>
      </c>
      <c r="I69" s="3" t="s">
        <v>178</v>
      </c>
      <c r="J69" s="2" t="s">
        <v>424</v>
      </c>
      <c r="K69" s="3" t="s">
        <v>93</v>
      </c>
      <c r="L69" s="69" t="s">
        <v>594</v>
      </c>
      <c r="M69" s="3" t="s">
        <v>93</v>
      </c>
      <c r="O69" s="3" t="s">
        <v>93</v>
      </c>
      <c r="P69" s="3" t="s">
        <v>93</v>
      </c>
      <c r="Q69" s="3" t="s">
        <v>93</v>
      </c>
      <c r="R69" s="3" t="s">
        <v>93</v>
      </c>
      <c r="S69" s="3" t="s">
        <v>93</v>
      </c>
      <c r="T69" s="3" t="s">
        <v>87</v>
      </c>
      <c r="U69" s="7" t="s">
        <v>448</v>
      </c>
      <c r="V69" s="3" t="s">
        <v>180</v>
      </c>
      <c r="W69" s="20" t="s">
        <v>519</v>
      </c>
      <c r="X69" s="3" t="s">
        <v>87</v>
      </c>
      <c r="Y69" t="s">
        <v>629</v>
      </c>
      <c r="AA69" s="11" t="s">
        <v>595</v>
      </c>
      <c r="AD69" t="s">
        <v>182</v>
      </c>
      <c r="AE69" s="8" t="s">
        <v>282</v>
      </c>
      <c r="AF69" s="8" t="s">
        <v>282</v>
      </c>
      <c r="AG69" s="3" t="s">
        <v>451</v>
      </c>
      <c r="AH69" s="3" t="s">
        <v>146</v>
      </c>
      <c r="AK69" t="s">
        <v>183</v>
      </c>
      <c r="AN69" s="3" t="s">
        <v>87</v>
      </c>
      <c r="AP69" s="3" t="s">
        <v>87</v>
      </c>
      <c r="AR69" s="3" t="s">
        <v>127</v>
      </c>
      <c r="AT69" s="20" t="s">
        <v>448</v>
      </c>
      <c r="AW69" s="3" t="s">
        <v>129</v>
      </c>
      <c r="AX69" s="3" t="s">
        <v>536</v>
      </c>
    </row>
    <row r="70" spans="1:50">
      <c r="A70" s="3" t="s">
        <v>26</v>
      </c>
      <c r="B70" s="3" t="s">
        <v>121</v>
      </c>
      <c r="C70" s="3" t="s">
        <v>144</v>
      </c>
      <c r="D70" s="3" t="s">
        <v>87</v>
      </c>
      <c r="E70" s="3" t="s">
        <v>123</v>
      </c>
      <c r="F70" s="4">
        <f t="shared" ca="1" si="1"/>
        <v>43887.699955324075</v>
      </c>
      <c r="G70" s="2" t="s">
        <v>424</v>
      </c>
      <c r="H70" s="3" t="s">
        <v>87</v>
      </c>
      <c r="I70" s="3" t="s">
        <v>178</v>
      </c>
      <c r="J70" s="2" t="s">
        <v>424</v>
      </c>
      <c r="K70" s="3" t="s">
        <v>93</v>
      </c>
      <c r="L70" s="69" t="s">
        <v>594</v>
      </c>
      <c r="M70" s="3" t="s">
        <v>93</v>
      </c>
      <c r="O70" s="3" t="s">
        <v>93</v>
      </c>
      <c r="P70" s="3" t="s">
        <v>93</v>
      </c>
      <c r="Q70" s="3" t="s">
        <v>93</v>
      </c>
      <c r="R70" s="3" t="s">
        <v>93</v>
      </c>
      <c r="S70" s="3" t="s">
        <v>93</v>
      </c>
      <c r="T70" s="3" t="s">
        <v>87</v>
      </c>
      <c r="U70" t="s">
        <v>452</v>
      </c>
      <c r="V70" s="3" t="s">
        <v>180</v>
      </c>
      <c r="W70" s="20" t="s">
        <v>519</v>
      </c>
      <c r="X70" s="3" t="s">
        <v>87</v>
      </c>
      <c r="Y70" t="s">
        <v>629</v>
      </c>
      <c r="AA70" s="3" t="s">
        <v>595</v>
      </c>
      <c r="AD70" t="s">
        <v>182</v>
      </c>
      <c r="AE70" s="8" t="s">
        <v>282</v>
      </c>
      <c r="AF70" s="8" t="s">
        <v>282</v>
      </c>
      <c r="AG70" t="s">
        <v>453</v>
      </c>
      <c r="AH70" s="3" t="s">
        <v>146</v>
      </c>
      <c r="AK70" t="s">
        <v>183</v>
      </c>
      <c r="AN70" s="3" t="s">
        <v>87</v>
      </c>
      <c r="AP70" s="3" t="s">
        <v>87</v>
      </c>
      <c r="AR70" s="3" t="s">
        <v>127</v>
      </c>
      <c r="AT70" s="20" t="s">
        <v>448</v>
      </c>
      <c r="AW70" s="3" t="s">
        <v>129</v>
      </c>
      <c r="AX70" s="3" t="s">
        <v>536</v>
      </c>
    </row>
    <row r="71" spans="1:50">
      <c r="A71" s="3" t="s">
        <v>26</v>
      </c>
      <c r="B71" s="3" t="s">
        <v>121</v>
      </c>
      <c r="C71" s="3" t="s">
        <v>144</v>
      </c>
      <c r="D71" s="3" t="s">
        <v>87</v>
      </c>
      <c r="E71" s="3" t="s">
        <v>123</v>
      </c>
      <c r="F71" s="4">
        <f t="shared" ca="1" si="1"/>
        <v>43887.699955324075</v>
      </c>
      <c r="G71" s="2" t="s">
        <v>424</v>
      </c>
      <c r="H71" s="3" t="s">
        <v>87</v>
      </c>
      <c r="I71" s="3" t="s">
        <v>178</v>
      </c>
      <c r="J71" s="2" t="s">
        <v>424</v>
      </c>
      <c r="K71" s="3" t="s">
        <v>93</v>
      </c>
      <c r="L71" s="69" t="s">
        <v>594</v>
      </c>
      <c r="M71" s="3" t="s">
        <v>93</v>
      </c>
      <c r="O71" s="3" t="s">
        <v>93</v>
      </c>
      <c r="P71" s="3" t="s">
        <v>93</v>
      </c>
      <c r="Q71" s="3" t="s">
        <v>93</v>
      </c>
      <c r="R71" s="3" t="s">
        <v>93</v>
      </c>
      <c r="S71" s="3" t="s">
        <v>93</v>
      </c>
      <c r="T71" s="3" t="s">
        <v>87</v>
      </c>
      <c r="U71" s="3" t="s">
        <v>122</v>
      </c>
      <c r="V71" s="3" t="s">
        <v>180</v>
      </c>
      <c r="W71" s="20" t="s">
        <v>519</v>
      </c>
      <c r="X71" s="3" t="s">
        <v>87</v>
      </c>
      <c r="Y71" t="s">
        <v>629</v>
      </c>
      <c r="AA71" s="3" t="s">
        <v>595</v>
      </c>
      <c r="AD71" t="s">
        <v>182</v>
      </c>
      <c r="AE71" s="8" t="s">
        <v>179</v>
      </c>
      <c r="AF71" s="8" t="s">
        <v>179</v>
      </c>
      <c r="AG71" s="3" t="s">
        <v>122</v>
      </c>
      <c r="AH71" s="3" t="s">
        <v>146</v>
      </c>
      <c r="AK71" t="s">
        <v>183</v>
      </c>
      <c r="AN71" s="3" t="s">
        <v>87</v>
      </c>
      <c r="AP71" s="3" t="s">
        <v>87</v>
      </c>
      <c r="AR71" s="3" t="s">
        <v>127</v>
      </c>
      <c r="AT71" s="20" t="s">
        <v>448</v>
      </c>
      <c r="AW71" s="3" t="s">
        <v>129</v>
      </c>
      <c r="AX71" s="3" t="s">
        <v>536</v>
      </c>
    </row>
    <row r="72" spans="1:50" s="18" customFormat="1">
      <c r="A72" s="15" t="s">
        <v>26</v>
      </c>
      <c r="B72" s="15" t="s">
        <v>121</v>
      </c>
      <c r="C72" s="15" t="s">
        <v>144</v>
      </c>
      <c r="D72" s="15" t="s">
        <v>87</v>
      </c>
      <c r="E72" s="15" t="s">
        <v>123</v>
      </c>
      <c r="F72" s="17">
        <f t="shared" ca="1" si="1"/>
        <v>43887.699955324075</v>
      </c>
      <c r="G72" s="16" t="s">
        <v>424</v>
      </c>
      <c r="H72" s="15" t="s">
        <v>87</v>
      </c>
      <c r="I72" s="15" t="s">
        <v>178</v>
      </c>
      <c r="J72" s="16" t="s">
        <v>424</v>
      </c>
      <c r="K72" s="15" t="s">
        <v>93</v>
      </c>
      <c r="L72" s="63" t="s">
        <v>594</v>
      </c>
      <c r="M72" s="15" t="s">
        <v>93</v>
      </c>
      <c r="O72" s="15" t="s">
        <v>93</v>
      </c>
      <c r="P72" s="15" t="s">
        <v>93</v>
      </c>
      <c r="Q72" s="15" t="s">
        <v>93</v>
      </c>
      <c r="R72" s="15" t="s">
        <v>93</v>
      </c>
      <c r="S72" s="15" t="s">
        <v>93</v>
      </c>
      <c r="T72" s="15" t="s">
        <v>87</v>
      </c>
      <c r="U72" s="25" t="s">
        <v>144</v>
      </c>
      <c r="V72" s="15" t="s">
        <v>180</v>
      </c>
      <c r="W72" s="15" t="s">
        <v>519</v>
      </c>
      <c r="X72" s="15" t="s">
        <v>87</v>
      </c>
      <c r="Y72" s="18" t="s">
        <v>629</v>
      </c>
      <c r="AA72" s="15" t="s">
        <v>595</v>
      </c>
      <c r="AD72" s="18" t="s">
        <v>182</v>
      </c>
      <c r="AE72" s="26" t="s">
        <v>179</v>
      </c>
      <c r="AF72" s="26" t="s">
        <v>179</v>
      </c>
      <c r="AG72" s="25" t="s">
        <v>144</v>
      </c>
      <c r="AH72" s="15" t="s">
        <v>93</v>
      </c>
      <c r="AK72" s="18" t="s">
        <v>183</v>
      </c>
      <c r="AN72" s="15" t="s">
        <v>87</v>
      </c>
      <c r="AP72" s="15" t="s">
        <v>87</v>
      </c>
      <c r="AR72" s="15" t="s">
        <v>127</v>
      </c>
      <c r="AT72" s="15" t="s">
        <v>448</v>
      </c>
      <c r="AW72" s="15" t="s">
        <v>129</v>
      </c>
      <c r="AX72" s="15" t="s">
        <v>536</v>
      </c>
    </row>
    <row r="73" spans="1:50" s="23" customFormat="1">
      <c r="A73" s="20" t="s">
        <v>120</v>
      </c>
      <c r="B73" s="20" t="s">
        <v>321</v>
      </c>
      <c r="C73" s="60" t="s">
        <v>90</v>
      </c>
      <c r="D73" s="20" t="s">
        <v>601</v>
      </c>
      <c r="E73" s="20" t="s">
        <v>123</v>
      </c>
      <c r="F73" s="22">
        <f t="shared" ca="1" si="1"/>
        <v>43887.699955324075</v>
      </c>
      <c r="G73" s="21" t="s">
        <v>424</v>
      </c>
      <c r="H73" s="20" t="s">
        <v>63</v>
      </c>
      <c r="I73" s="20" t="s">
        <v>178</v>
      </c>
      <c r="J73" s="21" t="s">
        <v>424</v>
      </c>
      <c r="K73" s="20" t="s">
        <v>602</v>
      </c>
      <c r="L73" s="20" t="s">
        <v>603</v>
      </c>
      <c r="M73" s="20"/>
      <c r="O73" s="20"/>
      <c r="P73" s="20"/>
      <c r="Q73" s="20"/>
      <c r="R73" s="20"/>
      <c r="S73" s="20"/>
      <c r="T73" s="20"/>
      <c r="U73" s="72"/>
      <c r="V73" s="20"/>
      <c r="W73" s="20"/>
      <c r="X73"/>
      <c r="AA73" s="64"/>
      <c r="AD73" s="18"/>
      <c r="AE73" s="71"/>
      <c r="AF73" s="71"/>
      <c r="AH73" s="20"/>
      <c r="AL73" s="18" t="s">
        <v>605</v>
      </c>
      <c r="AN73" s="20"/>
      <c r="AP73" s="20"/>
      <c r="AR73" s="20"/>
      <c r="AT73" s="60"/>
      <c r="AW73" s="20" t="s">
        <v>129</v>
      </c>
      <c r="AX73" s="20" t="s">
        <v>606</v>
      </c>
    </row>
    <row r="74" spans="1:50">
      <c r="A74" s="3" t="s">
        <v>607</v>
      </c>
      <c r="B74" s="3" t="s">
        <v>608</v>
      </c>
      <c r="C74" s="11" t="s">
        <v>609</v>
      </c>
      <c r="D74" s="3" t="s">
        <v>601</v>
      </c>
      <c r="E74" s="3" t="s">
        <v>123</v>
      </c>
      <c r="F74" s="4">
        <f t="shared" ca="1" si="1"/>
        <v>43887.699955324075</v>
      </c>
      <c r="G74" s="2" t="s">
        <v>424</v>
      </c>
      <c r="H74" s="3" t="s">
        <v>63</v>
      </c>
      <c r="I74" s="3" t="s">
        <v>610</v>
      </c>
      <c r="J74" s="2" t="s">
        <v>424</v>
      </c>
      <c r="K74" s="3" t="s">
        <v>602</v>
      </c>
      <c r="L74" s="69" t="s">
        <v>611</v>
      </c>
      <c r="M74" s="3"/>
      <c r="O74" s="3"/>
      <c r="P74" s="3"/>
      <c r="Q74" s="3"/>
      <c r="R74" s="3"/>
      <c r="S74" s="3"/>
      <c r="T74" s="3"/>
      <c r="U74" s="72"/>
      <c r="V74" s="3"/>
      <c r="W74" s="20"/>
      <c r="AA74" s="74"/>
      <c r="AE74" s="8"/>
      <c r="AF74" s="8"/>
      <c r="AG74" s="20"/>
      <c r="AH74" s="20"/>
      <c r="AL74" s="18" t="s">
        <v>605</v>
      </c>
      <c r="AN74" s="3"/>
      <c r="AP74" s="3"/>
      <c r="AR74" s="3"/>
      <c r="AT74" s="20"/>
      <c r="AW74" s="3" t="s">
        <v>612</v>
      </c>
      <c r="AX74" s="20" t="s">
        <v>613</v>
      </c>
    </row>
    <row r="75" spans="1:50">
      <c r="AT75" s="3"/>
    </row>
    <row r="76" spans="1:50">
      <c r="A76" s="3"/>
      <c r="B76" s="3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O76" s="3"/>
      <c r="P76" s="3"/>
      <c r="Q76" s="3"/>
      <c r="R76" s="3"/>
      <c r="S76" s="3"/>
      <c r="T76" s="3"/>
      <c r="U76" s="3"/>
      <c r="V76" s="3"/>
      <c r="Y76" s="3"/>
      <c r="AC76" s="8"/>
      <c r="AD76" s="8"/>
      <c r="AE76" s="3"/>
      <c r="AF76" s="3"/>
      <c r="AK76" s="3"/>
      <c r="AL76" s="3"/>
      <c r="AN76" s="3"/>
      <c r="AP76" s="3"/>
      <c r="AT76" s="3"/>
      <c r="AU76" s="3"/>
      <c r="AV76" s="3"/>
    </row>
    <row r="77" spans="1:50">
      <c r="A77" s="3"/>
      <c r="B77" s="3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O77" s="3"/>
      <c r="P77" s="3"/>
      <c r="Q77" s="3"/>
      <c r="R77" s="3"/>
      <c r="S77" s="3"/>
      <c r="T77" s="3"/>
      <c r="U77" s="3"/>
      <c r="V77" s="3"/>
      <c r="Y77" s="3"/>
      <c r="AC77" s="8"/>
      <c r="AD77" s="8"/>
      <c r="AE77" s="3"/>
      <c r="AF77" s="3"/>
      <c r="AK77" s="3"/>
      <c r="AL77" s="3"/>
      <c r="AN77" s="3"/>
      <c r="AP77" s="3"/>
      <c r="AS77" s="3"/>
      <c r="AT77" s="3"/>
      <c r="AU77" s="3"/>
      <c r="AV77" s="3"/>
    </row>
    <row r="78" spans="1:50">
      <c r="A78" s="3"/>
      <c r="B78" s="3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O78" s="3"/>
      <c r="P78" s="3"/>
      <c r="Q78" s="3"/>
      <c r="R78" s="3"/>
      <c r="S78" s="3"/>
      <c r="T78" s="3"/>
      <c r="U78" s="3"/>
      <c r="V78" s="3"/>
      <c r="Y78" s="3"/>
      <c r="AC78" s="8"/>
      <c r="AD78" s="8"/>
      <c r="AE78" s="3"/>
      <c r="AF78" s="3"/>
      <c r="AK78" s="3"/>
      <c r="AL78" s="3"/>
      <c r="AN78" s="3"/>
      <c r="AP78" s="3"/>
      <c r="AS78" s="3"/>
      <c r="AT78" s="3"/>
      <c r="AU78" s="3"/>
      <c r="AV78" s="3"/>
    </row>
    <row r="79" spans="1:50">
      <c r="A79" s="3"/>
      <c r="B79" s="3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O79" s="3"/>
      <c r="P79" s="3"/>
      <c r="Q79" s="3"/>
      <c r="R79" s="3"/>
      <c r="S79" s="3"/>
      <c r="T79" s="3"/>
      <c r="U79" s="3"/>
      <c r="V79" s="3"/>
      <c r="Y79" s="3"/>
      <c r="AC79" s="8"/>
      <c r="AD79" s="8"/>
      <c r="AE79" s="3"/>
      <c r="AF79" s="3"/>
      <c r="AK79" s="3"/>
      <c r="AL79" s="3"/>
      <c r="AN79" s="3"/>
      <c r="AP79" s="3"/>
      <c r="AT79" s="3"/>
      <c r="AU79" s="3"/>
      <c r="AV79" s="3"/>
    </row>
    <row r="80" spans="1:50">
      <c r="A80" s="3"/>
      <c r="B80" s="3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O80" s="3"/>
      <c r="P80" s="3"/>
      <c r="Q80" s="3"/>
      <c r="R80" s="3"/>
      <c r="S80" s="3"/>
      <c r="T80" s="3"/>
      <c r="U80" s="3"/>
      <c r="V80" s="3"/>
      <c r="Y80" s="3"/>
      <c r="AC80" s="8"/>
      <c r="AD80" s="8"/>
      <c r="AE80" s="3"/>
      <c r="AF80" s="3"/>
      <c r="AK80" s="3"/>
      <c r="AL80" s="3"/>
      <c r="AN80" s="3"/>
      <c r="AP80" s="3"/>
      <c r="AU80" s="3"/>
      <c r="AV80" s="3"/>
    </row>
    <row r="85" spans="45:46">
      <c r="AS85" s="3"/>
      <c r="AT85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4"/>
  <sheetViews>
    <sheetView workbookViewId="0">
      <selection activeCell="A4" sqref="A4"/>
    </sheetView>
  </sheetViews>
  <sheetFormatPr defaultRowHeight="14.25"/>
  <cols>
    <col min="6" max="6" width="17.5" customWidth="1"/>
    <col min="21" max="21" width="14.25" customWidth="1"/>
    <col min="25" max="25" width="10.625" customWidth="1"/>
  </cols>
  <sheetData>
    <row r="1" spans="1:3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203</v>
      </c>
      <c r="J1" t="s">
        <v>204</v>
      </c>
      <c r="K1" t="s">
        <v>49</v>
      </c>
      <c r="L1" t="s">
        <v>51</v>
      </c>
      <c r="M1" t="s">
        <v>52</v>
      </c>
      <c r="N1" t="s">
        <v>51</v>
      </c>
      <c r="O1" t="s">
        <v>52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33</v>
      </c>
      <c r="V1" t="s">
        <v>45</v>
      </c>
      <c r="W1" t="s">
        <v>211</v>
      </c>
      <c r="X1" t="s">
        <v>212</v>
      </c>
      <c r="Y1" t="s">
        <v>264</v>
      </c>
      <c r="Z1" t="s">
        <v>265</v>
      </c>
      <c r="AA1" t="s">
        <v>38</v>
      </c>
      <c r="AB1" t="s">
        <v>56</v>
      </c>
      <c r="AC1" t="s">
        <v>210</v>
      </c>
      <c r="AD1" t="s">
        <v>33</v>
      </c>
      <c r="AE1" t="s">
        <v>45</v>
      </c>
      <c r="AF1" t="s">
        <v>211</v>
      </c>
      <c r="AG1" t="s">
        <v>212</v>
      </c>
      <c r="AH1" t="s">
        <v>264</v>
      </c>
      <c r="AI1" t="s">
        <v>265</v>
      </c>
      <c r="AJ1" t="s">
        <v>38</v>
      </c>
      <c r="AK1" t="s">
        <v>56</v>
      </c>
    </row>
    <row r="2" spans="1:3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205</v>
      </c>
      <c r="K2" t="s">
        <v>50</v>
      </c>
      <c r="L2" t="s">
        <v>10</v>
      </c>
      <c r="M2" t="s">
        <v>13</v>
      </c>
      <c r="N2" t="s">
        <v>10</v>
      </c>
      <c r="O2" t="s">
        <v>13</v>
      </c>
      <c r="P2" t="s">
        <v>50</v>
      </c>
      <c r="Q2" t="s">
        <v>10</v>
      </c>
      <c r="R2" t="s">
        <v>13</v>
      </c>
      <c r="S2" t="s">
        <v>13</v>
      </c>
      <c r="T2" t="s">
        <v>10</v>
      </c>
      <c r="U2" t="s">
        <v>10</v>
      </c>
      <c r="V2" t="s">
        <v>46</v>
      </c>
      <c r="W2" t="s">
        <v>39</v>
      </c>
      <c r="X2" t="s">
        <v>41</v>
      </c>
      <c r="Y2" t="s">
        <v>39</v>
      </c>
      <c r="Z2" t="s">
        <v>41</v>
      </c>
      <c r="AA2" t="s">
        <v>36</v>
      </c>
      <c r="AB2" t="s">
        <v>57</v>
      </c>
      <c r="AC2" t="s">
        <v>10</v>
      </c>
      <c r="AD2" t="s">
        <v>10</v>
      </c>
      <c r="AE2" t="s">
        <v>46</v>
      </c>
      <c r="AF2" t="s">
        <v>39</v>
      </c>
      <c r="AG2" t="s">
        <v>41</v>
      </c>
      <c r="AH2" t="s">
        <v>39</v>
      </c>
      <c r="AI2" t="s">
        <v>41</v>
      </c>
      <c r="AJ2" t="s">
        <v>36</v>
      </c>
      <c r="AK2" t="s">
        <v>57</v>
      </c>
    </row>
    <row r="3" spans="1:3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191</v>
      </c>
      <c r="I3" s="3" t="s">
        <v>213</v>
      </c>
      <c r="J3" s="3" t="s">
        <v>214</v>
      </c>
      <c r="K3" s="3" t="s">
        <v>82</v>
      </c>
      <c r="L3" s="3" t="s">
        <v>95</v>
      </c>
      <c r="M3" s="3" t="s">
        <v>94</v>
      </c>
      <c r="N3" s="3" t="s">
        <v>199</v>
      </c>
      <c r="O3" s="3" t="s">
        <v>200</v>
      </c>
      <c r="P3" s="3" t="s">
        <v>215</v>
      </c>
      <c r="Q3" s="3" t="s">
        <v>218</v>
      </c>
      <c r="R3" s="3" t="s">
        <v>219</v>
      </c>
      <c r="S3" s="3" t="s">
        <v>220</v>
      </c>
      <c r="T3" s="3" t="s">
        <v>221</v>
      </c>
      <c r="U3" s="3" t="s">
        <v>223</v>
      </c>
      <c r="V3" s="3" t="s">
        <v>224</v>
      </c>
      <c r="W3" s="3" t="s">
        <v>245</v>
      </c>
      <c r="X3" s="3" t="s">
        <v>237</v>
      </c>
      <c r="Y3" s="3" t="s">
        <v>226</v>
      </c>
      <c r="Z3" s="3" t="s">
        <v>227</v>
      </c>
      <c r="AA3" s="3" t="s">
        <v>228</v>
      </c>
      <c r="AB3" s="3" t="s">
        <v>229</v>
      </c>
      <c r="AC3" s="3" t="s">
        <v>234</v>
      </c>
      <c r="AD3" s="3" t="s">
        <v>235</v>
      </c>
      <c r="AE3" s="3" t="s">
        <v>236</v>
      </c>
      <c r="AF3" s="3" t="s">
        <v>249</v>
      </c>
      <c r="AG3" s="3" t="s">
        <v>250</v>
      </c>
      <c r="AH3" s="3" t="s">
        <v>238</v>
      </c>
      <c r="AI3" s="3" t="s">
        <v>239</v>
      </c>
      <c r="AJ3" s="3" t="s">
        <v>233</v>
      </c>
      <c r="AK3" s="3" t="s">
        <v>240</v>
      </c>
    </row>
    <row r="4" spans="1:37">
      <c r="A4" s="3" t="s">
        <v>26</v>
      </c>
      <c r="B4" s="3" t="s">
        <v>27</v>
      </c>
      <c r="C4" s="3" t="s">
        <v>243</v>
      </c>
      <c r="D4" s="3"/>
      <c r="E4" s="3" t="s">
        <v>31</v>
      </c>
      <c r="F4" s="4">
        <f ca="1">NOW()</f>
        <v>43887.699955324075</v>
      </c>
      <c r="G4" s="3" t="s">
        <v>28</v>
      </c>
      <c r="H4" s="3" t="s">
        <v>31</v>
      </c>
      <c r="I4" s="3" t="s">
        <v>217</v>
      </c>
      <c r="P4" s="3" t="s">
        <v>222</v>
      </c>
      <c r="Q4" s="3" t="s">
        <v>217</v>
      </c>
      <c r="R4" s="3" t="s">
        <v>216</v>
      </c>
      <c r="S4" s="3" t="s">
        <v>98</v>
      </c>
      <c r="T4" s="3" t="s">
        <v>256</v>
      </c>
      <c r="U4" t="s">
        <v>261</v>
      </c>
      <c r="V4" t="s">
        <v>244</v>
      </c>
      <c r="W4" s="3" t="s">
        <v>225</v>
      </c>
      <c r="X4" s="3" t="s">
        <v>225</v>
      </c>
      <c r="Y4" s="3" t="s">
        <v>257</v>
      </c>
      <c r="Z4" s="3" t="s">
        <v>222</v>
      </c>
      <c r="AA4" t="s">
        <v>241</v>
      </c>
      <c r="AB4" s="3" t="s">
        <v>222</v>
      </c>
      <c r="AC4" s="3" t="s">
        <v>185</v>
      </c>
      <c r="AD4" t="s">
        <v>261</v>
      </c>
      <c r="AE4" t="s">
        <v>244</v>
      </c>
      <c r="AF4" s="3" t="s">
        <v>230</v>
      </c>
      <c r="AG4" s="3" t="s">
        <v>231</v>
      </c>
      <c r="AH4" s="3" t="s">
        <v>232</v>
      </c>
      <c r="AI4" s="3" t="s">
        <v>225</v>
      </c>
      <c r="AJ4" t="s">
        <v>242</v>
      </c>
      <c r="AK4" s="3" t="s">
        <v>222</v>
      </c>
    </row>
  </sheetData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7"/>
  <sheetViews>
    <sheetView topLeftCell="T1" workbookViewId="0">
      <selection activeCell="Y13" sqref="Y13"/>
    </sheetView>
  </sheetViews>
  <sheetFormatPr defaultRowHeight="14.25"/>
  <cols>
    <col min="6" max="6" width="18.5" customWidth="1"/>
    <col min="32" max="32" width="12.75" customWidth="1"/>
  </cols>
  <sheetData>
    <row r="1" spans="1:43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99</v>
      </c>
      <c r="I1" t="s">
        <v>100</v>
      </c>
      <c r="J1" t="s">
        <v>32</v>
      </c>
      <c r="K1" t="s">
        <v>135</v>
      </c>
      <c r="L1" t="s">
        <v>203</v>
      </c>
      <c r="M1" t="s">
        <v>45</v>
      </c>
      <c r="N1" t="s">
        <v>49</v>
      </c>
      <c r="O1" t="s">
        <v>51</v>
      </c>
      <c r="P1" t="s">
        <v>52</v>
      </c>
      <c r="Q1" t="s">
        <v>51</v>
      </c>
      <c r="R1" t="s">
        <v>52</v>
      </c>
      <c r="S1" t="s">
        <v>206</v>
      </c>
      <c r="T1" t="s">
        <v>207</v>
      </c>
      <c r="U1" t="s">
        <v>208</v>
      </c>
      <c r="V1" t="s">
        <v>209</v>
      </c>
      <c r="W1" t="s">
        <v>210</v>
      </c>
      <c r="X1" t="s">
        <v>33</v>
      </c>
      <c r="Y1" t="s">
        <v>211</v>
      </c>
      <c r="Z1" t="s">
        <v>212</v>
      </c>
      <c r="AA1" t="s">
        <v>264</v>
      </c>
      <c r="AB1" t="s">
        <v>265</v>
      </c>
      <c r="AC1" t="s">
        <v>38</v>
      </c>
      <c r="AD1" t="s">
        <v>56</v>
      </c>
      <c r="AE1" t="s">
        <v>210</v>
      </c>
      <c r="AF1" t="s">
        <v>33</v>
      </c>
      <c r="AG1" t="s">
        <v>211</v>
      </c>
      <c r="AH1" t="s">
        <v>212</v>
      </c>
      <c r="AI1" t="s">
        <v>264</v>
      </c>
      <c r="AJ1" t="s">
        <v>265</v>
      </c>
      <c r="AK1" t="s">
        <v>38</v>
      </c>
      <c r="AL1" t="s">
        <v>56</v>
      </c>
      <c r="AM1" t="s">
        <v>251</v>
      </c>
      <c r="AN1" t="s">
        <v>15</v>
      </c>
      <c r="AO1" t="s">
        <v>16</v>
      </c>
      <c r="AP1" s="1" t="s">
        <v>17</v>
      </c>
      <c r="AQ1" t="s">
        <v>142</v>
      </c>
    </row>
    <row r="2" spans="1:43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10</v>
      </c>
      <c r="L2" t="s">
        <v>13</v>
      </c>
      <c r="M2" t="s">
        <v>46</v>
      </c>
      <c r="N2" t="s">
        <v>50</v>
      </c>
      <c r="O2" t="s">
        <v>10</v>
      </c>
      <c r="P2" t="s">
        <v>13</v>
      </c>
      <c r="Q2" t="s">
        <v>10</v>
      </c>
      <c r="R2" t="s">
        <v>13</v>
      </c>
      <c r="S2" t="s">
        <v>50</v>
      </c>
      <c r="T2" t="s">
        <v>10</v>
      </c>
      <c r="U2" t="s">
        <v>13</v>
      </c>
      <c r="V2" t="s">
        <v>13</v>
      </c>
      <c r="W2" t="s">
        <v>10</v>
      </c>
      <c r="X2" t="s">
        <v>10</v>
      </c>
      <c r="Y2" t="s">
        <v>39</v>
      </c>
      <c r="Z2" t="s">
        <v>41</v>
      </c>
      <c r="AA2" t="s">
        <v>39</v>
      </c>
      <c r="AB2" t="s">
        <v>41</v>
      </c>
      <c r="AC2" t="s">
        <v>36</v>
      </c>
      <c r="AD2" t="s">
        <v>57</v>
      </c>
      <c r="AE2" t="s">
        <v>10</v>
      </c>
      <c r="AF2" t="s">
        <v>10</v>
      </c>
      <c r="AG2" t="s">
        <v>39</v>
      </c>
      <c r="AH2" t="s">
        <v>41</v>
      </c>
      <c r="AI2" t="s">
        <v>39</v>
      </c>
      <c r="AJ2" t="s">
        <v>41</v>
      </c>
      <c r="AK2" t="s">
        <v>36</v>
      </c>
      <c r="AL2" t="s">
        <v>57</v>
      </c>
      <c r="AM2" t="s">
        <v>252</v>
      </c>
      <c r="AN2" t="s">
        <v>13</v>
      </c>
      <c r="AO2" t="s">
        <v>13</v>
      </c>
      <c r="AP2" t="s">
        <v>10</v>
      </c>
      <c r="AQ2" t="s">
        <v>143</v>
      </c>
    </row>
    <row r="3" spans="1:43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111</v>
      </c>
      <c r="I3" s="2" t="s">
        <v>112</v>
      </c>
      <c r="J3" s="3" t="s">
        <v>191</v>
      </c>
      <c r="K3" s="3" t="s">
        <v>160</v>
      </c>
      <c r="L3" s="3" t="s">
        <v>213</v>
      </c>
      <c r="M3" s="3" t="s">
        <v>224</v>
      </c>
      <c r="N3" s="3" t="s">
        <v>82</v>
      </c>
      <c r="O3" s="3" t="s">
        <v>95</v>
      </c>
      <c r="P3" s="3" t="s">
        <v>94</v>
      </c>
      <c r="Q3" s="3" t="s">
        <v>199</v>
      </c>
      <c r="R3" s="3" t="s">
        <v>200</v>
      </c>
      <c r="S3" s="3" t="s">
        <v>215</v>
      </c>
      <c r="T3" s="3" t="s">
        <v>218</v>
      </c>
      <c r="U3" s="3" t="s">
        <v>219</v>
      </c>
      <c r="V3" s="3" t="s">
        <v>220</v>
      </c>
      <c r="W3" s="3" t="s">
        <v>221</v>
      </c>
      <c r="X3" s="3" t="s">
        <v>223</v>
      </c>
      <c r="Y3" s="3" t="s">
        <v>245</v>
      </c>
      <c r="Z3" s="3" t="s">
        <v>237</v>
      </c>
      <c r="AA3" s="3" t="s">
        <v>226</v>
      </c>
      <c r="AB3" s="3" t="s">
        <v>227</v>
      </c>
      <c r="AC3" s="3" t="s">
        <v>233</v>
      </c>
      <c r="AD3" s="3" t="s">
        <v>240</v>
      </c>
      <c r="AE3" s="3" t="s">
        <v>234</v>
      </c>
      <c r="AF3" s="3" t="s">
        <v>235</v>
      </c>
      <c r="AG3" s="3" t="s">
        <v>249</v>
      </c>
      <c r="AH3" s="3" t="s">
        <v>250</v>
      </c>
      <c r="AI3" s="3" t="s">
        <v>238</v>
      </c>
      <c r="AJ3" s="3" t="s">
        <v>239</v>
      </c>
      <c r="AK3" s="3" t="s">
        <v>254</v>
      </c>
      <c r="AL3" s="3" t="s">
        <v>255</v>
      </c>
      <c r="AM3" s="3" t="s">
        <v>253</v>
      </c>
      <c r="AN3" s="3" t="s">
        <v>116</v>
      </c>
      <c r="AO3" s="3" t="s">
        <v>117</v>
      </c>
      <c r="AP3" s="2" t="s">
        <v>118</v>
      </c>
      <c r="AQ3" s="7" t="s">
        <v>104</v>
      </c>
    </row>
    <row r="4" spans="1:43">
      <c r="A4" s="3" t="s">
        <v>26</v>
      </c>
      <c r="B4" s="3" t="s">
        <v>27</v>
      </c>
      <c r="C4" s="3" t="s">
        <v>248</v>
      </c>
      <c r="D4" s="3"/>
      <c r="E4" s="3" t="s">
        <v>28</v>
      </c>
      <c r="F4" s="4">
        <f ca="1">NOW()</f>
        <v>43887.699955324075</v>
      </c>
      <c r="G4" s="3" t="s">
        <v>31</v>
      </c>
      <c r="H4" s="3" t="s">
        <v>246</v>
      </c>
      <c r="I4" s="3" t="s">
        <v>247</v>
      </c>
      <c r="J4" s="3" t="s">
        <v>31</v>
      </c>
      <c r="L4" s="3" t="s">
        <v>231</v>
      </c>
      <c r="M4" t="s">
        <v>244</v>
      </c>
      <c r="S4" s="3" t="s">
        <v>222</v>
      </c>
      <c r="T4" s="3" t="s">
        <v>232</v>
      </c>
      <c r="U4" s="3" t="s">
        <v>216</v>
      </c>
      <c r="V4" s="3" t="s">
        <v>98</v>
      </c>
      <c r="W4" s="3" t="s">
        <v>279</v>
      </c>
      <c r="X4" t="s">
        <v>261</v>
      </c>
      <c r="Y4" s="3" t="s">
        <v>225</v>
      </c>
      <c r="Z4" s="3" t="s">
        <v>225</v>
      </c>
      <c r="AA4" s="3" t="s">
        <v>262</v>
      </c>
      <c r="AB4" s="3" t="s">
        <v>222</v>
      </c>
      <c r="AC4" t="s">
        <v>241</v>
      </c>
      <c r="AD4" s="3" t="s">
        <v>222</v>
      </c>
      <c r="AE4" s="3" t="s">
        <v>280</v>
      </c>
      <c r="AF4" t="s">
        <v>261</v>
      </c>
      <c r="AG4" s="3" t="s">
        <v>263</v>
      </c>
      <c r="AH4" s="3" t="s">
        <v>231</v>
      </c>
      <c r="AI4" s="3" t="s">
        <v>232</v>
      </c>
      <c r="AJ4" s="3" t="s">
        <v>225</v>
      </c>
      <c r="AK4" t="s">
        <v>242</v>
      </c>
      <c r="AL4" s="3" t="s">
        <v>222</v>
      </c>
      <c r="AM4" s="3" t="s">
        <v>118</v>
      </c>
      <c r="AQ4" s="3" t="s">
        <v>260</v>
      </c>
    </row>
    <row r="5" spans="1:43">
      <c r="A5" s="3" t="s">
        <v>26</v>
      </c>
      <c r="B5" s="3" t="s">
        <v>27</v>
      </c>
      <c r="C5" s="3" t="s">
        <v>248</v>
      </c>
      <c r="D5" s="3"/>
      <c r="E5" s="3" t="s">
        <v>28</v>
      </c>
      <c r="F5" s="4">
        <f ca="1">NOW()</f>
        <v>43887.699955324075</v>
      </c>
      <c r="G5" s="3" t="s">
        <v>31</v>
      </c>
      <c r="H5" s="3" t="s">
        <v>246</v>
      </c>
      <c r="I5" s="3" t="s">
        <v>247</v>
      </c>
      <c r="J5" s="3" t="s">
        <v>31</v>
      </c>
      <c r="L5" s="3" t="s">
        <v>231</v>
      </c>
      <c r="M5" t="s">
        <v>244</v>
      </c>
      <c r="S5" s="3" t="s">
        <v>222</v>
      </c>
      <c r="T5" s="3" t="s">
        <v>232</v>
      </c>
      <c r="U5" s="3" t="s">
        <v>216</v>
      </c>
      <c r="V5" s="3" t="s">
        <v>98</v>
      </c>
      <c r="W5" s="3" t="s">
        <v>279</v>
      </c>
      <c r="X5" t="s">
        <v>261</v>
      </c>
      <c r="Y5" s="3" t="s">
        <v>225</v>
      </c>
      <c r="Z5" s="3" t="s">
        <v>225</v>
      </c>
      <c r="AA5" s="3" t="s">
        <v>262</v>
      </c>
      <c r="AB5" s="3" t="s">
        <v>222</v>
      </c>
      <c r="AC5" t="s">
        <v>241</v>
      </c>
      <c r="AD5" s="3" t="s">
        <v>222</v>
      </c>
      <c r="AE5" s="3" t="s">
        <v>281</v>
      </c>
      <c r="AF5" t="s">
        <v>261</v>
      </c>
      <c r="AG5" s="3" t="s">
        <v>263</v>
      </c>
      <c r="AH5" s="3" t="s">
        <v>231</v>
      </c>
      <c r="AI5" s="3" t="s">
        <v>232</v>
      </c>
      <c r="AJ5" s="3" t="s">
        <v>225</v>
      </c>
      <c r="AK5" t="s">
        <v>242</v>
      </c>
      <c r="AL5" s="3" t="s">
        <v>222</v>
      </c>
      <c r="AM5" s="3" t="s">
        <v>232</v>
      </c>
      <c r="AQ5" s="3" t="s">
        <v>260</v>
      </c>
    </row>
    <row r="6" spans="1:43">
      <c r="A6" s="3" t="s">
        <v>26</v>
      </c>
      <c r="B6" s="3" t="s">
        <v>27</v>
      </c>
      <c r="C6" s="3" t="s">
        <v>248</v>
      </c>
      <c r="D6" s="3"/>
      <c r="E6" s="3" t="s">
        <v>28</v>
      </c>
      <c r="F6" s="4">
        <f ca="1">NOW()</f>
        <v>43887.699955324075</v>
      </c>
      <c r="G6" s="3" t="s">
        <v>31</v>
      </c>
      <c r="H6" s="3" t="s">
        <v>246</v>
      </c>
      <c r="I6" s="3" t="s">
        <v>247</v>
      </c>
      <c r="J6" s="3" t="s">
        <v>31</v>
      </c>
      <c r="L6" s="3" t="s">
        <v>29</v>
      </c>
      <c r="M6" t="s">
        <v>61</v>
      </c>
      <c r="S6" s="3" t="s">
        <v>29</v>
      </c>
      <c r="T6" s="3" t="s">
        <v>62</v>
      </c>
      <c r="U6" s="3" t="s">
        <v>64</v>
      </c>
      <c r="V6" s="3" t="s">
        <v>64</v>
      </c>
      <c r="W6" s="3" t="s">
        <v>279</v>
      </c>
      <c r="X6" t="s">
        <v>261</v>
      </c>
      <c r="Y6" s="3" t="s">
        <v>62</v>
      </c>
      <c r="Z6" s="3" t="s">
        <v>62</v>
      </c>
      <c r="AA6" s="3" t="s">
        <v>262</v>
      </c>
      <c r="AB6" s="3" t="s">
        <v>29</v>
      </c>
      <c r="AC6" t="s">
        <v>182</v>
      </c>
      <c r="AD6" s="3" t="s">
        <v>29</v>
      </c>
      <c r="AE6" s="3" t="s">
        <v>281</v>
      </c>
      <c r="AF6" t="s">
        <v>261</v>
      </c>
      <c r="AG6" s="3" t="s">
        <v>263</v>
      </c>
      <c r="AH6" s="3" t="s">
        <v>29</v>
      </c>
      <c r="AI6" s="3" t="s">
        <v>62</v>
      </c>
      <c r="AJ6" s="3" t="s">
        <v>62</v>
      </c>
      <c r="AK6" t="s">
        <v>182</v>
      </c>
      <c r="AL6" s="3" t="s">
        <v>29</v>
      </c>
      <c r="AM6" s="3" t="s">
        <v>62</v>
      </c>
      <c r="AQ6" s="3" t="s">
        <v>260</v>
      </c>
    </row>
    <row r="7" spans="1:43">
      <c r="A7" s="3" t="s">
        <v>26</v>
      </c>
      <c r="B7" s="3" t="s">
        <v>27</v>
      </c>
      <c r="C7" s="3" t="s">
        <v>248</v>
      </c>
      <c r="D7" s="3"/>
      <c r="E7" s="3" t="s">
        <v>28</v>
      </c>
      <c r="F7" s="4">
        <f ca="1">NOW()</f>
        <v>43887.699955324075</v>
      </c>
      <c r="G7" s="3" t="s">
        <v>31</v>
      </c>
      <c r="H7" s="3" t="s">
        <v>246</v>
      </c>
      <c r="I7" s="3" t="s">
        <v>247</v>
      </c>
      <c r="J7" s="3" t="s">
        <v>31</v>
      </c>
      <c r="L7" s="3" t="s">
        <v>29</v>
      </c>
      <c r="M7" t="s">
        <v>61</v>
      </c>
      <c r="S7" s="3" t="s">
        <v>29</v>
      </c>
      <c r="T7" s="3" t="s">
        <v>62</v>
      </c>
      <c r="U7" s="3" t="s">
        <v>64</v>
      </c>
      <c r="V7" s="3" t="s">
        <v>64</v>
      </c>
      <c r="W7" s="3" t="s">
        <v>279</v>
      </c>
      <c r="X7" t="s">
        <v>261</v>
      </c>
      <c r="Y7" s="3" t="s">
        <v>62</v>
      </c>
      <c r="Z7" s="3" t="s">
        <v>62</v>
      </c>
      <c r="AA7" s="3" t="s">
        <v>262</v>
      </c>
      <c r="AB7" s="3" t="s">
        <v>29</v>
      </c>
      <c r="AC7" t="s">
        <v>182</v>
      </c>
      <c r="AD7" s="3" t="s">
        <v>29</v>
      </c>
      <c r="AE7" s="3" t="s">
        <v>281</v>
      </c>
      <c r="AF7" t="s">
        <v>261</v>
      </c>
      <c r="AG7" s="3" t="s">
        <v>263</v>
      </c>
      <c r="AH7" s="3" t="s">
        <v>29</v>
      </c>
      <c r="AI7" s="3" t="s">
        <v>62</v>
      </c>
      <c r="AJ7" s="3" t="s">
        <v>62</v>
      </c>
      <c r="AK7" t="s">
        <v>182</v>
      </c>
      <c r="AL7" s="3" t="s">
        <v>29</v>
      </c>
      <c r="AM7" s="3" t="s">
        <v>151</v>
      </c>
      <c r="AQ7" s="3" t="s">
        <v>260</v>
      </c>
    </row>
  </sheetData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C31" sqref="C31"/>
    </sheetView>
  </sheetViews>
  <sheetFormatPr defaultRowHeight="14.25"/>
  <sheetData>
    <row r="1" spans="1:11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33</v>
      </c>
      <c r="J1" t="s">
        <v>45</v>
      </c>
      <c r="K1" s="1" t="s">
        <v>17</v>
      </c>
    </row>
    <row r="2" spans="1:11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46</v>
      </c>
      <c r="K2" t="s">
        <v>10</v>
      </c>
    </row>
    <row r="3" spans="1:11">
      <c r="A3" s="2" t="s">
        <v>286</v>
      </c>
      <c r="B3" s="2" t="s">
        <v>287</v>
      </c>
      <c r="C3" s="2" t="s">
        <v>288</v>
      </c>
      <c r="D3" s="2" t="s">
        <v>289</v>
      </c>
      <c r="E3" s="2" t="s">
        <v>290</v>
      </c>
      <c r="F3" s="2" t="s">
        <v>291</v>
      </c>
      <c r="G3" s="2" t="s">
        <v>292</v>
      </c>
      <c r="H3" s="3" t="s">
        <v>293</v>
      </c>
      <c r="I3" s="3" t="s">
        <v>294</v>
      </c>
      <c r="J3" s="3" t="s">
        <v>295</v>
      </c>
      <c r="K3" s="2" t="s">
        <v>296</v>
      </c>
    </row>
    <row r="4" spans="1:11">
      <c r="A4" s="3" t="s">
        <v>297</v>
      </c>
      <c r="B4" s="3" t="s">
        <v>298</v>
      </c>
      <c r="C4" s="3" t="s">
        <v>299</v>
      </c>
      <c r="D4" s="3"/>
      <c r="E4" s="3" t="s">
        <v>300</v>
      </c>
      <c r="F4" s="4">
        <f ca="1">NOW()</f>
        <v>43887.699955324075</v>
      </c>
      <c r="G4" s="3" t="s">
        <v>301</v>
      </c>
      <c r="H4" s="3" t="s">
        <v>300</v>
      </c>
      <c r="I4" t="s">
        <v>302</v>
      </c>
      <c r="J4" t="s">
        <v>303</v>
      </c>
      <c r="K4" s="3" t="s">
        <v>304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"/>
  <sheetViews>
    <sheetView workbookViewId="0">
      <selection activeCell="D29" sqref="D29"/>
    </sheetView>
  </sheetViews>
  <sheetFormatPr defaultRowHeight="14.25"/>
  <cols>
    <col min="11" max="11" width="6.625" customWidth="1"/>
    <col min="19" max="19" width="14.3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305</v>
      </c>
      <c r="J1" t="s">
        <v>306</v>
      </c>
      <c r="K1" t="s">
        <v>307</v>
      </c>
      <c r="L1" t="s">
        <v>45</v>
      </c>
      <c r="M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308</v>
      </c>
      <c r="L2" t="s">
        <v>46</v>
      </c>
      <c r="M2" t="s">
        <v>10</v>
      </c>
    </row>
    <row r="3" spans="1:36">
      <c r="A3" s="2" t="s">
        <v>309</v>
      </c>
      <c r="B3" s="2" t="s">
        <v>310</v>
      </c>
      <c r="C3" s="2" t="s">
        <v>288</v>
      </c>
      <c r="D3" s="2" t="s">
        <v>311</v>
      </c>
      <c r="E3" s="2" t="s">
        <v>312</v>
      </c>
      <c r="F3" s="2" t="s">
        <v>313</v>
      </c>
      <c r="G3" s="2" t="s">
        <v>314</v>
      </c>
      <c r="H3" s="3" t="s">
        <v>315</v>
      </c>
      <c r="I3" s="3" t="s">
        <v>316</v>
      </c>
      <c r="J3" s="3" t="s">
        <v>317</v>
      </c>
      <c r="K3" s="3" t="s">
        <v>318</v>
      </c>
      <c r="L3" s="3" t="s">
        <v>319</v>
      </c>
      <c r="M3" s="2" t="s">
        <v>296</v>
      </c>
    </row>
    <row r="4" spans="1:36">
      <c r="A4" s="3" t="s">
        <v>320</v>
      </c>
      <c r="B4" s="3" t="s">
        <v>321</v>
      </c>
      <c r="C4" s="3" t="s">
        <v>322</v>
      </c>
      <c r="D4" s="3"/>
      <c r="E4" s="3" t="s">
        <v>323</v>
      </c>
      <c r="F4" s="4">
        <f ca="1">NOW()</f>
        <v>43887.699955324075</v>
      </c>
      <c r="G4" s="3" t="s">
        <v>324</v>
      </c>
      <c r="H4" t="s">
        <v>325</v>
      </c>
      <c r="I4" s="3" t="s">
        <v>326</v>
      </c>
      <c r="J4" s="3" t="s">
        <v>327</v>
      </c>
      <c r="K4" s="3" t="s">
        <v>328</v>
      </c>
      <c r="L4" t="s">
        <v>329</v>
      </c>
      <c r="M4" s="3" t="s">
        <v>330</v>
      </c>
    </row>
    <row r="5" spans="1:36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 s="3"/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 s="3"/>
      <c r="B7" s="3"/>
      <c r="C7" s="3"/>
      <c r="D7" s="3"/>
      <c r="E7" s="3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>
      <selection activeCell="P35" sqref="P35"/>
    </sheetView>
  </sheetViews>
  <sheetFormatPr defaultRowHeight="14.25"/>
  <cols>
    <col min="6" max="6" width="17" customWidth="1"/>
    <col min="7" max="7" width="13" customWidth="1"/>
    <col min="21" max="21" width="9.5" bestFit="1" customWidth="1"/>
  </cols>
  <sheetData>
    <row r="1" spans="1:35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45</v>
      </c>
      <c r="O1" t="s">
        <v>336</v>
      </c>
      <c r="P1" t="s">
        <v>337</v>
      </c>
      <c r="Q1" t="s">
        <v>338</v>
      </c>
      <c r="R1" t="s">
        <v>306</v>
      </c>
      <c r="S1" t="s">
        <v>339</v>
      </c>
      <c r="T1" t="s">
        <v>340</v>
      </c>
      <c r="U1" t="s">
        <v>341</v>
      </c>
      <c r="V1" t="s">
        <v>342</v>
      </c>
      <c r="W1" t="s">
        <v>343</v>
      </c>
      <c r="X1" t="s">
        <v>344</v>
      </c>
      <c r="Y1" t="s">
        <v>345</v>
      </c>
      <c r="Z1" t="s">
        <v>346</v>
      </c>
      <c r="AA1" t="s">
        <v>347</v>
      </c>
      <c r="AB1" t="s">
        <v>348</v>
      </c>
      <c r="AC1" t="s">
        <v>349</v>
      </c>
      <c r="AD1" t="s">
        <v>305</v>
      </c>
      <c r="AE1" t="s">
        <v>350</v>
      </c>
      <c r="AF1" t="s">
        <v>351</v>
      </c>
      <c r="AG1" t="s">
        <v>352</v>
      </c>
      <c r="AH1" s="1" t="s">
        <v>17</v>
      </c>
      <c r="AI1" t="s">
        <v>353</v>
      </c>
    </row>
    <row r="2" spans="1:35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354</v>
      </c>
      <c r="L2" t="s">
        <v>13</v>
      </c>
      <c r="M2" t="s">
        <v>39</v>
      </c>
      <c r="N2" t="s">
        <v>46</v>
      </c>
      <c r="O2" t="s">
        <v>97</v>
      </c>
      <c r="P2" t="s">
        <v>355</v>
      </c>
      <c r="Q2" t="s">
        <v>10</v>
      </c>
      <c r="R2" t="s">
        <v>10</v>
      </c>
      <c r="S2" t="s">
        <v>10</v>
      </c>
      <c r="T2" t="s">
        <v>13</v>
      </c>
      <c r="U2" t="s">
        <v>97</v>
      </c>
      <c r="V2" t="s">
        <v>10</v>
      </c>
      <c r="W2" t="s">
        <v>50</v>
      </c>
      <c r="X2" t="s">
        <v>13</v>
      </c>
      <c r="Y2" t="s">
        <v>97</v>
      </c>
      <c r="Z2" t="s">
        <v>97</v>
      </c>
      <c r="AA2" t="s">
        <v>10</v>
      </c>
      <c r="AB2" t="s">
        <v>355</v>
      </c>
      <c r="AC2" t="s">
        <v>355</v>
      </c>
      <c r="AD2" t="s">
        <v>10</v>
      </c>
      <c r="AE2" t="s">
        <v>50</v>
      </c>
      <c r="AF2" t="s">
        <v>41</v>
      </c>
      <c r="AG2" t="s">
        <v>41</v>
      </c>
      <c r="AH2" t="s">
        <v>10</v>
      </c>
      <c r="AI2" t="s">
        <v>356</v>
      </c>
    </row>
    <row r="3" spans="1:35">
      <c r="A3" s="2" t="s">
        <v>309</v>
      </c>
      <c r="B3" s="2" t="s">
        <v>310</v>
      </c>
      <c r="C3" s="2" t="s">
        <v>288</v>
      </c>
      <c r="D3" s="2" t="s">
        <v>311</v>
      </c>
      <c r="E3" s="2" t="s">
        <v>312</v>
      </c>
      <c r="F3" s="2" t="s">
        <v>313</v>
      </c>
      <c r="G3" s="2" t="s">
        <v>314</v>
      </c>
      <c r="H3" s="3" t="s">
        <v>357</v>
      </c>
      <c r="I3" s="3" t="s">
        <v>358</v>
      </c>
      <c r="J3" s="3" t="s">
        <v>359</v>
      </c>
      <c r="K3" s="3" t="s">
        <v>360</v>
      </c>
      <c r="L3" s="3" t="s">
        <v>361</v>
      </c>
      <c r="M3" s="3" t="s">
        <v>362</v>
      </c>
      <c r="N3" s="3" t="s">
        <v>363</v>
      </c>
      <c r="O3" s="3" t="s">
        <v>364</v>
      </c>
      <c r="P3" s="3" t="s">
        <v>365</v>
      </c>
      <c r="Q3" s="3" t="s">
        <v>366</v>
      </c>
      <c r="R3" s="3" t="s">
        <v>367</v>
      </c>
      <c r="S3" s="3" t="s">
        <v>368</v>
      </c>
      <c r="T3" s="3" t="s">
        <v>369</v>
      </c>
      <c r="U3" s="3" t="s">
        <v>370</v>
      </c>
      <c r="V3" s="3" t="s">
        <v>371</v>
      </c>
      <c r="W3" s="3" t="s">
        <v>372</v>
      </c>
      <c r="X3" s="3" t="s">
        <v>373</v>
      </c>
      <c r="Y3" s="3" t="s">
        <v>374</v>
      </c>
      <c r="Z3" s="3" t="s">
        <v>375</v>
      </c>
      <c r="AA3" s="3" t="s">
        <v>376</v>
      </c>
      <c r="AB3" s="3" t="s">
        <v>377</v>
      </c>
      <c r="AC3" s="3" t="s">
        <v>378</v>
      </c>
      <c r="AD3" s="3" t="s">
        <v>379</v>
      </c>
      <c r="AE3" s="3" t="s">
        <v>380</v>
      </c>
      <c r="AF3" s="3" t="s">
        <v>381</v>
      </c>
      <c r="AG3" s="3" t="s">
        <v>382</v>
      </c>
      <c r="AH3" s="2" t="s">
        <v>296</v>
      </c>
      <c r="AI3" s="7" t="s">
        <v>383</v>
      </c>
    </row>
    <row r="4" spans="1:35">
      <c r="A4" s="3" t="s">
        <v>320</v>
      </c>
      <c r="B4" s="3" t="s">
        <v>321</v>
      </c>
      <c r="C4" s="3" t="s">
        <v>384</v>
      </c>
      <c r="D4" s="3"/>
      <c r="E4" s="3" t="s">
        <v>385</v>
      </c>
      <c r="F4" s="4">
        <f ca="1">NOW()</f>
        <v>43887.699955324075</v>
      </c>
      <c r="G4" s="3" t="s">
        <v>386</v>
      </c>
      <c r="H4" s="3" t="s">
        <v>325</v>
      </c>
      <c r="I4" s="3" t="s">
        <v>328</v>
      </c>
      <c r="J4" s="3" t="s">
        <v>387</v>
      </c>
      <c r="K4" s="3" t="s">
        <v>388</v>
      </c>
      <c r="L4" s="3" t="s">
        <v>328</v>
      </c>
      <c r="M4" s="3" t="s">
        <v>389</v>
      </c>
      <c r="N4" s="3" t="s">
        <v>329</v>
      </c>
      <c r="O4" s="3" t="s">
        <v>390</v>
      </c>
      <c r="P4" s="3" t="s">
        <v>391</v>
      </c>
      <c r="Q4" t="s">
        <v>392</v>
      </c>
      <c r="R4" t="s">
        <v>393</v>
      </c>
      <c r="S4" t="s">
        <v>329</v>
      </c>
      <c r="T4" s="3" t="s">
        <v>394</v>
      </c>
      <c r="U4" s="3" t="s">
        <v>395</v>
      </c>
      <c r="V4" s="3" t="s">
        <v>394</v>
      </c>
      <c r="W4" s="3" t="s">
        <v>396</v>
      </c>
      <c r="X4" s="3" t="s">
        <v>397</v>
      </c>
      <c r="Y4" s="3" t="s">
        <v>395</v>
      </c>
      <c r="Z4" s="3" t="s">
        <v>395</v>
      </c>
      <c r="AA4" s="3" t="s">
        <v>398</v>
      </c>
      <c r="AB4" s="3" t="s">
        <v>398</v>
      </c>
      <c r="AC4" s="3" t="s">
        <v>398</v>
      </c>
      <c r="AD4" t="s">
        <v>399</v>
      </c>
      <c r="AE4" s="3" t="s">
        <v>400</v>
      </c>
      <c r="AF4" s="3" t="s">
        <v>401</v>
      </c>
      <c r="AG4" s="3" t="s">
        <v>398</v>
      </c>
      <c r="AH4" s="3" t="s">
        <v>330</v>
      </c>
      <c r="AI4" s="3" t="s">
        <v>402</v>
      </c>
    </row>
    <row r="5" spans="1:35">
      <c r="J5" s="3"/>
      <c r="N5" s="3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P8" sqref="P8"/>
    </sheetView>
  </sheetViews>
  <sheetFormatPr defaultRowHeight="14.25"/>
  <sheetData>
    <row r="1" spans="1:1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99</v>
      </c>
      <c r="I1" t="s">
        <v>32</v>
      </c>
      <c r="J1" t="s">
        <v>266</v>
      </c>
      <c r="K1" t="s">
        <v>203</v>
      </c>
      <c r="L1" t="s">
        <v>267</v>
      </c>
      <c r="M1" t="s">
        <v>209</v>
      </c>
      <c r="N1" t="s">
        <v>33</v>
      </c>
      <c r="O1" t="s">
        <v>45</v>
      </c>
      <c r="P1" t="s">
        <v>15</v>
      </c>
      <c r="Q1" t="s">
        <v>16</v>
      </c>
    </row>
    <row r="2" spans="1:1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13</v>
      </c>
      <c r="L2" t="s">
        <v>13</v>
      </c>
      <c r="M2" t="s">
        <v>13</v>
      </c>
      <c r="N2" t="s">
        <v>10</v>
      </c>
      <c r="O2" t="s">
        <v>46</v>
      </c>
      <c r="P2" t="s">
        <v>13</v>
      </c>
      <c r="Q2" t="s">
        <v>13</v>
      </c>
    </row>
    <row r="3" spans="1:1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111</v>
      </c>
      <c r="I3" s="3" t="s">
        <v>29</v>
      </c>
      <c r="J3" s="3" t="s">
        <v>276</v>
      </c>
      <c r="K3" s="3" t="s">
        <v>275</v>
      </c>
      <c r="L3" s="3" t="s">
        <v>274</v>
      </c>
      <c r="M3" s="3" t="s">
        <v>273</v>
      </c>
      <c r="N3" s="3" t="s">
        <v>269</v>
      </c>
      <c r="O3" s="3" t="s">
        <v>270</v>
      </c>
      <c r="P3" s="3" t="s">
        <v>271</v>
      </c>
      <c r="Q3" s="3" t="s">
        <v>272</v>
      </c>
    </row>
    <row r="4" spans="1:17">
      <c r="A4" s="3" t="s">
        <v>26</v>
      </c>
      <c r="B4" s="3" t="s">
        <v>27</v>
      </c>
      <c r="C4" s="3" t="s">
        <v>277</v>
      </c>
      <c r="D4" s="3"/>
      <c r="E4" s="3" t="s">
        <v>28</v>
      </c>
      <c r="F4" s="4">
        <f ca="1">NOW()</f>
        <v>43887.699955324075</v>
      </c>
      <c r="G4" s="3" t="s">
        <v>31</v>
      </c>
      <c r="H4" s="3" t="s">
        <v>246</v>
      </c>
      <c r="I4" s="3" t="s">
        <v>31</v>
      </c>
      <c r="J4" s="3" t="s">
        <v>29</v>
      </c>
      <c r="K4" s="3" t="s">
        <v>29</v>
      </c>
      <c r="L4" s="3" t="s">
        <v>256</v>
      </c>
      <c r="M4" s="3" t="s">
        <v>278</v>
      </c>
      <c r="N4" t="s">
        <v>261</v>
      </c>
      <c r="O4" t="s">
        <v>268</v>
      </c>
      <c r="P4" s="3" t="s">
        <v>62</v>
      </c>
      <c r="Q4" s="3" t="s">
        <v>62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T30" sqref="T30"/>
    </sheetView>
  </sheetViews>
  <sheetFormatPr defaultRowHeight="14.25"/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99</v>
      </c>
      <c r="I1" t="s">
        <v>186</v>
      </c>
      <c r="J1" t="s">
        <v>187</v>
      </c>
      <c r="K1" t="s">
        <v>188</v>
      </c>
      <c r="L1" t="s">
        <v>135</v>
      </c>
      <c r="M1" s="1" t="s">
        <v>17</v>
      </c>
      <c r="N1" t="s">
        <v>403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404</v>
      </c>
    </row>
    <row r="3" spans="1:14">
      <c r="A3" s="2" t="s">
        <v>405</v>
      </c>
      <c r="B3" s="2" t="s">
        <v>406</v>
      </c>
      <c r="C3" s="2" t="s">
        <v>288</v>
      </c>
      <c r="D3" s="2" t="s">
        <v>311</v>
      </c>
      <c r="E3" s="2" t="s">
        <v>312</v>
      </c>
      <c r="F3" s="2" t="s">
        <v>313</v>
      </c>
      <c r="G3" s="2" t="s">
        <v>314</v>
      </c>
      <c r="H3" s="2" t="s">
        <v>407</v>
      </c>
      <c r="I3" s="2" t="s">
        <v>408</v>
      </c>
      <c r="J3" s="3" t="s">
        <v>409</v>
      </c>
      <c r="K3" s="2" t="s">
        <v>410</v>
      </c>
      <c r="L3" s="3" t="s">
        <v>411</v>
      </c>
      <c r="M3" s="2" t="s">
        <v>296</v>
      </c>
      <c r="N3" s="7" t="s">
        <v>383</v>
      </c>
    </row>
    <row r="4" spans="1:14">
      <c r="A4" s="3" t="s">
        <v>320</v>
      </c>
      <c r="B4" s="3" t="s">
        <v>321</v>
      </c>
      <c r="C4" s="3" t="s">
        <v>412</v>
      </c>
      <c r="D4" s="3" t="s">
        <v>413</v>
      </c>
      <c r="E4" s="3" t="s">
        <v>385</v>
      </c>
      <c r="F4" s="4">
        <f t="shared" ref="F4" ca="1" si="0">NOW()</f>
        <v>43887.699955324075</v>
      </c>
      <c r="G4" s="3" t="s">
        <v>414</v>
      </c>
      <c r="H4" s="3" t="s">
        <v>413</v>
      </c>
      <c r="I4" s="3" t="s">
        <v>415</v>
      </c>
      <c r="J4" t="s">
        <v>416</v>
      </c>
      <c r="K4" s="3" t="s">
        <v>413</v>
      </c>
      <c r="M4" s="3" t="s">
        <v>330</v>
      </c>
      <c r="N4" s="3" t="s">
        <v>417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Z1" workbookViewId="0">
      <selection activeCell="AQ29" sqref="AQ29"/>
    </sheetView>
  </sheetViews>
  <sheetFormatPr defaultRowHeight="14.25"/>
  <cols>
    <col min="6" max="6" width="15.5" customWidth="1"/>
  </cols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99</v>
      </c>
      <c r="I1" t="s">
        <v>186</v>
      </c>
      <c r="J1" t="s">
        <v>187</v>
      </c>
      <c r="K1" t="s">
        <v>192</v>
      </c>
      <c r="L1" t="s">
        <v>135</v>
      </c>
      <c r="M1" s="1" t="s">
        <v>17</v>
      </c>
      <c r="N1" t="s">
        <v>142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143</v>
      </c>
    </row>
    <row r="3" spans="1:14">
      <c r="A3" s="2" t="s">
        <v>144</v>
      </c>
      <c r="B3" s="2" t="s">
        <v>145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189</v>
      </c>
      <c r="J3" s="3" t="s">
        <v>190</v>
      </c>
      <c r="K3" s="2" t="s">
        <v>193</v>
      </c>
      <c r="L3" s="3" t="s">
        <v>160</v>
      </c>
      <c r="M3" s="2" t="s">
        <v>118</v>
      </c>
      <c r="N3" s="7" t="s">
        <v>119</v>
      </c>
    </row>
    <row r="4" spans="1:14">
      <c r="A4" s="3" t="s">
        <v>120</v>
      </c>
      <c r="B4" s="3" t="s">
        <v>121</v>
      </c>
      <c r="C4" s="3" t="s">
        <v>194</v>
      </c>
      <c r="D4" s="3" t="s">
        <v>146</v>
      </c>
      <c r="E4" s="3" t="s">
        <v>123</v>
      </c>
      <c r="F4" s="4">
        <f t="shared" ref="F4" ca="1" si="0">NOW()</f>
        <v>43887.699955324075</v>
      </c>
      <c r="G4" s="3" t="s">
        <v>177</v>
      </c>
      <c r="H4" s="3" t="s">
        <v>146</v>
      </c>
      <c r="I4" s="3" t="s">
        <v>178</v>
      </c>
      <c r="J4" t="s">
        <v>181</v>
      </c>
      <c r="K4" s="3" t="s">
        <v>146</v>
      </c>
      <c r="M4" s="3" t="s">
        <v>129</v>
      </c>
      <c r="N4" s="3" t="s">
        <v>195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I35" sqref="I35"/>
    </sheetView>
  </sheetViews>
  <sheetFormatPr defaultRowHeight="14.25"/>
  <cols>
    <col min="6" max="6" width="16.5" bestFit="1" customWidth="1"/>
  </cols>
  <sheetData>
    <row r="1" spans="1:1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15</v>
      </c>
      <c r="N1" t="s">
        <v>16</v>
      </c>
      <c r="O1" s="1" t="s">
        <v>17</v>
      </c>
      <c r="P1" t="s">
        <v>104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105</v>
      </c>
    </row>
    <row r="3" spans="1:16" s="7" customFormat="1">
      <c r="A3" s="2" t="s">
        <v>18</v>
      </c>
      <c r="B3" s="2" t="s">
        <v>19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  <c r="M3" s="2" t="s">
        <v>116</v>
      </c>
      <c r="N3" s="2" t="s">
        <v>117</v>
      </c>
      <c r="O3" s="2" t="s">
        <v>118</v>
      </c>
      <c r="P3" s="7" t="s">
        <v>119</v>
      </c>
    </row>
    <row r="4" spans="1:16">
      <c r="A4" s="3" t="s">
        <v>120</v>
      </c>
      <c r="B4" s="3" t="s">
        <v>121</v>
      </c>
      <c r="C4" s="3" t="s">
        <v>122</v>
      </c>
      <c r="D4" s="3" t="s">
        <v>29</v>
      </c>
      <c r="E4" s="3" t="s">
        <v>123</v>
      </c>
      <c r="F4" s="4">
        <f ca="1">NOW()</f>
        <v>43887.699955324075</v>
      </c>
      <c r="G4" s="3" t="s">
        <v>425</v>
      </c>
      <c r="H4" s="3" t="s">
        <v>29</v>
      </c>
      <c r="I4" s="3" t="s">
        <v>124</v>
      </c>
      <c r="J4" s="3" t="s">
        <v>62</v>
      </c>
      <c r="K4" s="3" t="s">
        <v>125</v>
      </c>
      <c r="L4" t="s">
        <v>126</v>
      </c>
      <c r="M4" s="3" t="s">
        <v>127</v>
      </c>
      <c r="N4" s="3" t="s">
        <v>128</v>
      </c>
      <c r="O4" s="3" t="s">
        <v>129</v>
      </c>
      <c r="P4" s="3" t="s">
        <v>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req</vt:lpstr>
      <vt:lpstr>rtn</vt:lpstr>
      <vt:lpstr>casedescription</vt:lpstr>
      <vt:lpstr>NewOrderSingleConditional</vt:lpstr>
      <vt:lpstr>ExecutionReportConditionalOrder</vt:lpstr>
      <vt:lpstr>MassQuote</vt:lpstr>
      <vt:lpstr>MassQuoteAcknowledgement</vt:lpstr>
      <vt:lpstr>OrderStatusRequest</vt:lpstr>
      <vt:lpstr>SecurityDefinitionRequest</vt:lpstr>
      <vt:lpstr>SecurityDefinition</vt:lpstr>
      <vt:lpstr>QuoteCancel</vt:lpstr>
      <vt:lpstr>Reject</vt:lpstr>
      <vt:lpstr>BusinessMessageReject</vt:lpstr>
      <vt:lpstr>OnRspUserLogin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2020-02-26T08:47:59Z</dcterms:modified>
</cp:coreProperties>
</file>