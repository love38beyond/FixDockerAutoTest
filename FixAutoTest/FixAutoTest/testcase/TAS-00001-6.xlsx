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F:\Work\2019\FIX\FixAutoTest\testcase\"/>
    </mc:Choice>
  </mc:AlternateContent>
  <bookViews>
    <workbookView xWindow="37695" yWindow="0" windowWidth="22260" windowHeight="12645" tabRatio="888" activeTab="6"/>
  </bookViews>
  <sheets>
    <sheet name="req" sheetId="4" r:id="rId1"/>
    <sheet name="rtn" sheetId="6" r:id="rId2"/>
    <sheet name="流程" sheetId="22" r:id="rId3"/>
    <sheet name="NewOrderSingle" sheetId="2" r:id="rId4"/>
    <sheet name="OrderCancelRequest" sheetId="3" r:id="rId5"/>
    <sheet name="OrderCancelReplaceRequest" sheetId="5" r:id="rId6"/>
    <sheet name="ExecutionReport" sheetId="10" r:id="rId7"/>
    <sheet name="OrderCancelReject" sheetId="26" r:id="rId8"/>
    <sheet name="MassQuote" sheetId="14" state="hidden" r:id="rId9"/>
    <sheet name="MassQuoteAcknowledgement" sheetId="16" state="hidden" r:id="rId10"/>
    <sheet name="OrderStatusRequest" sheetId="18" state="hidden" r:id="rId11"/>
    <sheet name="SecurityDefinitionRequest" sheetId="19" state="hidden" r:id="rId12"/>
    <sheet name="SecurityDefinition" sheetId="20" state="hidden" r:id="rId13"/>
    <sheet name="QuoteCancel" sheetId="17" state="hidden" r:id="rId14"/>
    <sheet name="Reject" sheetId="21" r:id="rId15"/>
    <sheet name="OnRspUserLogin" sheetId="8" r:id="rId16"/>
    <sheet name="BusinessMessageReject" sheetId="23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3" l="1"/>
  <c r="F9" i="3"/>
  <c r="F8" i="3"/>
  <c r="F7" i="3"/>
  <c r="F6" i="3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D38" i="6"/>
  <c r="B38" i="6"/>
  <c r="D37" i="6"/>
  <c r="B37" i="6"/>
  <c r="D36" i="6"/>
  <c r="B36" i="6"/>
  <c r="D35" i="6"/>
  <c r="B35" i="6"/>
  <c r="D34" i="6"/>
  <c r="B34" i="6"/>
  <c r="D33" i="6"/>
  <c r="B33" i="6"/>
  <c r="D32" i="6"/>
  <c r="B32" i="6"/>
  <c r="D31" i="6"/>
  <c r="B31" i="6"/>
  <c r="D30" i="6"/>
  <c r="B30" i="6"/>
  <c r="D29" i="6"/>
  <c r="B29" i="6"/>
  <c r="D28" i="6"/>
  <c r="B28" i="6"/>
  <c r="D27" i="6"/>
  <c r="B27" i="6"/>
  <c r="D26" i="6"/>
  <c r="B26" i="6"/>
  <c r="D25" i="6"/>
  <c r="B25" i="6"/>
  <c r="D24" i="6"/>
  <c r="B24" i="6"/>
  <c r="D12" i="4"/>
  <c r="B12" i="4"/>
  <c r="D11" i="4"/>
  <c r="B11" i="4"/>
  <c r="D10" i="4"/>
  <c r="B10" i="4"/>
  <c r="D9" i="4"/>
  <c r="B9" i="4"/>
  <c r="D8" i="4"/>
  <c r="B8" i="4"/>
  <c r="F20" i="2"/>
  <c r="F19" i="2"/>
  <c r="F10" i="21"/>
  <c r="F9" i="21"/>
  <c r="F8" i="21"/>
  <c r="F7" i="21"/>
  <c r="F6" i="21"/>
  <c r="F5" i="21"/>
  <c r="F18" i="2"/>
  <c r="F17" i="2"/>
  <c r="F16" i="2"/>
  <c r="F15" i="2"/>
  <c r="F14" i="2"/>
  <c r="F13" i="2"/>
  <c r="F4" i="26"/>
  <c r="F12" i="2"/>
  <c r="F11" i="2"/>
  <c r="F10" i="2"/>
  <c r="F9" i="2"/>
  <c r="F5" i="23"/>
  <c r="F23" i="10"/>
  <c r="F22" i="10"/>
  <c r="F21" i="10"/>
  <c r="F20" i="10"/>
  <c r="F19" i="10"/>
  <c r="F18" i="10"/>
  <c r="D18" i="6"/>
  <c r="B18" i="6"/>
  <c r="D19" i="6"/>
  <c r="B19" i="6"/>
  <c r="D20" i="6"/>
  <c r="B20" i="6"/>
  <c r="D21" i="6"/>
  <c r="B21" i="6"/>
  <c r="D22" i="6"/>
  <c r="B22" i="6"/>
  <c r="D23" i="6"/>
  <c r="B23" i="6"/>
  <c r="F17" i="10"/>
  <c r="F16" i="10"/>
  <c r="F15" i="10"/>
  <c r="F14" i="10"/>
  <c r="F13" i="10"/>
  <c r="D16" i="6"/>
  <c r="B16" i="6"/>
  <c r="D17" i="6"/>
  <c r="B17" i="6"/>
  <c r="F12" i="10"/>
  <c r="F11" i="10"/>
  <c r="F10" i="10"/>
  <c r="F9" i="10"/>
  <c r="F6" i="10"/>
  <c r="F8" i="10"/>
  <c r="F5" i="10"/>
  <c r="F4" i="23"/>
  <c r="D7" i="4"/>
  <c r="B7" i="4"/>
  <c r="F7" i="2"/>
  <c r="F6" i="2"/>
  <c r="F8" i="2"/>
  <c r="D6" i="4"/>
  <c r="B6" i="4"/>
  <c r="D5" i="4"/>
  <c r="B5" i="4"/>
  <c r="F4" i="21"/>
  <c r="F4" i="20"/>
  <c r="F4" i="19"/>
  <c r="F4" i="18"/>
  <c r="D12" i="6"/>
  <c r="B12" i="6"/>
  <c r="D10" i="6"/>
  <c r="B10" i="6"/>
  <c r="F7" i="16"/>
  <c r="F6" i="16"/>
  <c r="F4" i="17"/>
  <c r="F5" i="16"/>
  <c r="F4" i="16"/>
  <c r="F4" i="14"/>
  <c r="F7" i="10"/>
  <c r="F4" i="10"/>
  <c r="D14" i="6"/>
  <c r="B14" i="6"/>
  <c r="D15" i="6"/>
  <c r="B15" i="6"/>
  <c r="D11" i="6"/>
  <c r="B11" i="6"/>
  <c r="D13" i="6"/>
  <c r="B13" i="6"/>
  <c r="D4" i="4"/>
  <c r="B4" i="4"/>
  <c r="D3" i="6"/>
  <c r="B3" i="6"/>
  <c r="D4" i="6"/>
  <c r="B4" i="6"/>
  <c r="D5" i="6"/>
  <c r="B5" i="6"/>
  <c r="D6" i="6"/>
  <c r="B6" i="6"/>
  <c r="D7" i="6"/>
  <c r="B7" i="6"/>
  <c r="D8" i="6"/>
  <c r="B8" i="6"/>
  <c r="D9" i="6"/>
  <c r="B9" i="6"/>
  <c r="D2" i="6"/>
  <c r="B2" i="6"/>
  <c r="D2" i="4"/>
  <c r="D3" i="4"/>
  <c r="B3" i="4"/>
  <c r="F4" i="8"/>
  <c r="F4" i="5"/>
  <c r="F5" i="3"/>
  <c r="F4" i="3"/>
  <c r="F5" i="2"/>
  <c r="F4" i="2"/>
  <c r="B2" i="4"/>
</calcChain>
</file>

<file path=xl/comments1.xml><?xml version="1.0" encoding="utf-8"?>
<comments xmlns="http://schemas.openxmlformats.org/spreadsheetml/2006/main">
  <authors>
    <author>作者</author>
  </authors>
  <commentList>
    <comment ref="AD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AE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N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O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Q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R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AC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python字典key值重复时默认取最后一次的值，现在消息里面会有两个77和20001，所以判断后面的77和20001</t>
        </r>
      </text>
    </comment>
  </commentList>
</comments>
</file>

<file path=xl/sharedStrings.xml><?xml version="1.0" encoding="utf-8"?>
<sst xmlns="http://schemas.openxmlformats.org/spreadsheetml/2006/main" count="3353" uniqueCount="696">
  <si>
    <t>BeginString</t>
  </si>
  <si>
    <t xml:space="preserve">String </t>
  </si>
  <si>
    <t>BodyLength</t>
  </si>
  <si>
    <t>Length</t>
  </si>
  <si>
    <t>MsgType</t>
  </si>
  <si>
    <t>SenderCompID</t>
  </si>
  <si>
    <t>TargetCompID</t>
  </si>
  <si>
    <t>MsgSeqNum</t>
  </si>
  <si>
    <t xml:space="preserve">Int </t>
  </si>
  <si>
    <t>Int</t>
  </si>
  <si>
    <t>String</t>
  </si>
  <si>
    <t>SendingTime</t>
  </si>
  <si>
    <t>UTCTimestamp</t>
  </si>
  <si>
    <t>int</t>
  </si>
  <si>
    <t>Boolean</t>
  </si>
  <si>
    <t>FrontID</t>
  </si>
  <si>
    <t>SessionID</t>
  </si>
  <si>
    <t>CheckSum</t>
  </si>
  <si>
    <t>8</t>
    <phoneticPr fontId="2" type="noConversion"/>
  </si>
  <si>
    <t>9</t>
    <phoneticPr fontId="2" type="noConversion"/>
  </si>
  <si>
    <t>35</t>
    <phoneticPr fontId="2" type="noConversion"/>
  </si>
  <si>
    <t>49</t>
    <phoneticPr fontId="2" type="noConversion"/>
  </si>
  <si>
    <t>56</t>
    <phoneticPr fontId="2" type="noConversion"/>
  </si>
  <si>
    <t>34</t>
    <phoneticPr fontId="2" type="noConversion"/>
  </si>
  <si>
    <t>52</t>
    <phoneticPr fontId="2" type="noConversion"/>
  </si>
  <si>
    <t>10</t>
    <phoneticPr fontId="2" type="noConversion"/>
  </si>
  <si>
    <t>FIX.4.2</t>
    <phoneticPr fontId="2" type="noConversion"/>
  </si>
  <si>
    <t>111</t>
    <phoneticPr fontId="2" type="noConversion"/>
  </si>
  <si>
    <t>4444</t>
    <phoneticPr fontId="2" type="noConversion"/>
  </si>
  <si>
    <t>1</t>
    <phoneticPr fontId="2" type="noConversion"/>
  </si>
  <si>
    <t>135</t>
    <phoneticPr fontId="2" type="noConversion"/>
  </si>
  <si>
    <t>00001</t>
    <phoneticPr fontId="2" type="noConversion"/>
  </si>
  <si>
    <t>Account</t>
  </si>
  <si>
    <t>Symbol</t>
  </si>
  <si>
    <t>ClOrdID</t>
  </si>
  <si>
    <t>OrdType</t>
  </si>
  <si>
    <t>char</t>
  </si>
  <si>
    <t>Side</t>
  </si>
  <si>
    <t>OpenClose</t>
  </si>
  <si>
    <t>Price</t>
  </si>
  <si>
    <t>OrderQty</t>
  </si>
  <si>
    <t>Qty</t>
  </si>
  <si>
    <t>TimeInForce</t>
  </si>
  <si>
    <t>MinQty</t>
  </si>
  <si>
    <t>StopPx</t>
  </si>
  <si>
    <t>SecurityExchange</t>
  </si>
  <si>
    <t>Exchange</t>
  </si>
  <si>
    <t xml:space="preserve">UTCTimestamp </t>
  </si>
  <si>
    <t>TransactTime</t>
  </si>
  <si>
    <t>NoPartyIDs</t>
  </si>
  <si>
    <t>NumInGroup</t>
  </si>
  <si>
    <t>PartyID</t>
  </si>
  <si>
    <t>PartyRole</t>
  </si>
  <si>
    <t>IsSwapOrder</t>
  </si>
  <si>
    <t>ExecTransType</t>
  </si>
  <si>
    <t>AvgPx</t>
  </si>
  <si>
    <t>HedgeFlag</t>
  </si>
  <si>
    <t>Char</t>
  </si>
  <si>
    <t>ContingentCondition</t>
  </si>
  <si>
    <t>1</t>
    <phoneticPr fontId="2" type="noConversion"/>
  </si>
  <si>
    <t>O</t>
    <phoneticPr fontId="2" type="noConversion"/>
  </si>
  <si>
    <t>SHFE</t>
    <phoneticPr fontId="2" type="noConversion"/>
  </si>
  <si>
    <t>0</t>
    <phoneticPr fontId="2" type="noConversion"/>
  </si>
  <si>
    <t>1</t>
    <phoneticPr fontId="2" type="noConversion"/>
  </si>
  <si>
    <t>2</t>
    <phoneticPr fontId="2" type="noConversion"/>
  </si>
  <si>
    <t>1</t>
    <phoneticPr fontId="2" type="noConversion"/>
  </si>
  <si>
    <t>SheetName</t>
    <phoneticPr fontId="2" type="noConversion"/>
  </si>
  <si>
    <t>RowNum</t>
    <phoneticPr fontId="2" type="noConversion"/>
  </si>
  <si>
    <t>CaseNo</t>
    <phoneticPr fontId="2" type="noConversion"/>
  </si>
  <si>
    <t>6</t>
    <phoneticPr fontId="2" type="noConversion"/>
  </si>
  <si>
    <t>11</t>
    <phoneticPr fontId="2" type="noConversion"/>
  </si>
  <si>
    <t>20</t>
    <phoneticPr fontId="2" type="noConversion"/>
  </si>
  <si>
    <t>38</t>
    <phoneticPr fontId="2" type="noConversion"/>
  </si>
  <si>
    <t>40</t>
    <phoneticPr fontId="2" type="noConversion"/>
  </si>
  <si>
    <t>44</t>
    <phoneticPr fontId="2" type="noConversion"/>
  </si>
  <si>
    <t>54</t>
    <phoneticPr fontId="2" type="noConversion"/>
  </si>
  <si>
    <t>55</t>
    <phoneticPr fontId="2" type="noConversion"/>
  </si>
  <si>
    <t>59</t>
    <phoneticPr fontId="2" type="noConversion"/>
  </si>
  <si>
    <t>60</t>
    <phoneticPr fontId="2" type="noConversion"/>
  </si>
  <si>
    <t>77</t>
    <phoneticPr fontId="2" type="noConversion"/>
  </si>
  <si>
    <t>99</t>
    <phoneticPr fontId="2" type="noConversion"/>
  </si>
  <si>
    <t>110</t>
    <phoneticPr fontId="2" type="noConversion"/>
  </si>
  <si>
    <t>207</t>
    <phoneticPr fontId="2" type="noConversion"/>
  </si>
  <si>
    <t>453</t>
    <phoneticPr fontId="2" type="noConversion"/>
  </si>
  <si>
    <t>20001</t>
    <phoneticPr fontId="2" type="noConversion"/>
  </si>
  <si>
    <t>20002</t>
    <phoneticPr fontId="2" type="noConversion"/>
  </si>
  <si>
    <t>20006</t>
    <phoneticPr fontId="2" type="noConversion"/>
  </si>
  <si>
    <t>D</t>
    <phoneticPr fontId="2" type="noConversion"/>
  </si>
  <si>
    <t>D</t>
    <phoneticPr fontId="2" type="noConversion"/>
  </si>
  <si>
    <t>1</t>
    <phoneticPr fontId="2" type="noConversion"/>
  </si>
  <si>
    <t>2</t>
    <phoneticPr fontId="2" type="noConversion"/>
  </si>
  <si>
    <t>HandlInst</t>
  </si>
  <si>
    <t>21</t>
    <phoneticPr fontId="2" type="noConversion"/>
  </si>
  <si>
    <t>3</t>
    <phoneticPr fontId="2" type="noConversion"/>
  </si>
  <si>
    <t>0</t>
    <phoneticPr fontId="2" type="noConversion"/>
  </si>
  <si>
    <t>OrigClOrdID</t>
  </si>
  <si>
    <t>OrderID</t>
  </si>
  <si>
    <t>F</t>
    <phoneticPr fontId="2" type="noConversion"/>
  </si>
  <si>
    <t>1</t>
    <phoneticPr fontId="2" type="noConversion"/>
  </si>
  <si>
    <t>0</t>
    <phoneticPr fontId="2" type="noConversion"/>
  </si>
  <si>
    <t>1</t>
    <phoneticPr fontId="2" type="noConversion"/>
  </si>
  <si>
    <t>11</t>
    <phoneticPr fontId="2" type="noConversion"/>
  </si>
  <si>
    <t>37</t>
    <phoneticPr fontId="2" type="noConversion"/>
  </si>
  <si>
    <t>38</t>
    <phoneticPr fontId="2" type="noConversion"/>
  </si>
  <si>
    <t>41</t>
    <phoneticPr fontId="2" type="noConversion"/>
  </si>
  <si>
    <t>54</t>
    <phoneticPr fontId="2" type="noConversion"/>
  </si>
  <si>
    <t>55</t>
    <phoneticPr fontId="2" type="noConversion"/>
  </si>
  <si>
    <t>60</t>
    <phoneticPr fontId="2" type="noConversion"/>
  </si>
  <si>
    <t>207</t>
    <phoneticPr fontId="2" type="noConversion"/>
  </si>
  <si>
    <t>20004</t>
    <phoneticPr fontId="2" type="noConversion"/>
  </si>
  <si>
    <t>20005</t>
    <phoneticPr fontId="2" type="noConversion"/>
  </si>
  <si>
    <t xml:space="preserve">          14</t>
    <phoneticPr fontId="2" type="noConversion"/>
  </si>
  <si>
    <t xml:space="preserve">          15</t>
    <phoneticPr fontId="2" type="noConversion"/>
  </si>
  <si>
    <t>G</t>
    <phoneticPr fontId="2" type="noConversion"/>
  </si>
  <si>
    <t>452</t>
    <phoneticPr fontId="2" type="noConversion"/>
  </si>
  <si>
    <t>448</t>
    <phoneticPr fontId="2" type="noConversion"/>
  </si>
  <si>
    <t>ExpireDate</t>
  </si>
  <si>
    <t>LocalMktDate</t>
  </si>
  <si>
    <t>65000</t>
    <phoneticPr fontId="2" type="noConversion"/>
  </si>
  <si>
    <t>2</t>
    <phoneticPr fontId="2" type="noConversion"/>
  </si>
  <si>
    <t xml:space="preserve">          18</t>
    <phoneticPr fontId="2" type="noConversion"/>
  </si>
  <si>
    <t>TargetSubID</t>
  </si>
  <si>
    <t>OnBehalfOfSubID</t>
  </si>
  <si>
    <t>EncryptMethod</t>
    <phoneticPr fontId="2" type="noConversion"/>
  </si>
  <si>
    <t>HeartBtInt</t>
  </si>
  <si>
    <t>ResetSeqNumFlag</t>
  </si>
  <si>
    <t>keylist</t>
    <phoneticPr fontId="2" type="noConversion"/>
  </si>
  <si>
    <t>String</t>
    <phoneticPr fontId="2" type="noConversion"/>
  </si>
  <si>
    <t>35</t>
    <phoneticPr fontId="2" type="noConversion"/>
  </si>
  <si>
    <t>34</t>
    <phoneticPr fontId="2" type="noConversion"/>
  </si>
  <si>
    <t>49</t>
    <phoneticPr fontId="2" type="noConversion"/>
  </si>
  <si>
    <t>52</t>
    <phoneticPr fontId="2" type="noConversion"/>
  </si>
  <si>
    <t>56</t>
    <phoneticPr fontId="2" type="noConversion"/>
  </si>
  <si>
    <t>57</t>
    <phoneticPr fontId="2" type="noConversion"/>
  </si>
  <si>
    <t>116</t>
    <phoneticPr fontId="2" type="noConversion"/>
  </si>
  <si>
    <t>98</t>
    <phoneticPr fontId="2" type="noConversion"/>
  </si>
  <si>
    <t>108</t>
    <phoneticPr fontId="2" type="noConversion"/>
  </si>
  <si>
    <t>141</t>
    <phoneticPr fontId="2" type="noConversion"/>
  </si>
  <si>
    <t>20004</t>
    <phoneticPr fontId="2" type="noConversion"/>
  </si>
  <si>
    <t>20005</t>
    <phoneticPr fontId="2" type="noConversion"/>
  </si>
  <si>
    <t>10</t>
    <phoneticPr fontId="2" type="noConversion"/>
  </si>
  <si>
    <t>keylist</t>
    <phoneticPr fontId="2" type="noConversion"/>
  </si>
  <si>
    <t>FIX.4.2</t>
    <phoneticPr fontId="2" type="noConversion"/>
  </si>
  <si>
    <t>111</t>
    <phoneticPr fontId="2" type="noConversion"/>
  </si>
  <si>
    <t>A</t>
    <phoneticPr fontId="2" type="noConversion"/>
  </si>
  <si>
    <t>4444</t>
    <phoneticPr fontId="2" type="noConversion"/>
  </si>
  <si>
    <t>00001</t>
    <phoneticPr fontId="2" type="noConversion"/>
  </si>
  <si>
    <t>12289</t>
    <phoneticPr fontId="2" type="noConversion"/>
  </si>
  <si>
    <t>60</t>
    <phoneticPr fontId="2" type="noConversion"/>
  </si>
  <si>
    <t>N</t>
    <phoneticPr fontId="2" type="noConversion"/>
  </si>
  <si>
    <t>100</t>
    <phoneticPr fontId="2" type="noConversion"/>
  </si>
  <si>
    <t>22222</t>
    <phoneticPr fontId="2" type="noConversion"/>
  </si>
  <si>
    <t>135</t>
    <phoneticPr fontId="2" type="noConversion"/>
  </si>
  <si>
    <t>['35','116','56']</t>
    <phoneticPr fontId="2" type="noConversion"/>
  </si>
  <si>
    <t>CumQty</t>
  </si>
  <si>
    <t>Currency</t>
  </si>
  <si>
    <t>ExecID</t>
  </si>
  <si>
    <t>OrdStatus</t>
  </si>
  <si>
    <t>Text</t>
  </si>
  <si>
    <t>TradeDate</t>
  </si>
  <si>
    <t>ExecType</t>
  </si>
  <si>
    <t>LeavesQty</t>
  </si>
  <si>
    <t>EffectiveTime</t>
  </si>
  <si>
    <t>SecondaryOrderID</t>
  </si>
  <si>
    <t>MultiLegReportingType</t>
  </si>
  <si>
    <t>keylist</t>
    <phoneticPr fontId="2" type="noConversion"/>
  </si>
  <si>
    <t>String</t>
    <phoneticPr fontId="2" type="noConversion"/>
  </si>
  <si>
    <t>8</t>
    <phoneticPr fontId="2" type="noConversion"/>
  </si>
  <si>
    <t>9</t>
    <phoneticPr fontId="2" type="noConversion"/>
  </si>
  <si>
    <t>1</t>
    <phoneticPr fontId="2" type="noConversion"/>
  </si>
  <si>
    <t>6</t>
    <phoneticPr fontId="2" type="noConversion"/>
  </si>
  <si>
    <t>11</t>
    <phoneticPr fontId="2" type="noConversion"/>
  </si>
  <si>
    <t>14</t>
    <phoneticPr fontId="2" type="noConversion"/>
  </si>
  <si>
    <t>15</t>
    <phoneticPr fontId="2" type="noConversion"/>
  </si>
  <si>
    <t>17</t>
    <phoneticPr fontId="2" type="noConversion"/>
  </si>
  <si>
    <t>20</t>
    <phoneticPr fontId="2" type="noConversion"/>
  </si>
  <si>
    <t>37</t>
    <phoneticPr fontId="2" type="noConversion"/>
  </si>
  <si>
    <t>38</t>
    <phoneticPr fontId="2" type="noConversion"/>
  </si>
  <si>
    <t>39</t>
    <phoneticPr fontId="2" type="noConversion"/>
  </si>
  <si>
    <t>40</t>
    <phoneticPr fontId="2" type="noConversion"/>
  </si>
  <si>
    <t>44</t>
    <phoneticPr fontId="2" type="noConversion"/>
  </si>
  <si>
    <t>54</t>
    <phoneticPr fontId="2" type="noConversion"/>
  </si>
  <si>
    <t>55</t>
    <phoneticPr fontId="2" type="noConversion"/>
  </si>
  <si>
    <t>58</t>
    <phoneticPr fontId="2" type="noConversion"/>
  </si>
  <si>
    <t>59</t>
    <phoneticPr fontId="2" type="noConversion"/>
  </si>
  <si>
    <t>75</t>
    <phoneticPr fontId="2" type="noConversion"/>
  </si>
  <si>
    <t>77</t>
    <phoneticPr fontId="2" type="noConversion"/>
  </si>
  <si>
    <t>99</t>
    <phoneticPr fontId="2" type="noConversion"/>
  </si>
  <si>
    <t>110</t>
    <phoneticPr fontId="2" type="noConversion"/>
  </si>
  <si>
    <t>150</t>
    <phoneticPr fontId="2" type="noConversion"/>
  </si>
  <si>
    <t>151</t>
    <phoneticPr fontId="2" type="noConversion"/>
  </si>
  <si>
    <t>168</t>
    <phoneticPr fontId="2" type="noConversion"/>
  </si>
  <si>
    <t>198</t>
    <phoneticPr fontId="2" type="noConversion"/>
  </si>
  <si>
    <t>207</t>
    <phoneticPr fontId="2" type="noConversion"/>
  </si>
  <si>
    <t>432</t>
    <phoneticPr fontId="2" type="noConversion"/>
  </si>
  <si>
    <t>442</t>
    <phoneticPr fontId="2" type="noConversion"/>
  </si>
  <si>
    <t>453</t>
    <phoneticPr fontId="2" type="noConversion"/>
  </si>
  <si>
    <t>20001</t>
    <phoneticPr fontId="2" type="noConversion"/>
  </si>
  <si>
    <t>20002</t>
    <phoneticPr fontId="2" type="noConversion"/>
  </si>
  <si>
    <t>20006</t>
    <phoneticPr fontId="2" type="noConversion"/>
  </si>
  <si>
    <t>61441</t>
    <phoneticPr fontId="2" type="noConversion"/>
  </si>
  <si>
    <t>00001</t>
    <phoneticPr fontId="2" type="noConversion"/>
  </si>
  <si>
    <t>0</t>
    <phoneticPr fontId="2" type="noConversion"/>
  </si>
  <si>
    <t>2</t>
    <phoneticPr fontId="2" type="noConversion"/>
  </si>
  <si>
    <t>O</t>
    <phoneticPr fontId="2" type="noConversion"/>
  </si>
  <si>
    <t>6</t>
    <phoneticPr fontId="2" type="noConversion"/>
  </si>
  <si>
    <t>RefSeqNum</t>
  </si>
  <si>
    <t>RefMsgType</t>
  </si>
  <si>
    <t>SessionRejectReason</t>
  </si>
  <si>
    <t>1</t>
    <phoneticPr fontId="2" type="noConversion"/>
  </si>
  <si>
    <t>BusinessRejectReason</t>
  </si>
  <si>
    <t>j</t>
    <phoneticPr fontId="2" type="noConversion"/>
  </si>
  <si>
    <t>['35','372','380']</t>
    <phoneticPr fontId="2" type="noConversion"/>
  </si>
  <si>
    <t>OnRspUserLogin</t>
  </si>
  <si>
    <t>ExecutionReport</t>
  </si>
  <si>
    <t>FunctionName</t>
    <phoneticPr fontId="2" type="noConversion"/>
  </si>
  <si>
    <t>NewOrderSingle</t>
  </si>
  <si>
    <t>3</t>
    <phoneticPr fontId="2" type="noConversion"/>
  </si>
  <si>
    <t>116</t>
    <phoneticPr fontId="2" type="noConversion"/>
  </si>
  <si>
    <t>4481</t>
    <phoneticPr fontId="2" type="noConversion"/>
  </si>
  <si>
    <t>4521</t>
    <phoneticPr fontId="2" type="noConversion"/>
  </si>
  <si>
    <t>15</t>
    <phoneticPr fontId="2" type="noConversion"/>
  </si>
  <si>
    <t>20009</t>
    <phoneticPr fontId="2" type="noConversion"/>
  </si>
  <si>
    <t>OptSelfCloseFlag</t>
  </si>
  <si>
    <t>QuoteID</t>
  </si>
  <si>
    <t>QuoteReqID</t>
  </si>
  <si>
    <t>string</t>
  </si>
  <si>
    <t>NoQuoteSets</t>
  </si>
  <si>
    <t>QuoteSetID</t>
  </si>
  <si>
    <t>TotNoQuoteEntries</t>
  </si>
  <si>
    <t>NoQuoteEntries</t>
  </si>
  <si>
    <t>QuoteEntryID</t>
  </si>
  <si>
    <t>BidPx</t>
  </si>
  <si>
    <t>BidSize</t>
  </si>
  <si>
    <t>117</t>
    <phoneticPr fontId="2" type="noConversion"/>
  </si>
  <si>
    <t>131</t>
    <phoneticPr fontId="2" type="noConversion"/>
  </si>
  <si>
    <t>296</t>
    <phoneticPr fontId="2" type="noConversion"/>
  </si>
  <si>
    <t>2</t>
    <phoneticPr fontId="2" type="noConversion"/>
  </si>
  <si>
    <t>1</t>
    <phoneticPr fontId="2" type="noConversion"/>
  </si>
  <si>
    <t>302</t>
    <phoneticPr fontId="2" type="noConversion"/>
  </si>
  <si>
    <t>304</t>
    <phoneticPr fontId="2" type="noConversion"/>
  </si>
  <si>
    <t>295</t>
    <phoneticPr fontId="2" type="noConversion"/>
  </si>
  <si>
    <t>299</t>
    <phoneticPr fontId="2" type="noConversion"/>
  </si>
  <si>
    <t>1</t>
    <phoneticPr fontId="2" type="noConversion"/>
  </si>
  <si>
    <t>55</t>
    <phoneticPr fontId="2" type="noConversion"/>
  </si>
  <si>
    <t>207</t>
    <phoneticPr fontId="2" type="noConversion"/>
  </si>
  <si>
    <t>0</t>
    <phoneticPr fontId="2" type="noConversion"/>
  </si>
  <si>
    <t>133</t>
    <phoneticPr fontId="2" type="noConversion"/>
  </si>
  <si>
    <t>135</t>
    <phoneticPr fontId="2" type="noConversion"/>
  </si>
  <si>
    <t>77</t>
    <phoneticPr fontId="2" type="noConversion"/>
  </si>
  <si>
    <t>20001</t>
    <phoneticPr fontId="2" type="noConversion"/>
  </si>
  <si>
    <t>99</t>
    <phoneticPr fontId="2" type="noConversion"/>
  </si>
  <si>
    <t>1</t>
    <phoneticPr fontId="2" type="noConversion"/>
  </si>
  <si>
    <t>0</t>
    <phoneticPr fontId="2" type="noConversion"/>
  </si>
  <si>
    <t>771</t>
    <phoneticPr fontId="2" type="noConversion"/>
  </si>
  <si>
    <t>2991</t>
    <phoneticPr fontId="2" type="noConversion"/>
  </si>
  <si>
    <t>551</t>
    <phoneticPr fontId="2" type="noConversion"/>
  </si>
  <si>
    <t>2071</t>
    <phoneticPr fontId="2" type="noConversion"/>
  </si>
  <si>
    <t>1341</t>
    <phoneticPr fontId="2" type="noConversion"/>
  </si>
  <si>
    <t>1331</t>
    <phoneticPr fontId="2" type="noConversion"/>
  </si>
  <si>
    <t>1351</t>
    <phoneticPr fontId="2" type="noConversion"/>
  </si>
  <si>
    <t>200011</t>
    <phoneticPr fontId="2" type="noConversion"/>
  </si>
  <si>
    <t>O</t>
    <phoneticPr fontId="2" type="noConversion"/>
  </si>
  <si>
    <t>O</t>
    <phoneticPr fontId="2" type="noConversion"/>
  </si>
  <si>
    <t>i</t>
    <phoneticPr fontId="2" type="noConversion"/>
  </si>
  <si>
    <t>SHFE</t>
    <phoneticPr fontId="2" type="noConversion"/>
  </si>
  <si>
    <t>1321</t>
    <phoneticPr fontId="2" type="noConversion"/>
  </si>
  <si>
    <t>0</t>
    <phoneticPr fontId="2" type="noConversion"/>
  </si>
  <si>
    <t>61461</t>
    <phoneticPr fontId="2" type="noConversion"/>
  </si>
  <si>
    <t>b</t>
    <phoneticPr fontId="2" type="noConversion"/>
  </si>
  <si>
    <t>132</t>
    <phoneticPr fontId="2" type="noConversion"/>
  </si>
  <si>
    <t>134</t>
    <phoneticPr fontId="2" type="noConversion"/>
  </si>
  <si>
    <t>QuoteAckStatus</t>
  </si>
  <si>
    <t>int</t>
    <phoneticPr fontId="2" type="noConversion"/>
  </si>
  <si>
    <t>297</t>
    <phoneticPr fontId="2" type="noConversion"/>
  </si>
  <si>
    <t>77</t>
    <phoneticPr fontId="2" type="noConversion"/>
  </si>
  <si>
    <t>20001</t>
    <phoneticPr fontId="2" type="noConversion"/>
  </si>
  <si>
    <t>5</t>
    <phoneticPr fontId="2" type="noConversion"/>
  </si>
  <si>
    <t>7</t>
    <phoneticPr fontId="2" type="noConversion"/>
  </si>
  <si>
    <t>100</t>
    <phoneticPr fontId="2" type="noConversion"/>
  </si>
  <si>
    <t>ExecResult</t>
  </si>
  <si>
    <t>20010</t>
    <phoneticPr fontId="2" type="noConversion"/>
  </si>
  <si>
    <t>['35','297','132','77','133','134','135','20001','55','1','56','116']</t>
    <phoneticPr fontId="2" type="noConversion"/>
  </si>
  <si>
    <t>cu1202c66000</t>
    <phoneticPr fontId="2" type="noConversion"/>
  </si>
  <si>
    <t>100.000000</t>
    <phoneticPr fontId="2" type="noConversion"/>
  </si>
  <si>
    <t>99.000000</t>
    <phoneticPr fontId="2" type="noConversion"/>
  </si>
  <si>
    <t>OfferPx</t>
  </si>
  <si>
    <t>OfferSize</t>
  </si>
  <si>
    <t>QuoteMsgID</t>
  </si>
  <si>
    <t>QuoteCancelType</t>
  </si>
  <si>
    <t>SHFE</t>
    <phoneticPr fontId="2" type="noConversion"/>
  </si>
  <si>
    <t>55</t>
    <phoneticPr fontId="2" type="noConversion"/>
  </si>
  <si>
    <t>207</t>
    <phoneticPr fontId="2" type="noConversion"/>
  </si>
  <si>
    <t>20004</t>
    <phoneticPr fontId="2" type="noConversion"/>
  </si>
  <si>
    <t>20005</t>
    <phoneticPr fontId="2" type="noConversion"/>
  </si>
  <si>
    <t>295</t>
    <phoneticPr fontId="2" type="noConversion"/>
  </si>
  <si>
    <t>298</t>
    <phoneticPr fontId="2" type="noConversion"/>
  </si>
  <si>
    <t>117</t>
    <phoneticPr fontId="2" type="noConversion"/>
  </si>
  <si>
    <t>1166</t>
    <phoneticPr fontId="2" type="noConversion"/>
  </si>
  <si>
    <t>Z</t>
    <phoneticPr fontId="2" type="noConversion"/>
  </si>
  <si>
    <t>1</t>
    <phoneticPr fontId="2" type="noConversion"/>
  </si>
  <si>
    <t>5</t>
    <phoneticPr fontId="2" type="noConversion"/>
  </si>
  <si>
    <t>6</t>
    <phoneticPr fontId="2" type="noConversion"/>
  </si>
  <si>
    <t>6</t>
    <phoneticPr fontId="2" type="noConversion"/>
  </si>
  <si>
    <t>11</t>
    <phoneticPr fontId="2" type="noConversion"/>
  </si>
  <si>
    <t>22</t>
    <phoneticPr fontId="2" type="noConversion"/>
  </si>
  <si>
    <t>0</t>
  </si>
  <si>
    <t>0</t>
    <phoneticPr fontId="2" type="noConversion"/>
  </si>
  <si>
    <t>N</t>
    <phoneticPr fontId="2" type="noConversion"/>
  </si>
  <si>
    <t>8</t>
    <phoneticPr fontId="2" type="noConversion"/>
  </si>
  <si>
    <t>9</t>
    <phoneticPr fontId="2" type="noConversion"/>
  </si>
  <si>
    <t>35</t>
    <phoneticPr fontId="2" type="noConversion"/>
  </si>
  <si>
    <t>34</t>
    <phoneticPr fontId="2" type="noConversion"/>
  </si>
  <si>
    <t>49</t>
    <phoneticPr fontId="2" type="noConversion"/>
  </si>
  <si>
    <t>52</t>
    <phoneticPr fontId="2" type="noConversion"/>
  </si>
  <si>
    <t>56</t>
    <phoneticPr fontId="2" type="noConversion"/>
  </si>
  <si>
    <t>1</t>
    <phoneticPr fontId="2" type="noConversion"/>
  </si>
  <si>
    <t>55</t>
    <phoneticPr fontId="2" type="noConversion"/>
  </si>
  <si>
    <t>207</t>
    <phoneticPr fontId="2" type="noConversion"/>
  </si>
  <si>
    <t>10</t>
    <phoneticPr fontId="2" type="noConversion"/>
  </si>
  <si>
    <t>FIX.4.2</t>
    <phoneticPr fontId="2" type="noConversion"/>
  </si>
  <si>
    <t>111</t>
    <phoneticPr fontId="2" type="noConversion"/>
  </si>
  <si>
    <t>H</t>
    <phoneticPr fontId="2" type="noConversion"/>
  </si>
  <si>
    <t>00001</t>
    <phoneticPr fontId="2" type="noConversion"/>
  </si>
  <si>
    <t>4444</t>
    <phoneticPr fontId="2" type="noConversion"/>
  </si>
  <si>
    <t>cu1202</t>
    <phoneticPr fontId="2" type="noConversion"/>
  </si>
  <si>
    <t>SHFE</t>
    <phoneticPr fontId="2" type="noConversion"/>
  </si>
  <si>
    <t>135</t>
    <phoneticPr fontId="2" type="noConversion"/>
  </si>
  <si>
    <t>SecurityGroup</t>
  </si>
  <si>
    <t>SecurityReqID</t>
  </si>
  <si>
    <t>SecurityRequestType</t>
  </si>
  <si>
    <t>int</t>
    <phoneticPr fontId="2" type="noConversion"/>
  </si>
  <si>
    <t>8</t>
    <phoneticPr fontId="2" type="noConversion"/>
  </si>
  <si>
    <t>9</t>
    <phoneticPr fontId="2" type="noConversion"/>
  </si>
  <si>
    <t>34</t>
    <phoneticPr fontId="2" type="noConversion"/>
  </si>
  <si>
    <t>49</t>
    <phoneticPr fontId="2" type="noConversion"/>
  </si>
  <si>
    <t>52</t>
    <phoneticPr fontId="2" type="noConversion"/>
  </si>
  <si>
    <t>56</t>
    <phoneticPr fontId="2" type="noConversion"/>
  </si>
  <si>
    <t>55</t>
    <phoneticPr fontId="2" type="noConversion"/>
  </si>
  <si>
    <t>1151</t>
    <phoneticPr fontId="2" type="noConversion"/>
  </si>
  <si>
    <t>320</t>
    <phoneticPr fontId="2" type="noConversion"/>
  </si>
  <si>
    <t>321</t>
    <phoneticPr fontId="2" type="noConversion"/>
  </si>
  <si>
    <t>207</t>
    <phoneticPr fontId="2" type="noConversion"/>
  </si>
  <si>
    <t>FIX.4.2</t>
    <phoneticPr fontId="2" type="noConversion"/>
  </si>
  <si>
    <t>111</t>
    <phoneticPr fontId="2" type="noConversion"/>
  </si>
  <si>
    <t>c</t>
    <phoneticPr fontId="2" type="noConversion"/>
  </si>
  <si>
    <t>00001</t>
    <phoneticPr fontId="2" type="noConversion"/>
  </si>
  <si>
    <t>4444</t>
    <phoneticPr fontId="2" type="noConversion"/>
  </si>
  <si>
    <t>cu1202c63000</t>
    <phoneticPr fontId="2" type="noConversion"/>
  </si>
  <si>
    <t>0</t>
    <phoneticPr fontId="2" type="noConversion"/>
  </si>
  <si>
    <t>0</t>
    <phoneticPr fontId="2" type="noConversion"/>
  </si>
  <si>
    <t>1</t>
    <phoneticPr fontId="2" type="noConversion"/>
  </si>
  <si>
    <t>SHFE</t>
    <phoneticPr fontId="2" type="noConversion"/>
  </si>
  <si>
    <t>135</t>
    <phoneticPr fontId="2" type="noConversion"/>
  </si>
  <si>
    <t>SecurityDesc</t>
  </si>
  <si>
    <t>SecurityType</t>
  </si>
  <si>
    <t>MaturityMonthYear</t>
  </si>
  <si>
    <t>PutOrCall</t>
  </si>
  <si>
    <t>StrikePrice</t>
  </si>
  <si>
    <t>IssueDate</t>
  </si>
  <si>
    <t>ContractMultiplier</t>
  </si>
  <si>
    <t>UnderlyingSymbol</t>
  </si>
  <si>
    <t>SecurityResponseID</t>
  </si>
  <si>
    <t>TotalNumSecurities</t>
  </si>
  <si>
    <t>MaturityDate</t>
  </si>
  <si>
    <t>SecuritySubType</t>
  </si>
  <si>
    <t>NoEvents</t>
  </si>
  <si>
    <t>EventType</t>
  </si>
  <si>
    <t>EventDate</t>
  </si>
  <si>
    <t>DatedDate</t>
  </si>
  <si>
    <t>SecurityStatus</t>
  </si>
  <si>
    <t>StrikeMultiplier</t>
  </si>
  <si>
    <t>MinPriceIncrement</t>
  </si>
  <si>
    <t>NoMarketSegments</t>
  </si>
  <si>
    <t>MaxTradeVol</t>
  </si>
  <si>
    <t>MinTradeVol</t>
  </si>
  <si>
    <t>keylist</t>
    <phoneticPr fontId="2" type="noConversion"/>
  </si>
  <si>
    <t>MonthYear</t>
  </si>
  <si>
    <t>float</t>
  </si>
  <si>
    <t>String</t>
    <phoneticPr fontId="2" type="noConversion"/>
  </si>
  <si>
    <t>55</t>
    <phoneticPr fontId="2" type="noConversion"/>
  </si>
  <si>
    <t>107</t>
    <phoneticPr fontId="2" type="noConversion"/>
  </si>
  <si>
    <t>167</t>
    <phoneticPr fontId="2" type="noConversion"/>
  </si>
  <si>
    <t>200</t>
    <phoneticPr fontId="2" type="noConversion"/>
  </si>
  <si>
    <t>201</t>
    <phoneticPr fontId="2" type="noConversion"/>
  </si>
  <si>
    <t>202</t>
    <phoneticPr fontId="2" type="noConversion"/>
  </si>
  <si>
    <t>207</t>
    <phoneticPr fontId="2" type="noConversion"/>
  </si>
  <si>
    <t>225</t>
    <phoneticPr fontId="2" type="noConversion"/>
  </si>
  <si>
    <t>231</t>
    <phoneticPr fontId="2" type="noConversion"/>
  </si>
  <si>
    <t>311</t>
    <phoneticPr fontId="2" type="noConversion"/>
  </si>
  <si>
    <t>320</t>
    <phoneticPr fontId="2" type="noConversion"/>
  </si>
  <si>
    <t>322</t>
    <phoneticPr fontId="2" type="noConversion"/>
  </si>
  <si>
    <t>393</t>
    <phoneticPr fontId="2" type="noConversion"/>
  </si>
  <si>
    <t>541</t>
    <phoneticPr fontId="2" type="noConversion"/>
  </si>
  <si>
    <t>762</t>
    <phoneticPr fontId="2" type="noConversion"/>
  </si>
  <si>
    <t>864</t>
    <phoneticPr fontId="2" type="noConversion"/>
  </si>
  <si>
    <t>865</t>
    <phoneticPr fontId="2" type="noConversion"/>
  </si>
  <si>
    <t>866</t>
    <phoneticPr fontId="2" type="noConversion"/>
  </si>
  <si>
    <t>873</t>
    <phoneticPr fontId="2" type="noConversion"/>
  </si>
  <si>
    <t>965</t>
    <phoneticPr fontId="2" type="noConversion"/>
  </si>
  <si>
    <t>967</t>
    <phoneticPr fontId="2" type="noConversion"/>
  </si>
  <si>
    <t>969</t>
    <phoneticPr fontId="2" type="noConversion"/>
  </si>
  <si>
    <t>1151</t>
    <phoneticPr fontId="2" type="noConversion"/>
  </si>
  <si>
    <t>1310</t>
    <phoneticPr fontId="2" type="noConversion"/>
  </si>
  <si>
    <t>1140</t>
    <phoneticPr fontId="2" type="noConversion"/>
  </si>
  <si>
    <t>562</t>
    <phoneticPr fontId="2" type="noConversion"/>
  </si>
  <si>
    <t>keylist</t>
    <phoneticPr fontId="2" type="noConversion"/>
  </si>
  <si>
    <t>d</t>
    <phoneticPr fontId="2" type="noConversion"/>
  </si>
  <si>
    <t>4444</t>
    <phoneticPr fontId="2" type="noConversion"/>
  </si>
  <si>
    <t>00001</t>
    <phoneticPr fontId="2" type="noConversion"/>
  </si>
  <si>
    <t>OPT</t>
    <phoneticPr fontId="2" type="noConversion"/>
  </si>
  <si>
    <t>201202</t>
    <phoneticPr fontId="2" type="noConversion"/>
  </si>
  <si>
    <t>63000</t>
    <phoneticPr fontId="2" type="noConversion"/>
  </si>
  <si>
    <t>20110131</t>
    <phoneticPr fontId="2" type="noConversion"/>
  </si>
  <si>
    <t>5</t>
    <phoneticPr fontId="2" type="noConversion"/>
  </si>
  <si>
    <t>cu1202</t>
    <phoneticPr fontId="2" type="noConversion"/>
  </si>
  <si>
    <t>O</t>
    <phoneticPr fontId="2" type="noConversion"/>
  </si>
  <si>
    <t>0</t>
    <phoneticPr fontId="2" type="noConversion"/>
  </si>
  <si>
    <t>20120125</t>
    <phoneticPr fontId="2" type="noConversion"/>
  </si>
  <si>
    <t>2</t>
    <phoneticPr fontId="2" type="noConversion"/>
  </si>
  <si>
    <t>13</t>
    <phoneticPr fontId="2" type="noConversion"/>
  </si>
  <si>
    <t>1</t>
    <phoneticPr fontId="2" type="noConversion"/>
  </si>
  <si>
    <t>cu_o</t>
    <phoneticPr fontId="2" type="noConversion"/>
  </si>
  <si>
    <t>2</t>
    <phoneticPr fontId="2" type="noConversion"/>
  </si>
  <si>
    <t>30</t>
    <phoneticPr fontId="2" type="noConversion"/>
  </si>
  <si>
    <t>['35','202','167','965','207','55','56']</t>
    <phoneticPr fontId="2" type="noConversion"/>
  </si>
  <si>
    <t>keylist</t>
    <phoneticPr fontId="2" type="noConversion"/>
  </si>
  <si>
    <t>String</t>
    <phoneticPr fontId="2" type="noConversion"/>
  </si>
  <si>
    <t>8</t>
    <phoneticPr fontId="2" type="noConversion"/>
  </si>
  <si>
    <t>9</t>
    <phoneticPr fontId="2" type="noConversion"/>
  </si>
  <si>
    <t>57</t>
    <phoneticPr fontId="2" type="noConversion"/>
  </si>
  <si>
    <t>45</t>
    <phoneticPr fontId="2" type="noConversion"/>
  </si>
  <si>
    <t>372</t>
    <phoneticPr fontId="2" type="noConversion"/>
  </si>
  <si>
    <t>373</t>
    <phoneticPr fontId="2" type="noConversion"/>
  </si>
  <si>
    <t>58</t>
    <phoneticPr fontId="2" type="noConversion"/>
  </si>
  <si>
    <t>3</t>
    <phoneticPr fontId="2" type="noConversion"/>
  </si>
  <si>
    <t>1</t>
    <phoneticPr fontId="2" type="noConversion"/>
  </si>
  <si>
    <t>00001</t>
    <phoneticPr fontId="2" type="noConversion"/>
  </si>
  <si>
    <t>61441</t>
    <phoneticPr fontId="2" type="noConversion"/>
  </si>
  <si>
    <t>['35','372','373']</t>
    <phoneticPr fontId="2" type="noConversion"/>
  </si>
  <si>
    <t>4</t>
    <phoneticPr fontId="2" type="noConversion"/>
  </si>
  <si>
    <t>31</t>
    <phoneticPr fontId="2" type="noConversion"/>
  </si>
  <si>
    <t>32</t>
    <phoneticPr fontId="2" type="noConversion"/>
  </si>
  <si>
    <t>LastPx</t>
    <phoneticPr fontId="2" type="noConversion"/>
  </si>
  <si>
    <t>LastQty</t>
  </si>
  <si>
    <t>00001</t>
    <phoneticPr fontId="2" type="noConversion"/>
  </si>
  <si>
    <t>1</t>
    <phoneticPr fontId="2" type="noConversion"/>
  </si>
  <si>
    <t>3</t>
    <phoneticPr fontId="2" type="noConversion"/>
  </si>
  <si>
    <t>0</t>
    <phoneticPr fontId="2" type="noConversion"/>
  </si>
  <si>
    <t>N</t>
    <phoneticPr fontId="2" type="noConversion"/>
  </si>
  <si>
    <t>135</t>
    <phoneticPr fontId="2" type="noConversion"/>
  </si>
  <si>
    <t>FIX.4.2</t>
    <phoneticPr fontId="2" type="noConversion"/>
  </si>
  <si>
    <t>111</t>
    <phoneticPr fontId="2" type="noConversion"/>
  </si>
  <si>
    <t>D</t>
    <phoneticPr fontId="2" type="noConversion"/>
  </si>
  <si>
    <t>00001</t>
    <phoneticPr fontId="2" type="noConversion"/>
  </si>
  <si>
    <t>4444</t>
    <phoneticPr fontId="2" type="noConversion"/>
  </si>
  <si>
    <t>2</t>
    <phoneticPr fontId="2" type="noConversion"/>
  </si>
  <si>
    <t>135</t>
    <phoneticPr fontId="2" type="noConversion"/>
  </si>
  <si>
    <t>2</t>
    <phoneticPr fontId="2" type="noConversion"/>
  </si>
  <si>
    <t>合约</t>
    <phoneticPr fontId="2" type="noConversion"/>
  </si>
  <si>
    <t>昨买仓</t>
    <phoneticPr fontId="2" type="noConversion"/>
  </si>
  <si>
    <t>今买仓</t>
    <phoneticPr fontId="2" type="noConversion"/>
  </si>
  <si>
    <t>昨卖仓</t>
    <phoneticPr fontId="2" type="noConversion"/>
  </si>
  <si>
    <t>今卖仓</t>
    <phoneticPr fontId="2" type="noConversion"/>
  </si>
  <si>
    <t>步骤</t>
    <phoneticPr fontId="2" type="noConversion"/>
  </si>
  <si>
    <t>报单</t>
    <phoneticPr fontId="2" type="noConversion"/>
  </si>
  <si>
    <t>预期</t>
    <phoneticPr fontId="2" type="noConversion"/>
  </si>
  <si>
    <t>平今20手</t>
    <phoneticPr fontId="2" type="noConversion"/>
  </si>
  <si>
    <t>超过平仓数量被CTP拒绝</t>
    <phoneticPr fontId="2" type="noConversion"/>
  </si>
  <si>
    <t>买开价格超过涨停板报单</t>
    <phoneticPr fontId="2" type="noConversion"/>
  </si>
  <si>
    <t>超过涨停价被交易所拒绝</t>
    <phoneticPr fontId="2" type="noConversion"/>
  </si>
  <si>
    <t>FAK报单没有对手方</t>
    <phoneticPr fontId="2" type="noConversion"/>
  </si>
  <si>
    <t>撤单</t>
    <phoneticPr fontId="2" type="noConversion"/>
  </si>
  <si>
    <t>FOK报单没有对手方</t>
    <phoneticPr fontId="2" type="noConversion"/>
  </si>
  <si>
    <t>报单成功</t>
    <phoneticPr fontId="2" type="noConversion"/>
  </si>
  <si>
    <t>卖不填开平1手65000</t>
    <phoneticPr fontId="2" type="noConversion"/>
  </si>
  <si>
    <t>报平昨1手</t>
    <phoneticPr fontId="2" type="noConversion"/>
  </si>
  <si>
    <t>昨买冻结</t>
    <phoneticPr fontId="2" type="noConversion"/>
  </si>
  <si>
    <t>今买冻结</t>
    <phoneticPr fontId="2" type="noConversion"/>
  </si>
  <si>
    <t>昨卖冻结</t>
    <phoneticPr fontId="2" type="noConversion"/>
  </si>
  <si>
    <t>今卖冻结</t>
    <phoneticPr fontId="2" type="noConversion"/>
  </si>
  <si>
    <t>投资者00001</t>
    <phoneticPr fontId="2" type="noConversion"/>
  </si>
  <si>
    <t>投资者00002</t>
    <phoneticPr fontId="2" type="noConversion"/>
  </si>
  <si>
    <t>买开两手63900</t>
    <phoneticPr fontId="2" type="noConversion"/>
  </si>
  <si>
    <t>order1</t>
    <phoneticPr fontId="2" type="noConversion"/>
  </si>
  <si>
    <t>order2</t>
    <phoneticPr fontId="2" type="noConversion"/>
  </si>
  <si>
    <t>FOK卖不填开平1手</t>
    <phoneticPr fontId="2" type="noConversion"/>
  </si>
  <si>
    <t>卖开与order1.5做对手方全部成交</t>
    <phoneticPr fontId="2" type="noConversion"/>
  </si>
  <si>
    <t>对手方数量不足撤单</t>
    <phoneticPr fontId="2" type="noConversion"/>
  </si>
  <si>
    <t>FAK卖开5手最小成交数量为4</t>
    <phoneticPr fontId="2" type="noConversion"/>
  </si>
  <si>
    <t>FAK卖开4手最小成交数量为0</t>
    <phoneticPr fontId="2" type="noConversion"/>
  </si>
  <si>
    <t>与order1.5和order1.7成交3手后，剩余1手撤单</t>
    <phoneticPr fontId="2" type="noConversion"/>
  </si>
  <si>
    <t>买不填开平5手65000</t>
    <phoneticPr fontId="2" type="noConversion"/>
  </si>
  <si>
    <t>00002</t>
    <phoneticPr fontId="2" type="noConversion"/>
  </si>
  <si>
    <t>00001</t>
    <phoneticPr fontId="2" type="noConversion"/>
  </si>
  <si>
    <t>order3</t>
    <phoneticPr fontId="2" type="noConversion"/>
  </si>
  <si>
    <t>卖不填开平6手</t>
    <phoneticPr fontId="2" type="noConversion"/>
  </si>
  <si>
    <t>拆单为买平4手买开1手，其中买平与1.6部分成交</t>
    <phoneticPr fontId="2" type="noConversion"/>
  </si>
  <si>
    <t>撤单第4步的第一笔订单</t>
    <phoneticPr fontId="2" type="noConversion"/>
  </si>
  <si>
    <t>撤单第4步的第二笔订单</t>
    <phoneticPr fontId="2" type="noConversion"/>
  </si>
  <si>
    <t>拆单为卖平昨1手，卖平今4手，卖开1手</t>
    <phoneticPr fontId="2" type="noConversion"/>
  </si>
  <si>
    <t>['35','372','380']</t>
    <phoneticPr fontId="2" type="noConversion"/>
  </si>
  <si>
    <t>135</t>
    <phoneticPr fontId="2" type="noConversion"/>
  </si>
  <si>
    <t>1</t>
    <phoneticPr fontId="2" type="noConversion"/>
  </si>
  <si>
    <t>00001</t>
    <phoneticPr fontId="2" type="noConversion"/>
  </si>
  <si>
    <t>4444</t>
    <phoneticPr fontId="2" type="noConversion"/>
  </si>
  <si>
    <t>1</t>
    <phoneticPr fontId="2" type="noConversion"/>
  </si>
  <si>
    <t>j</t>
    <phoneticPr fontId="2" type="noConversion"/>
  </si>
  <si>
    <t>111</t>
    <phoneticPr fontId="2" type="noConversion"/>
  </si>
  <si>
    <t>FIX.4.2</t>
    <phoneticPr fontId="2" type="noConversion"/>
  </si>
  <si>
    <t>keylist</t>
    <phoneticPr fontId="2" type="noConversion"/>
  </si>
  <si>
    <t>keylist</t>
    <phoneticPr fontId="2" type="noConversion"/>
  </si>
  <si>
    <t>10</t>
    <phoneticPr fontId="2" type="noConversion"/>
  </si>
  <si>
    <t>58</t>
    <phoneticPr fontId="2" type="noConversion"/>
  </si>
  <si>
    <t>380</t>
    <phoneticPr fontId="2" type="noConversion"/>
  </si>
  <si>
    <t>372</t>
    <phoneticPr fontId="2" type="noConversion"/>
  </si>
  <si>
    <t>45</t>
    <phoneticPr fontId="2" type="noConversion"/>
  </si>
  <si>
    <t>57</t>
    <phoneticPr fontId="2" type="noConversion"/>
  </si>
  <si>
    <t>56</t>
    <phoneticPr fontId="2" type="noConversion"/>
  </si>
  <si>
    <t>52</t>
    <phoneticPr fontId="2" type="noConversion"/>
  </si>
  <si>
    <t>49</t>
    <phoneticPr fontId="2" type="noConversion"/>
  </si>
  <si>
    <t>34</t>
    <phoneticPr fontId="2" type="noConversion"/>
  </si>
  <si>
    <t>35</t>
    <phoneticPr fontId="2" type="noConversion"/>
  </si>
  <si>
    <t>9</t>
    <phoneticPr fontId="2" type="noConversion"/>
  </si>
  <si>
    <t>8</t>
    <phoneticPr fontId="2" type="noConversion"/>
  </si>
  <si>
    <t>String</t>
    <phoneticPr fontId="2" type="noConversion"/>
  </si>
  <si>
    <t>9</t>
    <phoneticPr fontId="2" type="noConversion"/>
  </si>
  <si>
    <t>6</t>
    <phoneticPr fontId="2" type="noConversion"/>
  </si>
  <si>
    <t>6</t>
    <phoneticPr fontId="2" type="noConversion"/>
  </si>
  <si>
    <t>2</t>
    <phoneticPr fontId="2" type="noConversion"/>
  </si>
  <si>
    <t>F</t>
    <phoneticPr fontId="2" type="noConversion"/>
  </si>
  <si>
    <t>0</t>
    <phoneticPr fontId="2" type="noConversion"/>
  </si>
  <si>
    <t>3</t>
    <phoneticPr fontId="2" type="noConversion"/>
  </si>
  <si>
    <t>3</t>
    <phoneticPr fontId="2" type="noConversion"/>
  </si>
  <si>
    <t>1</t>
    <phoneticPr fontId="2" type="noConversion"/>
  </si>
  <si>
    <t>4</t>
    <phoneticPr fontId="2" type="noConversion"/>
  </si>
  <si>
    <t>1</t>
    <phoneticPr fontId="2" type="noConversion"/>
  </si>
  <si>
    <t>C</t>
    <phoneticPr fontId="2" type="noConversion"/>
  </si>
  <si>
    <t>4</t>
    <phoneticPr fontId="2" type="noConversion"/>
  </si>
  <si>
    <t>SplitOrginRef</t>
  </si>
  <si>
    <t>20012</t>
    <phoneticPr fontId="2" type="noConversion"/>
  </si>
  <si>
    <t>1</t>
    <phoneticPr fontId="2" type="noConversion"/>
  </si>
  <si>
    <t>['35','40','54','77','44','38','39','150','20001','59','55','1','56','116','14','11','151','20012']</t>
    <phoneticPr fontId="2" type="noConversion"/>
  </si>
  <si>
    <t>报单orderref填2</t>
    <phoneticPr fontId="2" type="noConversion"/>
  </si>
  <si>
    <t>被网关拒绝，ref必须大于3</t>
    <phoneticPr fontId="2" type="noConversion"/>
  </si>
  <si>
    <t>BusinessMessageReject</t>
  </si>
  <si>
    <t>撤销第一步的卖平今单</t>
    <phoneticPr fontId="2" type="noConversion"/>
  </si>
  <si>
    <t>撤单成功</t>
    <phoneticPr fontId="2" type="noConversion"/>
  </si>
  <si>
    <t>卖不填开平2手</t>
    <phoneticPr fontId="2" type="noConversion"/>
  </si>
  <si>
    <t>卖平今2手</t>
    <phoneticPr fontId="2" type="noConversion"/>
  </si>
  <si>
    <t>撤销第一步的卖平昨单</t>
    <phoneticPr fontId="2" type="noConversion"/>
  </si>
  <si>
    <t>卖不填开平4手</t>
    <phoneticPr fontId="2" type="noConversion"/>
  </si>
  <si>
    <t>拆单为卖平昨1手，卖平今2手，卖开1手</t>
    <phoneticPr fontId="2" type="noConversion"/>
  </si>
  <si>
    <t>OrderCancelRequest</t>
  </si>
  <si>
    <t>6</t>
    <phoneticPr fontId="2" type="noConversion"/>
  </si>
  <si>
    <t>0</t>
    <phoneticPr fontId="2" type="noConversion"/>
  </si>
  <si>
    <t>4</t>
    <phoneticPr fontId="2" type="noConversion"/>
  </si>
  <si>
    <t>1</t>
    <phoneticPr fontId="2" type="noConversion"/>
  </si>
  <si>
    <t>5</t>
    <phoneticPr fontId="2" type="noConversion"/>
  </si>
  <si>
    <t>5</t>
    <phoneticPr fontId="2" type="noConversion"/>
  </si>
  <si>
    <t>5</t>
    <phoneticPr fontId="2" type="noConversion"/>
  </si>
  <si>
    <t>6</t>
    <phoneticPr fontId="2" type="noConversion"/>
  </si>
  <si>
    <t>6</t>
    <phoneticPr fontId="2" type="noConversion"/>
  </si>
  <si>
    <t>5</t>
    <phoneticPr fontId="2" type="noConversion"/>
  </si>
  <si>
    <t>5</t>
    <phoneticPr fontId="2" type="noConversion"/>
  </si>
  <si>
    <t>5</t>
    <phoneticPr fontId="2" type="noConversion"/>
  </si>
  <si>
    <t>2</t>
    <phoneticPr fontId="2" type="noConversion"/>
  </si>
  <si>
    <t>2</t>
    <phoneticPr fontId="2" type="noConversion"/>
  </si>
  <si>
    <t>2</t>
    <phoneticPr fontId="2" type="noConversion"/>
  </si>
  <si>
    <t>2</t>
    <phoneticPr fontId="2" type="noConversion"/>
  </si>
  <si>
    <t>['35','40','54','77','44','38','39','150','20001','59','55','1','56','116','14','11','151']</t>
    <phoneticPr fontId="2" type="noConversion"/>
  </si>
  <si>
    <t>22</t>
    <phoneticPr fontId="2" type="noConversion"/>
  </si>
  <si>
    <t>被网关拒绝，ref不能大于12</t>
    <phoneticPr fontId="2" type="noConversion"/>
  </si>
  <si>
    <t>报单orderref大于12位</t>
    <phoneticPr fontId="2" type="noConversion"/>
  </si>
  <si>
    <t>1000000000000</t>
    <phoneticPr fontId="2" type="noConversion"/>
  </si>
  <si>
    <t>D</t>
    <phoneticPr fontId="2" type="noConversion"/>
  </si>
  <si>
    <t>D</t>
    <phoneticPr fontId="2" type="noConversion"/>
  </si>
  <si>
    <t>16436</t>
    <phoneticPr fontId="2" type="noConversion"/>
  </si>
  <si>
    <t>4444</t>
    <phoneticPr fontId="2" type="noConversion"/>
  </si>
  <si>
    <t>00001</t>
    <phoneticPr fontId="2" type="noConversion"/>
  </si>
  <si>
    <t>0</t>
    <phoneticPr fontId="2" type="noConversion"/>
  </si>
  <si>
    <t>3</t>
    <phoneticPr fontId="2" type="noConversion"/>
  </si>
  <si>
    <t>1</t>
    <phoneticPr fontId="2" type="noConversion"/>
  </si>
  <si>
    <t>2</t>
    <phoneticPr fontId="2" type="noConversion"/>
  </si>
  <si>
    <t>N</t>
    <phoneticPr fontId="2" type="noConversion"/>
  </si>
  <si>
    <t>135</t>
    <phoneticPr fontId="2" type="noConversion"/>
  </si>
  <si>
    <t>4444</t>
    <phoneticPr fontId="2" type="noConversion"/>
  </si>
  <si>
    <t>100</t>
    <phoneticPr fontId="2" type="noConversion"/>
  </si>
  <si>
    <t>FIX.4.2</t>
    <phoneticPr fontId="2" type="noConversion"/>
  </si>
  <si>
    <t>111</t>
    <phoneticPr fontId="2" type="noConversion"/>
  </si>
  <si>
    <t>1</t>
    <phoneticPr fontId="2" type="noConversion"/>
  </si>
  <si>
    <t>0</t>
    <phoneticPr fontId="2" type="noConversion"/>
  </si>
  <si>
    <t>自对冲报单自对冲期权仓位</t>
    <phoneticPr fontId="2" type="noConversion"/>
  </si>
  <si>
    <t>被交易所拒绝</t>
    <phoneticPr fontId="2" type="noConversion"/>
  </si>
  <si>
    <t>2</t>
    <phoneticPr fontId="2" type="noConversion"/>
  </si>
  <si>
    <t>被CTP拒绝</t>
    <phoneticPr fontId="2" type="noConversion"/>
  </si>
  <si>
    <t>自对冲报单ref填重复的</t>
    <phoneticPr fontId="2" type="noConversion"/>
  </si>
  <si>
    <t>报单成功</t>
    <phoneticPr fontId="2" type="noConversion"/>
  </si>
  <si>
    <t>3</t>
    <phoneticPr fontId="2" type="noConversion"/>
  </si>
  <si>
    <t>自对冲报单自对冲卖方履约后的期货仓位</t>
    <phoneticPr fontId="2" type="noConversion"/>
  </si>
  <si>
    <t>10</t>
    <phoneticPr fontId="2" type="noConversion"/>
  </si>
  <si>
    <t>order4</t>
    <phoneticPr fontId="2" type="noConversion"/>
  </si>
  <si>
    <t>必填字段校验、选填字段填了后的情形</t>
    <phoneticPr fontId="2" type="noConversion"/>
  </si>
  <si>
    <t>自对冲撤单10</t>
    <phoneticPr fontId="2" type="noConversion"/>
  </si>
  <si>
    <t>33</t>
    <phoneticPr fontId="2" type="noConversion"/>
  </si>
  <si>
    <t>重复撤单10</t>
    <phoneticPr fontId="2" type="noConversion"/>
  </si>
  <si>
    <t>撤单失败</t>
    <phoneticPr fontId="2" type="noConversion"/>
  </si>
  <si>
    <t>16439</t>
    <phoneticPr fontId="2" type="noConversion"/>
  </si>
  <si>
    <t>434</t>
    <phoneticPr fontId="2" type="noConversion"/>
  </si>
  <si>
    <t>CxlRejResponseTo</t>
  </si>
  <si>
    <t>8</t>
    <phoneticPr fontId="2" type="noConversion"/>
  </si>
  <si>
    <t>['35','39','1','56','116']</t>
    <phoneticPr fontId="2" type="noConversion"/>
  </si>
  <si>
    <t>00001可以自对冲2,00002可以自对冲1</t>
    <phoneticPr fontId="2" type="noConversion"/>
  </si>
  <si>
    <t>报单引用不填</t>
    <phoneticPr fontId="2" type="noConversion"/>
  </si>
  <si>
    <t>会话层拒绝</t>
    <phoneticPr fontId="2" type="noConversion"/>
  </si>
  <si>
    <t>报单价格类型不填</t>
    <phoneticPr fontId="2" type="noConversion"/>
  </si>
  <si>
    <t>报单方向不填</t>
    <phoneticPr fontId="2" type="noConversion"/>
  </si>
  <si>
    <t>合约不填</t>
    <phoneticPr fontId="2" type="noConversion"/>
  </si>
  <si>
    <t>投资者不填</t>
    <phoneticPr fontId="2" type="noConversion"/>
  </si>
  <si>
    <t>大商所组合、互换、普通报单</t>
    <phoneticPr fontId="2" type="noConversion"/>
  </si>
  <si>
    <t>11</t>
    <phoneticPr fontId="2" type="noConversion"/>
  </si>
  <si>
    <t>12</t>
    <phoneticPr fontId="2" type="noConversion"/>
  </si>
  <si>
    <t>13</t>
    <phoneticPr fontId="2" type="noConversion"/>
  </si>
  <si>
    <t>14</t>
    <phoneticPr fontId="2" type="noConversion"/>
  </si>
  <si>
    <t>15</t>
    <phoneticPr fontId="2" type="noConversion"/>
  </si>
  <si>
    <t>价格不填</t>
    <phoneticPr fontId="2" type="noConversion"/>
  </si>
  <si>
    <t>业务层拒绝</t>
    <phoneticPr fontId="2" type="noConversion"/>
  </si>
  <si>
    <t>‘00002</t>
    <phoneticPr fontId="2" type="noConversion"/>
  </si>
  <si>
    <t>0</t>
    <phoneticPr fontId="2" type="noConversion"/>
  </si>
  <si>
    <t>(暂时不写)</t>
    <phoneticPr fontId="2" type="noConversion"/>
  </si>
  <si>
    <t>报单数量填0</t>
    <phoneticPr fontId="2" type="noConversion"/>
  </si>
  <si>
    <t>重复自对冲报单自对冲卖方履约后的期货仓位</t>
    <phoneticPr fontId="2" type="noConversion"/>
  </si>
  <si>
    <t>16</t>
    <phoneticPr fontId="2" type="noConversion"/>
  </si>
  <si>
    <t>自对冲报单保留期权仓位</t>
    <phoneticPr fontId="2" type="noConversion"/>
  </si>
  <si>
    <t>重复自对冲报单保留期权仓位</t>
    <phoneticPr fontId="2" type="noConversion"/>
  </si>
  <si>
    <t>17</t>
    <phoneticPr fontId="2" type="noConversion"/>
  </si>
  <si>
    <t>报单被CTP拒绝</t>
    <phoneticPr fontId="2" type="noConversion"/>
  </si>
  <si>
    <t>报单被交易所拒绝</t>
    <phoneticPr fontId="2" type="noConversion"/>
  </si>
  <si>
    <t>FAK报单买开不支持的报单类型</t>
    <phoneticPr fontId="2" type="noConversion"/>
  </si>
  <si>
    <t>FOK报单卖平昨不支持的报单类型</t>
    <phoneticPr fontId="2" type="noConversion"/>
  </si>
  <si>
    <t>TAS报单买开0-两手</t>
    <phoneticPr fontId="2" type="noConversion"/>
  </si>
  <si>
    <t>普通报单卖65000-一手（昨仓有两手）--不填开平</t>
    <phoneticPr fontId="2" type="noConversion"/>
  </si>
  <si>
    <t>order5</t>
    <phoneticPr fontId="2" type="noConversion"/>
  </si>
  <si>
    <t>TAS报单-00001</t>
    <phoneticPr fontId="2" type="noConversion"/>
  </si>
  <si>
    <t>TAS报单-00002</t>
    <phoneticPr fontId="2" type="noConversion"/>
  </si>
  <si>
    <t>撤销第二笔单</t>
  </si>
  <si>
    <t>撤销第4步的第一笔订单</t>
  </si>
  <si>
    <t>撤销第4步的第二笔订单</t>
  </si>
  <si>
    <t>卖出开仓--不填开平1手与order4.5里面做对手方造全部成交</t>
    <phoneticPr fontId="2" type="noConversion"/>
  </si>
  <si>
    <t>卖出开仓4手最小成交数量为0，与order4.5和4.7的两个报单造部分成交</t>
    <phoneticPr fontId="2" type="noConversion"/>
  </si>
  <si>
    <t>order6</t>
    <phoneticPr fontId="2" type="noConversion"/>
  </si>
  <si>
    <t>ss1205TAS</t>
  </si>
  <si>
    <t>普通合约卖不填开平2手</t>
    <phoneticPr fontId="2" type="noConversion"/>
  </si>
  <si>
    <t>普通合约卖平今2手</t>
    <phoneticPr fontId="2" type="noConversion"/>
  </si>
  <si>
    <t>ss1205</t>
    <phoneticPr fontId="2" type="noConversion"/>
  </si>
  <si>
    <t>0</t>
    <phoneticPr fontId="2" type="noConversion"/>
  </si>
  <si>
    <t>65000</t>
    <phoneticPr fontId="2" type="noConversion"/>
  </si>
  <si>
    <t>买开两手0</t>
  </si>
  <si>
    <t>ss1205TAS</t>
    <phoneticPr fontId="2" type="noConversion"/>
  </si>
  <si>
    <t>INE</t>
  </si>
  <si>
    <t>INE</t>
    <phoneticPr fontId="2" type="noConversion"/>
  </si>
  <si>
    <t>普通合约买平--不填开平5手与order4里面做对手方造全部成交并拆单</t>
    <phoneticPr fontId="2" type="noConversion"/>
  </si>
  <si>
    <t>撤销所有剩余报单</t>
    <phoneticPr fontId="2" type="noConversion"/>
  </si>
  <si>
    <t>FIX.4.2</t>
    <phoneticPr fontId="2" type="noConversion"/>
  </si>
  <si>
    <t>111</t>
    <phoneticPr fontId="2" type="noConversion"/>
  </si>
  <si>
    <t>4444</t>
    <phoneticPr fontId="2" type="noConversion"/>
  </si>
  <si>
    <t>00001</t>
    <phoneticPr fontId="2" type="noConversion"/>
  </si>
  <si>
    <t>61441</t>
    <phoneticPr fontId="2" type="noConversion"/>
  </si>
  <si>
    <t>100</t>
    <phoneticPr fontId="2" type="noConversion"/>
  </si>
  <si>
    <t>135</t>
    <phoneticPr fontId="2" type="noConversion"/>
  </si>
  <si>
    <t>['35','40','54','77','44','38','39','150','20001','59','55','1','56','116','14','11','151','20012']</t>
    <phoneticPr fontId="2" type="noConversion"/>
  </si>
  <si>
    <t>FIX.4.2</t>
    <phoneticPr fontId="2" type="noConversion"/>
  </si>
  <si>
    <t>111</t>
    <phoneticPr fontId="2" type="noConversion"/>
  </si>
  <si>
    <t>55</t>
    <phoneticPr fontId="2" type="noConversion"/>
  </si>
  <si>
    <t>66</t>
    <phoneticPr fontId="2" type="noConversion"/>
  </si>
  <si>
    <t>66</t>
    <phoneticPr fontId="2" type="noConversion"/>
  </si>
  <si>
    <t>0</t>
    <phoneticPr fontId="2" type="noConversion"/>
  </si>
  <si>
    <t>2</t>
    <phoneticPr fontId="2" type="noConversion"/>
  </si>
  <si>
    <t>6</t>
    <phoneticPr fontId="2" type="noConversion"/>
  </si>
  <si>
    <t>2</t>
    <phoneticPr fontId="2" type="noConversion"/>
  </si>
  <si>
    <t>0</t>
    <phoneticPr fontId="2" type="noConversion"/>
  </si>
  <si>
    <t>C</t>
    <phoneticPr fontId="2" type="noConversion"/>
  </si>
  <si>
    <t>6</t>
    <phoneticPr fontId="2" type="noConversion"/>
  </si>
  <si>
    <t>1</t>
    <phoneticPr fontId="2" type="noConversion"/>
  </si>
  <si>
    <t>5</t>
    <phoneticPr fontId="2" type="noConversion"/>
  </si>
  <si>
    <t>8</t>
    <phoneticPr fontId="2" type="noConversion"/>
  </si>
  <si>
    <t>4</t>
    <phoneticPr fontId="2" type="noConversion"/>
  </si>
  <si>
    <t>77</t>
    <phoneticPr fontId="2" type="noConversion"/>
  </si>
  <si>
    <t>7</t>
    <phoneticPr fontId="2" type="noConversion"/>
  </si>
  <si>
    <t>O</t>
    <phoneticPr fontId="2" type="noConversion"/>
  </si>
  <si>
    <t>3</t>
    <phoneticPr fontId="2" type="noConversion"/>
  </si>
  <si>
    <t>4</t>
  </si>
  <si>
    <t>5</t>
  </si>
  <si>
    <t>6</t>
  </si>
  <si>
    <t>7</t>
  </si>
  <si>
    <t>ss1205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</si>
</sst>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等线"/>
      <family val="2"/>
      <scheme val="minor"/>
    </font>
    <font>
      <sz val="8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0"/>
      <color theme="1"/>
      <name val="TimesNewRoman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49" fontId="0" fillId="0" borderId="0" xfId="0" quotePrefix="1" applyNumberFormat="1"/>
    <xf numFmtId="0" fontId="0" fillId="0" borderId="0" xfId="0" quotePrefix="1"/>
    <xf numFmtId="22" fontId="0" fillId="0" borderId="0" xfId="0" applyNumberFormat="1"/>
    <xf numFmtId="0" fontId="4" fillId="0" borderId="0" xfId="0" applyFont="1" applyAlignment="1"/>
    <xf numFmtId="0" fontId="3" fillId="0" borderId="0" xfId="1"/>
    <xf numFmtId="49" fontId="0" fillId="0" borderId="0" xfId="0" applyNumberFormat="1"/>
    <xf numFmtId="22" fontId="0" fillId="0" borderId="0" xfId="0" quotePrefix="1" applyNumberFormat="1"/>
    <xf numFmtId="0" fontId="0" fillId="0" borderId="0" xfId="0" quotePrefix="1" applyAlignment="1">
      <alignment horizontal="left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2" borderId="0" xfId="0" quotePrefix="1" applyFill="1"/>
    <xf numFmtId="0" fontId="0" fillId="3" borderId="0" xfId="0" quotePrefix="1" applyFill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1600200</xdr:colOff>
      <xdr:row>22</xdr:row>
      <xdr:rowOff>0</xdr:rowOff>
    </xdr:from>
    <xdr:to>
      <xdr:col>9</xdr:col>
      <xdr:colOff>160884</xdr:colOff>
      <xdr:row>27</xdr:row>
      <xdr:rowOff>28458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3981450"/>
          <a:ext cx="8323809" cy="933333"/>
        </a:xfrm>
        <a:prstGeom prst="rect">
          <a:avLst/>
        </a:prstGeom>
      </xdr:spPr>
    </xdr:pic>
    <xdr:clientData/>
  </xdr:twoCellAnchor>
  <xdr:twoCellAnchor editAs="oneCell">
    <xdr:from>
      <xdr:col>15</xdr:col>
      <xdr:colOff>28575</xdr:colOff>
      <xdr:row>26</xdr:row>
      <xdr:rowOff>152400</xdr:rowOff>
    </xdr:from>
    <xdr:to>
      <xdr:col>25</xdr:col>
      <xdr:colOff>342003</xdr:colOff>
      <xdr:row>34</xdr:row>
      <xdr:rowOff>76029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35100" y="4857750"/>
          <a:ext cx="7171428" cy="13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2"/>
  <sheetViews>
    <sheetView workbookViewId="0">
      <selection activeCell="G17" sqref="G17"/>
    </sheetView>
  </sheetViews>
  <sheetFormatPr defaultRowHeight="14.25"/>
  <cols>
    <col min="2" max="2" width="21.375" customWidth="1"/>
    <col min="3" max="3" width="18.125" customWidth="1"/>
  </cols>
  <sheetData>
    <row r="1" spans="1:4">
      <c r="A1" t="s">
        <v>68</v>
      </c>
      <c r="B1" s="5" t="s">
        <v>66</v>
      </c>
      <c r="C1" s="5" t="s">
        <v>215</v>
      </c>
      <c r="D1" s="5" t="s">
        <v>67</v>
      </c>
    </row>
    <row r="2" spans="1:4">
      <c r="A2">
        <v>1</v>
      </c>
      <c r="B2" s="6" t="str">
        <f t="shared" ref="B2:B7" si="0">HYPERLINK("#"&amp;C2&amp;"!A"&amp;(D2+3),C2)</f>
        <v>NewOrderSingle</v>
      </c>
      <c r="C2" t="s">
        <v>216</v>
      </c>
      <c r="D2">
        <f>COUNTIF(C$2:C2,C2)</f>
        <v>1</v>
      </c>
    </row>
    <row r="3" spans="1:4">
      <c r="A3">
        <v>2</v>
      </c>
      <c r="B3" s="6" t="str">
        <f t="shared" si="0"/>
        <v>NewOrderSingle</v>
      </c>
      <c r="C3" t="s">
        <v>216</v>
      </c>
      <c r="D3">
        <f>COUNTIF(C$2:C3,C3)</f>
        <v>2</v>
      </c>
    </row>
    <row r="4" spans="1:4">
      <c r="A4">
        <v>3</v>
      </c>
      <c r="B4" s="6" t="str">
        <f t="shared" si="0"/>
        <v>OrderCancelRequest</v>
      </c>
      <c r="C4" t="s">
        <v>553</v>
      </c>
      <c r="D4">
        <f>COUNTIF(C$2:C4,C4)</f>
        <v>1</v>
      </c>
    </row>
    <row r="5" spans="1:4">
      <c r="A5">
        <v>4</v>
      </c>
      <c r="B5" s="6" t="str">
        <f t="shared" si="0"/>
        <v>NewOrderSingle</v>
      </c>
      <c r="C5" t="s">
        <v>216</v>
      </c>
      <c r="D5">
        <f>COUNTIF(C$2:C5,C5)</f>
        <v>3</v>
      </c>
    </row>
    <row r="6" spans="1:4">
      <c r="A6">
        <v>5</v>
      </c>
      <c r="B6" s="6" t="str">
        <f t="shared" si="0"/>
        <v>OrderCancelRequest</v>
      </c>
      <c r="C6" t="s">
        <v>553</v>
      </c>
      <c r="D6">
        <f>COUNTIF(C$2:C6,C6)</f>
        <v>2</v>
      </c>
    </row>
    <row r="7" spans="1:4">
      <c r="A7">
        <v>6</v>
      </c>
      <c r="B7" s="6" t="str">
        <f t="shared" si="0"/>
        <v>NewOrderSingle</v>
      </c>
      <c r="C7" t="s">
        <v>216</v>
      </c>
      <c r="D7">
        <f>COUNTIF(C$2:C7,C7)</f>
        <v>4</v>
      </c>
    </row>
    <row r="8" spans="1:4">
      <c r="A8">
        <v>7</v>
      </c>
      <c r="B8" s="6" t="str">
        <f t="shared" ref="B8:B12" si="1">HYPERLINK("#"&amp;C8&amp;"!A"&amp;(D8+3),C8)</f>
        <v>OrderCancelRequest</v>
      </c>
      <c r="C8" t="s">
        <v>553</v>
      </c>
      <c r="D8">
        <f>COUNTIF(C$2:C8,C8)</f>
        <v>3</v>
      </c>
    </row>
    <row r="9" spans="1:4">
      <c r="A9">
        <v>8</v>
      </c>
      <c r="B9" s="6" t="str">
        <f t="shared" si="1"/>
        <v>OrderCancelRequest</v>
      </c>
      <c r="C9" t="s">
        <v>553</v>
      </c>
      <c r="D9">
        <f>COUNTIF(C$2:C9,C9)</f>
        <v>4</v>
      </c>
    </row>
    <row r="10" spans="1:4">
      <c r="A10">
        <v>9</v>
      </c>
      <c r="B10" s="6" t="str">
        <f t="shared" si="1"/>
        <v>OrderCancelRequest</v>
      </c>
      <c r="C10" t="s">
        <v>553</v>
      </c>
      <c r="D10">
        <f>COUNTIF(C$2:C10,C10)</f>
        <v>5</v>
      </c>
    </row>
    <row r="11" spans="1:4">
      <c r="A11">
        <v>10</v>
      </c>
      <c r="B11" s="6" t="str">
        <f t="shared" si="1"/>
        <v>OrderCancelRequest</v>
      </c>
      <c r="C11" t="s">
        <v>553</v>
      </c>
      <c r="D11">
        <f>COUNTIF(C$2:C11,C11)</f>
        <v>6</v>
      </c>
    </row>
    <row r="12" spans="1:4">
      <c r="A12">
        <v>11</v>
      </c>
      <c r="B12" s="6" t="str">
        <f t="shared" si="1"/>
        <v>OrderCancelRequest</v>
      </c>
      <c r="C12" t="s">
        <v>553</v>
      </c>
      <c r="D12">
        <f>COUNTIF(C$2:C12,C12)</f>
        <v>7</v>
      </c>
    </row>
    <row r="13" spans="1:4">
      <c r="B13" s="6"/>
    </row>
    <row r="14" spans="1:4">
      <c r="B14" s="6"/>
    </row>
    <row r="15" spans="1:4">
      <c r="B15" s="6"/>
    </row>
    <row r="16" spans="1:4">
      <c r="B16" s="6"/>
    </row>
    <row r="17" spans="2:2">
      <c r="B17" s="6"/>
    </row>
    <row r="18" spans="2:2">
      <c r="B18" s="6"/>
    </row>
    <row r="19" spans="2:2">
      <c r="B19" s="6"/>
    </row>
    <row r="20" spans="2:2">
      <c r="B20" s="6"/>
    </row>
    <row r="21" spans="2:2">
      <c r="B21" s="6"/>
    </row>
    <row r="22" spans="2:2">
      <c r="B22" s="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43"/>
  <sheetViews>
    <sheetView workbookViewId="0">
      <selection activeCell="B19" sqref="B19"/>
    </sheetView>
  </sheetViews>
  <sheetFormatPr defaultRowHeight="14.25"/>
  <cols>
    <col min="2" max="2" width="16.25" customWidth="1"/>
    <col min="3" max="3" width="14.875" customWidth="1"/>
  </cols>
  <sheetData>
    <row r="1" spans="1:4">
      <c r="A1" t="s">
        <v>68</v>
      </c>
      <c r="B1" s="5" t="s">
        <v>66</v>
      </c>
      <c r="C1" s="5" t="s">
        <v>215</v>
      </c>
      <c r="D1" s="5" t="s">
        <v>67</v>
      </c>
    </row>
    <row r="2" spans="1:4">
      <c r="A2">
        <v>0</v>
      </c>
      <c r="B2" s="6" t="str">
        <f>HYPERLINK("#"&amp;C2&amp;"!A"&amp;(D2+3),C2)</f>
        <v>OnRspUserLogin</v>
      </c>
      <c r="C2" t="s">
        <v>213</v>
      </c>
      <c r="D2">
        <f>COUNTIF(C$2:C2,C2)</f>
        <v>1</v>
      </c>
    </row>
    <row r="3" spans="1:4" ht="18.75" customHeight="1">
      <c r="A3">
        <v>1</v>
      </c>
      <c r="B3" s="6" t="str">
        <f t="shared" ref="B3:B9" si="0">HYPERLINK("#"&amp;C3&amp;"!A"&amp;(D3+3),C3)</f>
        <v>ExecutionReport</v>
      </c>
      <c r="C3" t="s">
        <v>214</v>
      </c>
      <c r="D3">
        <f>COUNTIF(C$2:C3,C3)</f>
        <v>1</v>
      </c>
    </row>
    <row r="4" spans="1:4">
      <c r="A4">
        <v>1</v>
      </c>
      <c r="B4" s="6" t="str">
        <f t="shared" si="0"/>
        <v>ExecutionReport</v>
      </c>
      <c r="C4" t="s">
        <v>214</v>
      </c>
      <c r="D4">
        <f>COUNTIF(C$2:C4,C4)</f>
        <v>2</v>
      </c>
    </row>
    <row r="5" spans="1:4">
      <c r="A5">
        <v>1</v>
      </c>
      <c r="B5" s="6" t="str">
        <f t="shared" si="0"/>
        <v>ExecutionReport</v>
      </c>
      <c r="C5" t="s">
        <v>214</v>
      </c>
      <c r="D5">
        <f>COUNTIF(C$2:C5,C5)</f>
        <v>3</v>
      </c>
    </row>
    <row r="6" spans="1:4">
      <c r="A6">
        <v>1</v>
      </c>
      <c r="B6" s="6" t="str">
        <f t="shared" si="0"/>
        <v>ExecutionReport</v>
      </c>
      <c r="C6" t="s">
        <v>214</v>
      </c>
      <c r="D6">
        <f>COUNTIF(C$2:C6,C6)</f>
        <v>4</v>
      </c>
    </row>
    <row r="7" spans="1:4">
      <c r="A7">
        <v>1</v>
      </c>
      <c r="B7" s="6" t="str">
        <f t="shared" si="0"/>
        <v>ExecutionReport</v>
      </c>
      <c r="C7" t="s">
        <v>214</v>
      </c>
      <c r="D7">
        <f>COUNTIF(C$2:C7,C7)</f>
        <v>5</v>
      </c>
    </row>
    <row r="8" spans="1:4">
      <c r="A8">
        <v>1</v>
      </c>
      <c r="B8" s="6" t="str">
        <f t="shared" si="0"/>
        <v>ExecutionReport</v>
      </c>
      <c r="C8" t="s">
        <v>214</v>
      </c>
      <c r="D8">
        <f>COUNTIF(C$2:C8,C8)</f>
        <v>6</v>
      </c>
    </row>
    <row r="9" spans="1:4">
      <c r="A9">
        <v>2</v>
      </c>
      <c r="B9" s="6" t="str">
        <f t="shared" si="0"/>
        <v>BusinessMessageReject</v>
      </c>
      <c r="C9" t="s">
        <v>545</v>
      </c>
      <c r="D9">
        <f>COUNTIF(C$2:C9,C9)</f>
        <v>1</v>
      </c>
    </row>
    <row r="10" spans="1:4">
      <c r="A10">
        <v>3</v>
      </c>
      <c r="B10" s="6" t="str">
        <f t="shared" ref="B10" si="1">HYPERLINK("#"&amp;C10&amp;"!A"&amp;(D10+3),C10)</f>
        <v>ExecutionReport</v>
      </c>
      <c r="C10" t="s">
        <v>214</v>
      </c>
      <c r="D10">
        <f>COUNTIF(C$2:C10,C10)</f>
        <v>7</v>
      </c>
    </row>
    <row r="11" spans="1:4">
      <c r="A11">
        <v>3</v>
      </c>
      <c r="B11" s="6" t="str">
        <f t="shared" ref="B11:B13" si="2">HYPERLINK("#"&amp;C11&amp;"!A"&amp;(D11+3),C11)</f>
        <v>ExecutionReport</v>
      </c>
      <c r="C11" t="s">
        <v>214</v>
      </c>
      <c r="D11">
        <f>COUNTIF(C$2:C11,C11)</f>
        <v>8</v>
      </c>
    </row>
    <row r="12" spans="1:4">
      <c r="A12">
        <v>3</v>
      </c>
      <c r="B12" s="6" t="str">
        <f t="shared" ref="B12" si="3">HYPERLINK("#"&amp;C12&amp;"!A"&amp;(D12+3),C12)</f>
        <v>ExecutionReport</v>
      </c>
      <c r="C12" t="s">
        <v>214</v>
      </c>
      <c r="D12">
        <f>COUNTIF(C$2:C12,C12)</f>
        <v>9</v>
      </c>
    </row>
    <row r="13" spans="1:4">
      <c r="A13">
        <v>4</v>
      </c>
      <c r="B13" s="6" t="str">
        <f t="shared" si="2"/>
        <v>ExecutionReport</v>
      </c>
      <c r="C13" t="s">
        <v>214</v>
      </c>
      <c r="D13">
        <f>COUNTIF(C$2:C13,C13)</f>
        <v>10</v>
      </c>
    </row>
    <row r="14" spans="1:4">
      <c r="A14">
        <v>4</v>
      </c>
      <c r="B14" s="6" t="str">
        <f t="shared" ref="B14:B15" si="4">HYPERLINK("#"&amp;C14&amp;"!A"&amp;(D14+3),C14)</f>
        <v>ExecutionReport</v>
      </c>
      <c r="C14" t="s">
        <v>214</v>
      </c>
      <c r="D14">
        <f>COUNTIF(C$2:C14,C14)</f>
        <v>11</v>
      </c>
    </row>
    <row r="15" spans="1:4">
      <c r="A15">
        <v>5</v>
      </c>
      <c r="B15" s="6" t="str">
        <f t="shared" si="4"/>
        <v>ExecutionReport</v>
      </c>
      <c r="C15" t="s">
        <v>214</v>
      </c>
      <c r="D15">
        <f>COUNTIF(C$2:C15,C15)</f>
        <v>12</v>
      </c>
    </row>
    <row r="16" spans="1:4">
      <c r="A16">
        <v>5</v>
      </c>
      <c r="B16" s="6" t="str">
        <f t="shared" ref="B16:B17" si="5">HYPERLINK("#"&amp;C16&amp;"!A"&amp;(D16+3),C16)</f>
        <v>ExecutionReport</v>
      </c>
      <c r="C16" t="s">
        <v>214</v>
      </c>
      <c r="D16">
        <f>COUNTIF(C$2:C16,C16)</f>
        <v>13</v>
      </c>
    </row>
    <row r="17" spans="1:4">
      <c r="A17">
        <v>5</v>
      </c>
      <c r="B17" s="6" t="str">
        <f t="shared" si="5"/>
        <v>ExecutionReport</v>
      </c>
      <c r="C17" t="s">
        <v>214</v>
      </c>
      <c r="D17">
        <f>COUNTIF(C$2:C17,C17)</f>
        <v>14</v>
      </c>
    </row>
    <row r="18" spans="1:4">
      <c r="A18">
        <v>6</v>
      </c>
      <c r="B18" s="6" t="str">
        <f t="shared" ref="B18:B29" si="6">HYPERLINK("#"&amp;C18&amp;"!A"&amp;(D18+3),C18)</f>
        <v>ExecutionReport</v>
      </c>
      <c r="C18" t="s">
        <v>214</v>
      </c>
      <c r="D18">
        <f>COUNTIF(C$2:C18,C18)</f>
        <v>15</v>
      </c>
    </row>
    <row r="19" spans="1:4">
      <c r="A19">
        <v>6</v>
      </c>
      <c r="B19" s="6" t="str">
        <f t="shared" si="6"/>
        <v>ExecutionReport</v>
      </c>
      <c r="C19" t="s">
        <v>214</v>
      </c>
      <c r="D19">
        <f>COUNTIF(C$2:C19,C19)</f>
        <v>16</v>
      </c>
    </row>
    <row r="20" spans="1:4">
      <c r="A20">
        <v>6</v>
      </c>
      <c r="B20" s="6" t="str">
        <f t="shared" si="6"/>
        <v>ExecutionReport</v>
      </c>
      <c r="C20" t="s">
        <v>214</v>
      </c>
      <c r="D20">
        <f>COUNTIF(C$2:C20,C20)</f>
        <v>17</v>
      </c>
    </row>
    <row r="21" spans="1:4">
      <c r="A21">
        <v>6</v>
      </c>
      <c r="B21" s="6" t="str">
        <f t="shared" si="6"/>
        <v>ExecutionReport</v>
      </c>
      <c r="C21" t="s">
        <v>214</v>
      </c>
      <c r="D21">
        <f>COUNTIF(C$2:C21,C21)</f>
        <v>18</v>
      </c>
    </row>
    <row r="22" spans="1:4">
      <c r="A22">
        <v>6</v>
      </c>
      <c r="B22" s="6" t="str">
        <f t="shared" si="6"/>
        <v>ExecutionReport</v>
      </c>
      <c r="C22" t="s">
        <v>214</v>
      </c>
      <c r="D22">
        <f>COUNTIF(C$2:C22,C22)</f>
        <v>19</v>
      </c>
    </row>
    <row r="23" spans="1:4">
      <c r="A23">
        <v>6</v>
      </c>
      <c r="B23" s="6" t="str">
        <f t="shared" si="6"/>
        <v>ExecutionReport</v>
      </c>
      <c r="C23" t="s">
        <v>214</v>
      </c>
      <c r="D23">
        <f>COUNTIF(C$2:C23,C23)</f>
        <v>20</v>
      </c>
    </row>
    <row r="24" spans="1:4">
      <c r="A24">
        <v>7</v>
      </c>
      <c r="B24" s="6" t="str">
        <f t="shared" si="6"/>
        <v>ExecutionReport</v>
      </c>
      <c r="C24" t="s">
        <v>214</v>
      </c>
      <c r="D24">
        <f>COUNTIF(C$2:C24,C24)</f>
        <v>21</v>
      </c>
    </row>
    <row r="25" spans="1:4">
      <c r="A25">
        <v>7</v>
      </c>
      <c r="B25" s="6" t="str">
        <f t="shared" si="6"/>
        <v>ExecutionReport</v>
      </c>
      <c r="C25" t="s">
        <v>214</v>
      </c>
      <c r="D25">
        <f>COUNTIF(C$2:C25,C25)</f>
        <v>22</v>
      </c>
    </row>
    <row r="26" spans="1:4">
      <c r="A26">
        <v>7</v>
      </c>
      <c r="B26" s="6" t="str">
        <f t="shared" si="6"/>
        <v>ExecutionReport</v>
      </c>
      <c r="C26" t="s">
        <v>214</v>
      </c>
      <c r="D26">
        <f>COUNTIF(C$2:C26,C26)</f>
        <v>23</v>
      </c>
    </row>
    <row r="27" spans="1:4">
      <c r="A27">
        <v>8</v>
      </c>
      <c r="B27" s="6" t="str">
        <f t="shared" si="6"/>
        <v>ExecutionReport</v>
      </c>
      <c r="C27" t="s">
        <v>214</v>
      </c>
      <c r="D27">
        <f>COUNTIF(C$2:C27,C27)</f>
        <v>24</v>
      </c>
    </row>
    <row r="28" spans="1:4">
      <c r="A28">
        <v>8</v>
      </c>
      <c r="B28" s="6" t="str">
        <f t="shared" si="6"/>
        <v>ExecutionReport</v>
      </c>
      <c r="C28" t="s">
        <v>214</v>
      </c>
      <c r="D28">
        <f>COUNTIF(C$2:C28,C28)</f>
        <v>25</v>
      </c>
    </row>
    <row r="29" spans="1:4">
      <c r="A29">
        <v>8</v>
      </c>
      <c r="B29" s="6" t="str">
        <f t="shared" si="6"/>
        <v>ExecutionReport</v>
      </c>
      <c r="C29" t="s">
        <v>214</v>
      </c>
      <c r="D29">
        <f>COUNTIF(C$2:C29,C29)</f>
        <v>26</v>
      </c>
    </row>
    <row r="30" spans="1:4">
      <c r="A30">
        <v>9</v>
      </c>
      <c r="B30" s="6" t="str">
        <f>HYPERLINK("#"&amp;C30&amp;"!A"&amp;(D30+3),C30)</f>
        <v>ExecutionReport</v>
      </c>
      <c r="C30" t="s">
        <v>214</v>
      </c>
      <c r="D30">
        <f>COUNTIF(C$2:C30,C30)</f>
        <v>27</v>
      </c>
    </row>
    <row r="31" spans="1:4">
      <c r="A31">
        <v>9</v>
      </c>
      <c r="B31" s="6" t="str">
        <f t="shared" ref="B31:B37" si="7">HYPERLINK("#"&amp;C31&amp;"!A"&amp;(D31+3),C31)</f>
        <v>ExecutionReport</v>
      </c>
      <c r="C31" t="s">
        <v>214</v>
      </c>
      <c r="D31">
        <f>COUNTIF(C$2:C31,C31)</f>
        <v>28</v>
      </c>
    </row>
    <row r="32" spans="1:4">
      <c r="A32">
        <v>9</v>
      </c>
      <c r="B32" s="6" t="str">
        <f t="shared" si="7"/>
        <v>ExecutionReport</v>
      </c>
      <c r="C32" t="s">
        <v>214</v>
      </c>
      <c r="D32">
        <f>COUNTIF(C$2:C32,C32)</f>
        <v>29</v>
      </c>
    </row>
    <row r="33" spans="1:4">
      <c r="A33">
        <v>10</v>
      </c>
      <c r="B33" s="6" t="str">
        <f t="shared" si="7"/>
        <v>ExecutionReport</v>
      </c>
      <c r="C33" t="s">
        <v>214</v>
      </c>
      <c r="D33">
        <f>COUNTIF(C$2:C33,C33)</f>
        <v>30</v>
      </c>
    </row>
    <row r="34" spans="1:4">
      <c r="A34">
        <v>10</v>
      </c>
      <c r="B34" s="6" t="str">
        <f t="shared" si="7"/>
        <v>ExecutionReport</v>
      </c>
      <c r="C34" t="s">
        <v>214</v>
      </c>
      <c r="D34">
        <f>COUNTIF(C$2:C34,C34)</f>
        <v>31</v>
      </c>
    </row>
    <row r="35" spans="1:4">
      <c r="A35">
        <v>10</v>
      </c>
      <c r="B35" s="6" t="str">
        <f t="shared" si="7"/>
        <v>ExecutionReport</v>
      </c>
      <c r="C35" t="s">
        <v>214</v>
      </c>
      <c r="D35">
        <f>COUNTIF(C$2:C35,C35)</f>
        <v>32</v>
      </c>
    </row>
    <row r="36" spans="1:4">
      <c r="A36">
        <v>11</v>
      </c>
      <c r="B36" s="6" t="str">
        <f t="shared" si="7"/>
        <v>ExecutionReport</v>
      </c>
      <c r="C36" t="s">
        <v>214</v>
      </c>
      <c r="D36">
        <f>COUNTIF(C$2:C36,C36)</f>
        <v>33</v>
      </c>
    </row>
    <row r="37" spans="1:4">
      <c r="A37">
        <v>11</v>
      </c>
      <c r="B37" s="6" t="str">
        <f t="shared" si="7"/>
        <v>ExecutionReport</v>
      </c>
      <c r="C37" t="s">
        <v>214</v>
      </c>
      <c r="D37">
        <f>COUNTIF(C$2:C37,C37)</f>
        <v>34</v>
      </c>
    </row>
    <row r="38" spans="1:4">
      <c r="A38">
        <v>11</v>
      </c>
      <c r="B38" s="6" t="str">
        <f>HYPERLINK("#"&amp;C38&amp;"!A"&amp;(D38+3),C38)</f>
        <v>ExecutionReport</v>
      </c>
      <c r="C38" t="s">
        <v>214</v>
      </c>
      <c r="D38">
        <f>COUNTIF(C$2:C38,C38)</f>
        <v>35</v>
      </c>
    </row>
    <row r="39" spans="1:4">
      <c r="B39" s="6"/>
    </row>
    <row r="40" spans="1:4">
      <c r="B40" s="6"/>
    </row>
    <row r="41" spans="1:4">
      <c r="B41" s="6"/>
    </row>
    <row r="42" spans="1:4">
      <c r="B42" s="6"/>
    </row>
    <row r="43" spans="1:4">
      <c r="B43" s="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G87"/>
  <sheetViews>
    <sheetView topLeftCell="A49" workbookViewId="0">
      <selection activeCell="B76" sqref="B76"/>
    </sheetView>
  </sheetViews>
  <sheetFormatPr defaultRowHeight="14.25"/>
  <cols>
    <col min="2" max="2" width="35" customWidth="1"/>
    <col min="3" max="3" width="19.5" customWidth="1"/>
    <col min="4" max="4" width="21.75" customWidth="1"/>
    <col min="5" max="5" width="12.875" customWidth="1"/>
    <col min="6" max="6" width="12" customWidth="1"/>
  </cols>
  <sheetData>
    <row r="1" spans="1:33">
      <c r="G1" t="s">
        <v>459</v>
      </c>
      <c r="H1" t="s">
        <v>460</v>
      </c>
      <c r="I1" t="s">
        <v>461</v>
      </c>
      <c r="J1" t="s">
        <v>462</v>
      </c>
      <c r="K1" t="s">
        <v>463</v>
      </c>
      <c r="L1" t="s">
        <v>477</v>
      </c>
      <c r="M1" t="s">
        <v>478</v>
      </c>
      <c r="N1" t="s">
        <v>479</v>
      </c>
      <c r="O1" t="s">
        <v>480</v>
      </c>
    </row>
    <row r="2" spans="1:33">
      <c r="F2" t="s">
        <v>481</v>
      </c>
      <c r="G2" t="s">
        <v>651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AG2" s="3"/>
    </row>
    <row r="3" spans="1:33">
      <c r="A3" t="s">
        <v>484</v>
      </c>
      <c r="B3" s="3" t="s">
        <v>494</v>
      </c>
      <c r="F3" t="s">
        <v>482</v>
      </c>
      <c r="G3" t="s">
        <v>651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33">
      <c r="A4" t="s">
        <v>464</v>
      </c>
      <c r="B4" s="2" t="s">
        <v>465</v>
      </c>
      <c r="C4" s="2" t="s">
        <v>466</v>
      </c>
      <c r="D4" s="2"/>
      <c r="F4" s="2"/>
      <c r="G4" s="2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33">
      <c r="A5">
        <v>1</v>
      </c>
      <c r="B5" s="3" t="s">
        <v>467</v>
      </c>
      <c r="C5" s="3" t="s">
        <v>468</v>
      </c>
      <c r="D5" s="3"/>
      <c r="F5" s="4"/>
      <c r="G5" s="4"/>
      <c r="H5" s="3"/>
      <c r="I5" s="3"/>
      <c r="J5" s="3"/>
      <c r="K5" s="3"/>
      <c r="L5" s="3"/>
      <c r="M5" s="3"/>
      <c r="N5" s="3"/>
      <c r="O5" s="3"/>
      <c r="P5" s="3"/>
      <c r="Q5" s="3"/>
      <c r="S5" s="3"/>
      <c r="T5" s="3"/>
    </row>
    <row r="6" spans="1:33">
      <c r="A6">
        <v>2</v>
      </c>
      <c r="B6" t="s">
        <v>469</v>
      </c>
      <c r="C6" t="s">
        <v>470</v>
      </c>
    </row>
    <row r="7" spans="1:33">
      <c r="A7">
        <v>3</v>
      </c>
      <c r="B7" t="s">
        <v>471</v>
      </c>
      <c r="C7" t="s">
        <v>472</v>
      </c>
    </row>
    <row r="8" spans="1:33">
      <c r="A8">
        <v>4</v>
      </c>
      <c r="B8" t="s">
        <v>473</v>
      </c>
      <c r="C8" t="s">
        <v>472</v>
      </c>
    </row>
    <row r="9" spans="1:33" s="10" customFormat="1">
      <c r="A9" s="10">
        <v>5</v>
      </c>
      <c r="B9" s="10" t="s">
        <v>657</v>
      </c>
      <c r="C9" s="10" t="s">
        <v>474</v>
      </c>
    </row>
    <row r="10" spans="1:33" s="12" customFormat="1">
      <c r="A10" s="12">
        <v>6</v>
      </c>
      <c r="B10" s="12" t="s">
        <v>475</v>
      </c>
      <c r="C10" s="12" t="s">
        <v>476</v>
      </c>
      <c r="F10" s="12" t="s">
        <v>481</v>
      </c>
      <c r="G10" s="12" t="s">
        <v>651</v>
      </c>
      <c r="H10" s="12">
        <v>2</v>
      </c>
      <c r="I10" s="12">
        <v>0</v>
      </c>
      <c r="J10" s="12">
        <v>0</v>
      </c>
      <c r="K10" s="12">
        <v>0</v>
      </c>
      <c r="L10" s="12">
        <v>1</v>
      </c>
      <c r="M10" s="12">
        <v>0</v>
      </c>
      <c r="N10" s="12">
        <v>0</v>
      </c>
      <c r="O10" s="12">
        <v>0</v>
      </c>
    </row>
    <row r="11" spans="1:33" s="10" customFormat="1">
      <c r="A11" s="10">
        <v>7</v>
      </c>
      <c r="B11" s="10" t="s">
        <v>483</v>
      </c>
      <c r="C11" s="10" t="s">
        <v>474</v>
      </c>
    </row>
    <row r="13" spans="1:33">
      <c r="A13" t="s">
        <v>485</v>
      </c>
      <c r="B13" s="3" t="s">
        <v>493</v>
      </c>
    </row>
    <row r="14" spans="1:33" s="10" customFormat="1">
      <c r="A14" s="10">
        <v>1</v>
      </c>
      <c r="B14" s="10" t="s">
        <v>486</v>
      </c>
      <c r="C14" s="10" t="s">
        <v>487</v>
      </c>
      <c r="F14" s="10" t="s">
        <v>481</v>
      </c>
      <c r="G14" s="10" t="s">
        <v>651</v>
      </c>
      <c r="H14" s="10">
        <v>2</v>
      </c>
      <c r="I14" s="10">
        <v>1</v>
      </c>
      <c r="J14" s="10">
        <v>0</v>
      </c>
      <c r="K14" s="10">
        <v>0</v>
      </c>
      <c r="L14" s="10">
        <v>1</v>
      </c>
      <c r="M14" s="10">
        <v>0</v>
      </c>
      <c r="N14" s="10">
        <v>0</v>
      </c>
      <c r="O14" s="10">
        <v>0</v>
      </c>
    </row>
    <row r="15" spans="1:33">
      <c r="F15" t="s">
        <v>482</v>
      </c>
      <c r="G15" t="s">
        <v>651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</row>
    <row r="16" spans="1:33">
      <c r="A16">
        <v>2</v>
      </c>
      <c r="B16" t="s">
        <v>489</v>
      </c>
      <c r="C16" t="s">
        <v>488</v>
      </c>
    </row>
    <row r="17" spans="1:15" s="10" customFormat="1">
      <c r="A17" s="10">
        <v>3</v>
      </c>
      <c r="B17" s="10" t="s">
        <v>490</v>
      </c>
      <c r="C17" s="10" t="s">
        <v>491</v>
      </c>
      <c r="F17" s="10" t="s">
        <v>481</v>
      </c>
      <c r="G17" s="10" t="s">
        <v>651</v>
      </c>
      <c r="H17" s="10">
        <v>2</v>
      </c>
      <c r="I17" s="10">
        <v>4</v>
      </c>
      <c r="J17" s="10">
        <v>0</v>
      </c>
      <c r="K17" s="10">
        <v>0</v>
      </c>
      <c r="L17" s="10">
        <v>1</v>
      </c>
      <c r="M17" s="10">
        <v>0</v>
      </c>
      <c r="N17" s="10">
        <v>0</v>
      </c>
      <c r="O17" s="10">
        <v>0</v>
      </c>
    </row>
    <row r="18" spans="1:15">
      <c r="F18" t="s">
        <v>482</v>
      </c>
      <c r="G18" t="s">
        <v>651</v>
      </c>
      <c r="H18">
        <v>0</v>
      </c>
      <c r="I18">
        <v>0</v>
      </c>
      <c r="J18">
        <v>0</v>
      </c>
      <c r="K18">
        <v>4</v>
      </c>
      <c r="L18">
        <v>0</v>
      </c>
      <c r="M18">
        <v>0</v>
      </c>
      <c r="N18">
        <v>0</v>
      </c>
      <c r="O18">
        <v>0</v>
      </c>
    </row>
    <row r="20" spans="1:15" s="12" customFormat="1">
      <c r="A20" s="12">
        <v>4</v>
      </c>
      <c r="B20" s="12" t="s">
        <v>492</v>
      </c>
      <c r="C20" s="12" t="s">
        <v>497</v>
      </c>
      <c r="F20" s="12" t="s">
        <v>481</v>
      </c>
      <c r="G20" s="12" t="s">
        <v>651</v>
      </c>
      <c r="H20" s="12">
        <v>1</v>
      </c>
      <c r="I20" s="12">
        <v>4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</row>
    <row r="21" spans="1:15">
      <c r="F21" t="s">
        <v>482</v>
      </c>
      <c r="G21" t="s">
        <v>651</v>
      </c>
      <c r="H21">
        <v>0</v>
      </c>
      <c r="I21">
        <v>0</v>
      </c>
      <c r="J21">
        <v>0</v>
      </c>
      <c r="K21">
        <v>3</v>
      </c>
      <c r="L21">
        <v>0</v>
      </c>
      <c r="M21">
        <v>0</v>
      </c>
      <c r="N21">
        <v>0</v>
      </c>
      <c r="O21">
        <v>3</v>
      </c>
    </row>
    <row r="23" spans="1:15">
      <c r="A23">
        <v>5</v>
      </c>
      <c r="B23" t="s">
        <v>498</v>
      </c>
    </row>
    <row r="24" spans="1:15">
      <c r="A24">
        <v>6</v>
      </c>
      <c r="B24" t="s">
        <v>499</v>
      </c>
    </row>
    <row r="28" spans="1:15">
      <c r="A28" t="s">
        <v>495</v>
      </c>
      <c r="B28" s="3" t="s">
        <v>494</v>
      </c>
    </row>
    <row r="29" spans="1:15">
      <c r="A29">
        <v>1</v>
      </c>
      <c r="B29" s="10" t="s">
        <v>496</v>
      </c>
      <c r="C29" s="10" t="s">
        <v>500</v>
      </c>
      <c r="F29" t="s">
        <v>481</v>
      </c>
      <c r="G29" t="s">
        <v>651</v>
      </c>
      <c r="H29">
        <v>1</v>
      </c>
      <c r="I29">
        <v>4</v>
      </c>
      <c r="J29">
        <v>0</v>
      </c>
      <c r="K29">
        <v>0</v>
      </c>
      <c r="L29">
        <v>1</v>
      </c>
      <c r="M29">
        <v>4</v>
      </c>
      <c r="N29">
        <v>0</v>
      </c>
      <c r="O29">
        <v>0</v>
      </c>
    </row>
    <row r="30" spans="1:15">
      <c r="A30">
        <v>2</v>
      </c>
      <c r="B30" t="s">
        <v>543</v>
      </c>
      <c r="C30" t="s">
        <v>544</v>
      </c>
    </row>
    <row r="31" spans="1:15">
      <c r="A31">
        <v>3</v>
      </c>
      <c r="B31" t="s">
        <v>546</v>
      </c>
      <c r="C31" t="s">
        <v>547</v>
      </c>
      <c r="F31" t="s">
        <v>481</v>
      </c>
      <c r="G31" t="s">
        <v>651</v>
      </c>
      <c r="H31">
        <v>1</v>
      </c>
      <c r="I31">
        <v>4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</row>
    <row r="32" spans="1:15">
      <c r="A32">
        <v>4</v>
      </c>
      <c r="B32" s="10" t="s">
        <v>548</v>
      </c>
      <c r="C32" s="10" t="s">
        <v>549</v>
      </c>
      <c r="F32" t="s">
        <v>481</v>
      </c>
      <c r="G32" t="s">
        <v>651</v>
      </c>
      <c r="H32">
        <v>1</v>
      </c>
      <c r="I32">
        <v>4</v>
      </c>
      <c r="J32">
        <v>0</v>
      </c>
      <c r="K32">
        <v>0</v>
      </c>
      <c r="L32">
        <v>1</v>
      </c>
      <c r="M32">
        <v>2</v>
      </c>
      <c r="N32">
        <v>0</v>
      </c>
      <c r="O32">
        <v>0</v>
      </c>
    </row>
    <row r="33" spans="1:15">
      <c r="A33">
        <v>5</v>
      </c>
      <c r="B33" t="s">
        <v>550</v>
      </c>
      <c r="C33" t="s">
        <v>547</v>
      </c>
      <c r="F33" t="s">
        <v>481</v>
      </c>
      <c r="G33" t="s">
        <v>651</v>
      </c>
      <c r="H33">
        <v>1</v>
      </c>
      <c r="I33">
        <v>4</v>
      </c>
      <c r="J33">
        <v>0</v>
      </c>
      <c r="K33">
        <v>0</v>
      </c>
      <c r="L33">
        <v>0</v>
      </c>
      <c r="M33">
        <v>2</v>
      </c>
      <c r="N33">
        <v>0</v>
      </c>
      <c r="O33">
        <v>0</v>
      </c>
    </row>
    <row r="34" spans="1:15">
      <c r="A34">
        <v>6</v>
      </c>
      <c r="B34" s="10" t="s">
        <v>551</v>
      </c>
      <c r="C34" s="10" t="s">
        <v>552</v>
      </c>
      <c r="F34" t="s">
        <v>481</v>
      </c>
      <c r="G34" t="s">
        <v>651</v>
      </c>
      <c r="H34">
        <v>1</v>
      </c>
      <c r="I34">
        <v>4</v>
      </c>
      <c r="J34">
        <v>0</v>
      </c>
      <c r="K34">
        <v>0</v>
      </c>
      <c r="L34">
        <v>1</v>
      </c>
      <c r="M34">
        <v>4</v>
      </c>
      <c r="N34">
        <v>0</v>
      </c>
      <c r="O34">
        <v>0</v>
      </c>
    </row>
    <row r="35" spans="1:15">
      <c r="A35">
        <v>7</v>
      </c>
      <c r="B35" t="s">
        <v>573</v>
      </c>
      <c r="C35" t="s">
        <v>572</v>
      </c>
    </row>
    <row r="36" spans="1:15">
      <c r="A36">
        <v>8</v>
      </c>
      <c r="B36" s="11" t="s">
        <v>592</v>
      </c>
      <c r="C36" s="11" t="s">
        <v>593</v>
      </c>
    </row>
    <row r="37" spans="1:15">
      <c r="A37">
        <v>9</v>
      </c>
      <c r="B37" s="11" t="s">
        <v>596</v>
      </c>
      <c r="C37" s="11" t="s">
        <v>595</v>
      </c>
    </row>
    <row r="38" spans="1:15">
      <c r="A38">
        <v>10</v>
      </c>
      <c r="B38" s="11" t="s">
        <v>633</v>
      </c>
      <c r="C38" s="11" t="s">
        <v>597</v>
      </c>
    </row>
    <row r="39" spans="1:15">
      <c r="A39">
        <v>11</v>
      </c>
      <c r="B39" s="11" t="s">
        <v>599</v>
      </c>
      <c r="C39" s="11" t="s">
        <v>597</v>
      </c>
    </row>
    <row r="40" spans="1:15">
      <c r="A40">
        <v>12</v>
      </c>
      <c r="B40" s="11" t="s">
        <v>603</v>
      </c>
      <c r="C40" s="11" t="s">
        <v>547</v>
      </c>
    </row>
    <row r="41" spans="1:15">
      <c r="A41">
        <v>13</v>
      </c>
      <c r="B41" s="11" t="s">
        <v>605</v>
      </c>
      <c r="C41" s="11" t="s">
        <v>606</v>
      </c>
    </row>
    <row r="42" spans="1:15">
      <c r="A42">
        <v>14</v>
      </c>
      <c r="B42" s="11" t="s">
        <v>613</v>
      </c>
      <c r="C42" s="11" t="s">
        <v>614</v>
      </c>
    </row>
    <row r="43" spans="1:15">
      <c r="A43">
        <v>15</v>
      </c>
      <c r="B43" s="11" t="s">
        <v>615</v>
      </c>
      <c r="C43" s="11" t="s">
        <v>614</v>
      </c>
    </row>
    <row r="44" spans="1:15">
      <c r="A44">
        <v>16</v>
      </c>
      <c r="B44" s="11" t="s">
        <v>616</v>
      </c>
      <c r="C44" s="11" t="s">
        <v>614</v>
      </c>
    </row>
    <row r="45" spans="1:15">
      <c r="A45">
        <v>17</v>
      </c>
      <c r="B45" s="11" t="s">
        <v>630</v>
      </c>
      <c r="C45" s="11" t="s">
        <v>614</v>
      </c>
    </row>
    <row r="46" spans="1:15">
      <c r="A46">
        <v>18</v>
      </c>
      <c r="B46" s="11" t="s">
        <v>617</v>
      </c>
      <c r="C46" s="11" t="s">
        <v>614</v>
      </c>
    </row>
    <row r="47" spans="1:15">
      <c r="A47">
        <v>19</v>
      </c>
      <c r="B47" s="11" t="s">
        <v>618</v>
      </c>
      <c r="C47" s="11" t="s">
        <v>614</v>
      </c>
    </row>
    <row r="48" spans="1:15">
      <c r="B48" s="11" t="s">
        <v>625</v>
      </c>
      <c r="C48" s="11" t="s">
        <v>626</v>
      </c>
      <c r="D48" t="s">
        <v>629</v>
      </c>
    </row>
    <row r="49" spans="1:3">
      <c r="A49">
        <v>20</v>
      </c>
      <c r="B49" s="11" t="s">
        <v>631</v>
      </c>
      <c r="C49" s="11" t="s">
        <v>595</v>
      </c>
    </row>
    <row r="50" spans="1:3">
      <c r="A50">
        <v>20</v>
      </c>
      <c r="B50" s="11" t="s">
        <v>634</v>
      </c>
      <c r="C50" s="11" t="s">
        <v>597</v>
      </c>
    </row>
    <row r="53" spans="1:3">
      <c r="A53" t="s">
        <v>601</v>
      </c>
      <c r="B53" t="s">
        <v>643</v>
      </c>
    </row>
    <row r="54" spans="1:3">
      <c r="A54">
        <v>1</v>
      </c>
      <c r="B54" t="s">
        <v>636</v>
      </c>
    </row>
    <row r="55" spans="1:3">
      <c r="A55">
        <v>2</v>
      </c>
      <c r="B55" s="2" t="s">
        <v>637</v>
      </c>
    </row>
    <row r="56" spans="1:3">
      <c r="A56">
        <v>3</v>
      </c>
      <c r="B56" s="2" t="s">
        <v>638</v>
      </c>
    </row>
    <row r="57" spans="1:3">
      <c r="A57">
        <v>4</v>
      </c>
      <c r="B57" s="3" t="s">
        <v>639</v>
      </c>
    </row>
    <row r="58" spans="1:3" s="10" customFormat="1">
      <c r="A58" s="10">
        <v>5</v>
      </c>
      <c r="B58" s="13" t="s">
        <v>640</v>
      </c>
    </row>
    <row r="59" spans="1:3" s="12" customFormat="1">
      <c r="A59" s="12">
        <v>6</v>
      </c>
      <c r="B59" s="14" t="s">
        <v>641</v>
      </c>
    </row>
    <row r="60" spans="1:3" s="10" customFormat="1">
      <c r="A60" s="10">
        <v>7</v>
      </c>
      <c r="B60" s="13" t="s">
        <v>640</v>
      </c>
    </row>
    <row r="63" spans="1:3">
      <c r="A63" t="s">
        <v>642</v>
      </c>
      <c r="B63" t="s">
        <v>644</v>
      </c>
    </row>
    <row r="64" spans="1:3" s="10" customFormat="1">
      <c r="A64" s="10">
        <v>1</v>
      </c>
      <c r="B64" s="10" t="s">
        <v>648</v>
      </c>
    </row>
    <row r="65" spans="1:3" s="10" customFormat="1">
      <c r="A65" s="10">
        <v>2</v>
      </c>
      <c r="B65" s="10" t="s">
        <v>649</v>
      </c>
    </row>
    <row r="66" spans="1:3">
      <c r="A66">
        <v>3</v>
      </c>
      <c r="B66" t="s">
        <v>645</v>
      </c>
    </row>
    <row r="67" spans="1:3" s="12" customFormat="1">
      <c r="A67" s="12">
        <v>4</v>
      </c>
      <c r="B67" s="12" t="s">
        <v>661</v>
      </c>
    </row>
    <row r="68" spans="1:3">
      <c r="A68">
        <v>5</v>
      </c>
      <c r="B68" t="s">
        <v>646</v>
      </c>
    </row>
    <row r="69" spans="1:3">
      <c r="A69">
        <v>6</v>
      </c>
      <c r="B69" t="s">
        <v>647</v>
      </c>
    </row>
    <row r="71" spans="1:3">
      <c r="A71" t="s">
        <v>650</v>
      </c>
      <c r="B71" t="s">
        <v>643</v>
      </c>
    </row>
    <row r="72" spans="1:3">
      <c r="A72">
        <v>1</v>
      </c>
      <c r="B72" s="10" t="s">
        <v>496</v>
      </c>
      <c r="C72" s="10" t="s">
        <v>500</v>
      </c>
    </row>
    <row r="73" spans="1:3">
      <c r="A73">
        <v>2</v>
      </c>
      <c r="B73" t="s">
        <v>543</v>
      </c>
      <c r="C73" t="s">
        <v>544</v>
      </c>
    </row>
    <row r="74" spans="1:3">
      <c r="A74">
        <v>3</v>
      </c>
      <c r="B74" t="s">
        <v>546</v>
      </c>
      <c r="C74" t="s">
        <v>547</v>
      </c>
    </row>
    <row r="75" spans="1:3">
      <c r="A75">
        <v>4</v>
      </c>
      <c r="B75" s="10" t="s">
        <v>652</v>
      </c>
      <c r="C75" s="10" t="s">
        <v>653</v>
      </c>
    </row>
    <row r="76" spans="1:3">
      <c r="A76">
        <v>5</v>
      </c>
      <c r="B76" t="s">
        <v>550</v>
      </c>
      <c r="C76" t="s">
        <v>547</v>
      </c>
    </row>
    <row r="77" spans="1:3">
      <c r="A77">
        <v>6</v>
      </c>
      <c r="B77" s="10" t="s">
        <v>551</v>
      </c>
      <c r="C77" s="10" t="s">
        <v>552</v>
      </c>
    </row>
    <row r="78" spans="1:3">
      <c r="A78">
        <v>7</v>
      </c>
      <c r="B78" t="s">
        <v>662</v>
      </c>
    </row>
    <row r="84" spans="2:2">
      <c r="B84" s="3" t="s">
        <v>612</v>
      </c>
    </row>
    <row r="85" spans="2:2">
      <c r="B85" t="s">
        <v>627</v>
      </c>
    </row>
    <row r="86" spans="2:2">
      <c r="B86" t="s">
        <v>602</v>
      </c>
    </row>
    <row r="87" spans="2:2">
      <c r="B87" t="s">
        <v>619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AJ20"/>
  <sheetViews>
    <sheetView workbookViewId="0">
      <selection activeCell="A7" sqref="A7:XFD7"/>
    </sheetView>
  </sheetViews>
  <sheetFormatPr defaultRowHeight="14.25"/>
  <cols>
    <col min="6" max="6" width="15.75" customWidth="1"/>
    <col min="7" max="7" width="14.625" customWidth="1"/>
    <col min="11" max="11" width="13.5" customWidth="1"/>
    <col min="19" max="19" width="13.25" customWidth="1"/>
    <col min="35" max="35" width="14.75" customWidth="1"/>
  </cols>
  <sheetData>
    <row r="1" spans="1:36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122</v>
      </c>
      <c r="H1" t="s">
        <v>6</v>
      </c>
      <c r="I1" t="s">
        <v>32</v>
      </c>
      <c r="J1" t="s">
        <v>55</v>
      </c>
      <c r="K1" t="s">
        <v>34</v>
      </c>
      <c r="L1" t="s">
        <v>155</v>
      </c>
      <c r="M1" t="s">
        <v>54</v>
      </c>
      <c r="N1" t="s">
        <v>91</v>
      </c>
      <c r="O1" t="s">
        <v>40</v>
      </c>
      <c r="P1" t="s">
        <v>35</v>
      </c>
      <c r="Q1" t="s">
        <v>39</v>
      </c>
      <c r="R1" t="s">
        <v>37</v>
      </c>
      <c r="S1" t="s">
        <v>33</v>
      </c>
      <c r="T1" t="s">
        <v>42</v>
      </c>
      <c r="U1" t="s">
        <v>48</v>
      </c>
      <c r="V1" t="s">
        <v>38</v>
      </c>
      <c r="W1" t="s">
        <v>44</v>
      </c>
      <c r="X1" t="s">
        <v>43</v>
      </c>
      <c r="Y1" t="s">
        <v>45</v>
      </c>
      <c r="Z1" t="s">
        <v>116</v>
      </c>
      <c r="AA1" t="s">
        <v>49</v>
      </c>
      <c r="AB1" t="s">
        <v>51</v>
      </c>
      <c r="AC1" t="s">
        <v>52</v>
      </c>
      <c r="AD1" t="s">
        <v>51</v>
      </c>
      <c r="AE1" t="s">
        <v>52</v>
      </c>
      <c r="AF1" t="s">
        <v>56</v>
      </c>
      <c r="AG1" t="s">
        <v>53</v>
      </c>
      <c r="AH1" t="s">
        <v>58</v>
      </c>
      <c r="AI1" t="s">
        <v>223</v>
      </c>
      <c r="AJ1" s="1" t="s">
        <v>17</v>
      </c>
    </row>
    <row r="2" spans="1:36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10</v>
      </c>
      <c r="H2" t="s">
        <v>1</v>
      </c>
      <c r="I2" t="s">
        <v>10</v>
      </c>
      <c r="J2" t="s">
        <v>39</v>
      </c>
      <c r="K2" t="s">
        <v>13</v>
      </c>
      <c r="L2" t="s">
        <v>155</v>
      </c>
      <c r="M2" t="s">
        <v>36</v>
      </c>
      <c r="N2" t="s">
        <v>36</v>
      </c>
      <c r="O2" t="s">
        <v>41</v>
      </c>
      <c r="P2" t="s">
        <v>36</v>
      </c>
      <c r="Q2" t="s">
        <v>39</v>
      </c>
      <c r="R2" t="s">
        <v>36</v>
      </c>
      <c r="S2" t="s">
        <v>10</v>
      </c>
      <c r="T2" t="s">
        <v>36</v>
      </c>
      <c r="U2" t="s">
        <v>47</v>
      </c>
      <c r="V2" t="s">
        <v>36</v>
      </c>
      <c r="W2" t="s">
        <v>39</v>
      </c>
      <c r="X2" t="s">
        <v>41</v>
      </c>
      <c r="Y2" t="s">
        <v>46</v>
      </c>
      <c r="Z2" t="s">
        <v>117</v>
      </c>
      <c r="AA2" t="s">
        <v>50</v>
      </c>
      <c r="AB2" t="s">
        <v>10</v>
      </c>
      <c r="AC2" t="s">
        <v>13</v>
      </c>
      <c r="AD2" t="s">
        <v>10</v>
      </c>
      <c r="AE2" t="s">
        <v>13</v>
      </c>
      <c r="AF2" t="s">
        <v>57</v>
      </c>
      <c r="AG2" t="s">
        <v>14</v>
      </c>
      <c r="AH2" t="s">
        <v>57</v>
      </c>
      <c r="AI2" t="s">
        <v>57</v>
      </c>
      <c r="AJ2" t="s">
        <v>10</v>
      </c>
    </row>
    <row r="3" spans="1:36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218</v>
      </c>
      <c r="H3" s="2" t="s">
        <v>22</v>
      </c>
      <c r="I3" s="3" t="s">
        <v>65</v>
      </c>
      <c r="J3" s="3" t="s">
        <v>69</v>
      </c>
      <c r="K3" s="3" t="s">
        <v>70</v>
      </c>
      <c r="L3" s="3" t="s">
        <v>221</v>
      </c>
      <c r="M3" s="3" t="s">
        <v>71</v>
      </c>
      <c r="N3" s="3" t="s">
        <v>92</v>
      </c>
      <c r="O3" s="3" t="s">
        <v>72</v>
      </c>
      <c r="P3" s="3" t="s">
        <v>73</v>
      </c>
      <c r="Q3" s="3" t="s">
        <v>74</v>
      </c>
      <c r="R3" s="3" t="s">
        <v>75</v>
      </c>
      <c r="S3" s="3" t="s">
        <v>76</v>
      </c>
      <c r="T3" s="3" t="s">
        <v>77</v>
      </c>
      <c r="U3" s="3" t="s">
        <v>78</v>
      </c>
      <c r="V3" s="3" t="s">
        <v>79</v>
      </c>
      <c r="W3" s="3" t="s">
        <v>80</v>
      </c>
      <c r="X3" s="3" t="s">
        <v>81</v>
      </c>
      <c r="Y3" s="3" t="s">
        <v>82</v>
      </c>
      <c r="Z3">
        <v>432</v>
      </c>
      <c r="AA3" s="3" t="s">
        <v>83</v>
      </c>
      <c r="AB3" s="3" t="s">
        <v>115</v>
      </c>
      <c r="AC3" s="3" t="s">
        <v>114</v>
      </c>
      <c r="AD3" s="3" t="s">
        <v>219</v>
      </c>
      <c r="AE3" s="3" t="s">
        <v>220</v>
      </c>
      <c r="AF3" s="3" t="s">
        <v>84</v>
      </c>
      <c r="AG3" s="3" t="s">
        <v>85</v>
      </c>
      <c r="AH3" s="3" t="s">
        <v>86</v>
      </c>
      <c r="AI3" s="3" t="s">
        <v>222</v>
      </c>
      <c r="AJ3" s="2" t="s">
        <v>25</v>
      </c>
    </row>
    <row r="4" spans="1:36">
      <c r="A4" s="3" t="s">
        <v>26</v>
      </c>
      <c r="B4" s="3" t="s">
        <v>27</v>
      </c>
      <c r="C4" s="3" t="s">
        <v>87</v>
      </c>
      <c r="D4" s="3"/>
      <c r="E4" s="3" t="s">
        <v>31</v>
      </c>
      <c r="F4" s="4">
        <f t="shared" ref="F4:F8" ca="1" si="0">NOW()</f>
        <v>44033.681508333335</v>
      </c>
      <c r="G4" s="4"/>
      <c r="H4" s="3" t="s">
        <v>28</v>
      </c>
      <c r="I4" s="3" t="s">
        <v>31</v>
      </c>
      <c r="J4" s="3" t="s">
        <v>62</v>
      </c>
      <c r="K4" s="3" t="s">
        <v>89</v>
      </c>
      <c r="L4" s="3"/>
      <c r="M4" s="3" t="s">
        <v>62</v>
      </c>
      <c r="N4" s="3" t="s">
        <v>93</v>
      </c>
      <c r="O4" s="3" t="s">
        <v>527</v>
      </c>
      <c r="P4" s="3" t="s">
        <v>64</v>
      </c>
      <c r="Q4" s="3" t="s">
        <v>62</v>
      </c>
      <c r="R4" s="3" t="s">
        <v>203</v>
      </c>
      <c r="S4" t="s">
        <v>651</v>
      </c>
      <c r="T4" s="3" t="s">
        <v>62</v>
      </c>
      <c r="U4" s="3" t="s">
        <v>94</v>
      </c>
      <c r="W4">
        <v>0</v>
      </c>
      <c r="X4">
        <v>0</v>
      </c>
      <c r="Y4" t="s">
        <v>659</v>
      </c>
      <c r="AF4" s="3" t="s">
        <v>63</v>
      </c>
      <c r="AG4" t="s">
        <v>308</v>
      </c>
      <c r="AJ4" s="3" t="s">
        <v>30</v>
      </c>
    </row>
    <row r="5" spans="1:36">
      <c r="A5" s="3" t="s">
        <v>26</v>
      </c>
      <c r="B5" s="3" t="s">
        <v>27</v>
      </c>
      <c r="C5" s="3" t="s">
        <v>88</v>
      </c>
      <c r="D5" s="3"/>
      <c r="E5" s="3" t="s">
        <v>31</v>
      </c>
      <c r="F5" s="4">
        <f t="shared" ca="1" si="0"/>
        <v>44033.681508333335</v>
      </c>
      <c r="G5" s="4"/>
      <c r="H5" s="3" t="s">
        <v>28</v>
      </c>
      <c r="I5" s="3" t="s">
        <v>31</v>
      </c>
      <c r="J5" s="3" t="s">
        <v>62</v>
      </c>
      <c r="K5" s="3" t="s">
        <v>90</v>
      </c>
      <c r="L5" s="3"/>
      <c r="M5" s="3" t="s">
        <v>62</v>
      </c>
      <c r="N5" s="3" t="s">
        <v>93</v>
      </c>
      <c r="O5" s="3" t="s">
        <v>59</v>
      </c>
      <c r="P5" s="3" t="s">
        <v>64</v>
      </c>
      <c r="Q5" s="3" t="s">
        <v>62</v>
      </c>
      <c r="R5" s="3" t="s">
        <v>59</v>
      </c>
      <c r="S5" t="s">
        <v>651</v>
      </c>
      <c r="T5" s="3" t="s">
        <v>62</v>
      </c>
      <c r="U5" s="3" t="s">
        <v>94</v>
      </c>
      <c r="V5" t="s">
        <v>60</v>
      </c>
      <c r="W5">
        <v>0</v>
      </c>
      <c r="X5">
        <v>0</v>
      </c>
      <c r="Y5" t="s">
        <v>659</v>
      </c>
      <c r="AF5" s="3" t="s">
        <v>59</v>
      </c>
      <c r="AG5" t="s">
        <v>308</v>
      </c>
      <c r="AJ5" s="3" t="s">
        <v>30</v>
      </c>
    </row>
    <row r="6" spans="1:36">
      <c r="A6" s="3" t="s">
        <v>26</v>
      </c>
      <c r="B6" s="3" t="s">
        <v>27</v>
      </c>
      <c r="C6" s="3" t="s">
        <v>87</v>
      </c>
      <c r="D6" s="3"/>
      <c r="E6" s="3" t="s">
        <v>445</v>
      </c>
      <c r="F6" s="4">
        <f t="shared" ca="1" si="0"/>
        <v>44033.681508333335</v>
      </c>
      <c r="G6" s="4"/>
      <c r="H6" s="3" t="s">
        <v>28</v>
      </c>
      <c r="I6" s="3" t="s">
        <v>31</v>
      </c>
      <c r="J6" s="3" t="s">
        <v>62</v>
      </c>
      <c r="K6" s="3" t="s">
        <v>538</v>
      </c>
      <c r="L6" s="3"/>
      <c r="M6" s="3" t="s">
        <v>62</v>
      </c>
      <c r="N6" s="3" t="s">
        <v>93</v>
      </c>
      <c r="O6" s="3" t="s">
        <v>529</v>
      </c>
      <c r="P6" s="3" t="s">
        <v>64</v>
      </c>
      <c r="Q6" s="3" t="s">
        <v>118</v>
      </c>
      <c r="R6" s="3" t="s">
        <v>203</v>
      </c>
      <c r="S6" t="s">
        <v>654</v>
      </c>
      <c r="T6" s="3" t="s">
        <v>62</v>
      </c>
      <c r="U6" s="3" t="s">
        <v>448</v>
      </c>
      <c r="W6">
        <v>0</v>
      </c>
      <c r="X6">
        <v>0</v>
      </c>
      <c r="Y6" t="s">
        <v>659</v>
      </c>
      <c r="AF6" s="3" t="s">
        <v>446</v>
      </c>
      <c r="AG6" t="s">
        <v>449</v>
      </c>
      <c r="AJ6" s="3" t="s">
        <v>450</v>
      </c>
    </row>
    <row r="7" spans="1:36">
      <c r="A7" s="3" t="s">
        <v>451</v>
      </c>
      <c r="B7" s="3" t="s">
        <v>452</v>
      </c>
      <c r="C7" s="3" t="s">
        <v>453</v>
      </c>
      <c r="D7" s="3"/>
      <c r="E7" s="3" t="s">
        <v>454</v>
      </c>
      <c r="F7" s="4">
        <f t="shared" ca="1" si="0"/>
        <v>44033.681508333335</v>
      </c>
      <c r="G7" s="4"/>
      <c r="H7" s="3" t="s">
        <v>455</v>
      </c>
      <c r="I7" s="3" t="s">
        <v>454</v>
      </c>
      <c r="J7" s="3" t="s">
        <v>448</v>
      </c>
      <c r="K7" s="3" t="s">
        <v>558</v>
      </c>
      <c r="L7" s="3"/>
      <c r="M7" s="3" t="s">
        <v>448</v>
      </c>
      <c r="N7" s="3" t="s">
        <v>447</v>
      </c>
      <c r="O7" s="3" t="s">
        <v>538</v>
      </c>
      <c r="P7" s="3" t="s">
        <v>456</v>
      </c>
      <c r="Q7" s="3" t="s">
        <v>655</v>
      </c>
      <c r="R7" s="3" t="s">
        <v>203</v>
      </c>
      <c r="S7" t="s">
        <v>651</v>
      </c>
      <c r="T7" s="3" t="s">
        <v>62</v>
      </c>
      <c r="U7" s="3" t="s">
        <v>448</v>
      </c>
      <c r="W7">
        <v>0</v>
      </c>
      <c r="X7">
        <v>0</v>
      </c>
      <c r="Y7" t="s">
        <v>659</v>
      </c>
      <c r="AF7" s="3" t="s">
        <v>446</v>
      </c>
      <c r="AG7" t="s">
        <v>449</v>
      </c>
      <c r="AJ7" s="3" t="s">
        <v>457</v>
      </c>
    </row>
    <row r="8" spans="1:36">
      <c r="A8" s="3" t="s">
        <v>26</v>
      </c>
      <c r="B8" s="3" t="s">
        <v>27</v>
      </c>
      <c r="C8" s="3" t="s">
        <v>87</v>
      </c>
      <c r="D8" s="3"/>
      <c r="E8" s="3" t="s">
        <v>31</v>
      </c>
      <c r="F8" s="4">
        <f t="shared" ca="1" si="0"/>
        <v>44033.681508333335</v>
      </c>
      <c r="G8" s="4"/>
      <c r="H8" s="3" t="s">
        <v>28</v>
      </c>
      <c r="I8" s="3" t="s">
        <v>31</v>
      </c>
      <c r="J8" s="3" t="s">
        <v>62</v>
      </c>
      <c r="K8" s="3" t="s">
        <v>574</v>
      </c>
      <c r="L8" s="3"/>
      <c r="M8" s="3" t="s">
        <v>62</v>
      </c>
      <c r="N8" s="3" t="s">
        <v>93</v>
      </c>
      <c r="O8" s="3" t="s">
        <v>458</v>
      </c>
      <c r="P8" s="3" t="s">
        <v>64</v>
      </c>
      <c r="Q8" s="3" t="s">
        <v>306</v>
      </c>
      <c r="R8" s="3" t="s">
        <v>65</v>
      </c>
      <c r="S8" t="s">
        <v>651</v>
      </c>
      <c r="T8" s="3" t="s">
        <v>62</v>
      </c>
      <c r="U8" s="3" t="s">
        <v>94</v>
      </c>
      <c r="V8" t="s">
        <v>60</v>
      </c>
      <c r="W8">
        <v>0</v>
      </c>
      <c r="X8">
        <v>0</v>
      </c>
      <c r="Y8" t="s">
        <v>659</v>
      </c>
      <c r="AF8" s="3" t="s">
        <v>63</v>
      </c>
      <c r="AG8" t="s">
        <v>149</v>
      </c>
      <c r="AJ8" s="3" t="s">
        <v>30</v>
      </c>
    </row>
    <row r="9" spans="1:36">
      <c r="A9" s="3" t="s">
        <v>142</v>
      </c>
      <c r="B9" s="3" t="s">
        <v>143</v>
      </c>
      <c r="C9" s="3" t="s">
        <v>576</v>
      </c>
      <c r="D9" s="3"/>
      <c r="E9" s="3" t="s">
        <v>146</v>
      </c>
      <c r="F9" s="4">
        <f ca="1">NOW()</f>
        <v>44033.681508333335</v>
      </c>
      <c r="G9" s="8" t="s">
        <v>577</v>
      </c>
      <c r="H9" s="3" t="s">
        <v>578</v>
      </c>
      <c r="I9" s="3" t="s">
        <v>579</v>
      </c>
      <c r="J9" s="3" t="s">
        <v>580</v>
      </c>
      <c r="K9" s="3" t="s">
        <v>167</v>
      </c>
      <c r="L9" s="3"/>
      <c r="M9" s="3" t="s">
        <v>580</v>
      </c>
      <c r="N9" s="3" t="s">
        <v>581</v>
      </c>
      <c r="O9" s="3" t="s">
        <v>582</v>
      </c>
      <c r="P9" s="3" t="s">
        <v>583</v>
      </c>
      <c r="Q9" s="3"/>
      <c r="R9" s="3" t="s">
        <v>582</v>
      </c>
      <c r="S9" t="s">
        <v>658</v>
      </c>
      <c r="T9" s="3" t="s">
        <v>580</v>
      </c>
      <c r="U9" s="3" t="s">
        <v>580</v>
      </c>
      <c r="W9">
        <v>0</v>
      </c>
      <c r="X9">
        <v>0</v>
      </c>
      <c r="Y9" t="s">
        <v>659</v>
      </c>
      <c r="AF9" s="3" t="s">
        <v>582</v>
      </c>
      <c r="AG9" t="s">
        <v>584</v>
      </c>
      <c r="AI9" s="3" t="s">
        <v>534</v>
      </c>
      <c r="AJ9" s="3" t="s">
        <v>585</v>
      </c>
    </row>
    <row r="10" spans="1:36">
      <c r="A10" s="3" t="s">
        <v>142</v>
      </c>
      <c r="B10" s="3" t="s">
        <v>143</v>
      </c>
      <c r="C10" s="3" t="s">
        <v>576</v>
      </c>
      <c r="D10" s="3"/>
      <c r="E10" s="3" t="s">
        <v>146</v>
      </c>
      <c r="F10" s="4">
        <f ca="1">NOW()</f>
        <v>44033.681508333335</v>
      </c>
      <c r="G10" s="8" t="s">
        <v>577</v>
      </c>
      <c r="H10" s="3" t="s">
        <v>578</v>
      </c>
      <c r="I10" s="3" t="s">
        <v>579</v>
      </c>
      <c r="J10" s="3" t="s">
        <v>580</v>
      </c>
      <c r="K10" s="3" t="s">
        <v>167</v>
      </c>
      <c r="L10" s="3"/>
      <c r="M10" s="3" t="s">
        <v>580</v>
      </c>
      <c r="N10" s="3" t="s">
        <v>581</v>
      </c>
      <c r="O10" s="3" t="s">
        <v>582</v>
      </c>
      <c r="P10" s="3" t="s">
        <v>583</v>
      </c>
      <c r="Q10" s="3"/>
      <c r="R10" s="3" t="s">
        <v>582</v>
      </c>
      <c r="S10" t="s">
        <v>658</v>
      </c>
      <c r="T10" s="3" t="s">
        <v>580</v>
      </c>
      <c r="U10" s="3" t="s">
        <v>580</v>
      </c>
      <c r="W10">
        <v>0</v>
      </c>
      <c r="X10">
        <v>0</v>
      </c>
      <c r="Y10" t="s">
        <v>659</v>
      </c>
      <c r="AF10" s="3" t="s">
        <v>582</v>
      </c>
      <c r="AG10" t="s">
        <v>584</v>
      </c>
      <c r="AI10" s="3" t="s">
        <v>594</v>
      </c>
      <c r="AJ10" s="3" t="s">
        <v>585</v>
      </c>
    </row>
    <row r="11" spans="1:36">
      <c r="A11" s="3" t="s">
        <v>142</v>
      </c>
      <c r="B11" s="3" t="s">
        <v>143</v>
      </c>
      <c r="C11" s="3" t="s">
        <v>576</v>
      </c>
      <c r="D11" s="3"/>
      <c r="E11" s="3" t="s">
        <v>146</v>
      </c>
      <c r="F11" s="4">
        <f ca="1">NOW()</f>
        <v>44033.681508333335</v>
      </c>
      <c r="G11" s="8" t="s">
        <v>577</v>
      </c>
      <c r="H11" s="3" t="s">
        <v>578</v>
      </c>
      <c r="I11" s="3" t="s">
        <v>579</v>
      </c>
      <c r="J11" s="3" t="s">
        <v>580</v>
      </c>
      <c r="K11" s="3" t="s">
        <v>526</v>
      </c>
      <c r="L11" s="3"/>
      <c r="M11" s="3" t="s">
        <v>580</v>
      </c>
      <c r="N11" s="3" t="s">
        <v>581</v>
      </c>
      <c r="O11" s="3" t="s">
        <v>582</v>
      </c>
      <c r="P11" s="3" t="s">
        <v>583</v>
      </c>
      <c r="Q11" s="3"/>
      <c r="R11" s="3" t="s">
        <v>582</v>
      </c>
      <c r="S11" t="s">
        <v>658</v>
      </c>
      <c r="T11" s="3" t="s">
        <v>580</v>
      </c>
      <c r="U11" s="3" t="s">
        <v>580</v>
      </c>
      <c r="W11">
        <v>0</v>
      </c>
      <c r="X11">
        <v>0</v>
      </c>
      <c r="Y11" t="s">
        <v>659</v>
      </c>
      <c r="AF11" s="3" t="s">
        <v>582</v>
      </c>
      <c r="AG11" t="s">
        <v>584</v>
      </c>
      <c r="AI11" s="3" t="s">
        <v>594</v>
      </c>
      <c r="AJ11" s="3" t="s">
        <v>585</v>
      </c>
    </row>
    <row r="12" spans="1:36">
      <c r="A12" s="3" t="s">
        <v>142</v>
      </c>
      <c r="B12" s="3" t="s">
        <v>143</v>
      </c>
      <c r="C12" s="3" t="s">
        <v>576</v>
      </c>
      <c r="D12" s="3"/>
      <c r="E12" s="3" t="s">
        <v>146</v>
      </c>
      <c r="F12" s="4">
        <f ca="1">NOW()</f>
        <v>44033.681508333335</v>
      </c>
      <c r="G12" s="8" t="s">
        <v>577</v>
      </c>
      <c r="H12" s="3" t="s">
        <v>578</v>
      </c>
      <c r="I12" s="3" t="s">
        <v>579</v>
      </c>
      <c r="J12" s="3" t="s">
        <v>580</v>
      </c>
      <c r="K12" s="3" t="s">
        <v>600</v>
      </c>
      <c r="L12" s="3"/>
      <c r="M12" s="3" t="s">
        <v>580</v>
      </c>
      <c r="N12" s="3" t="s">
        <v>581</v>
      </c>
      <c r="O12" s="3" t="s">
        <v>582</v>
      </c>
      <c r="P12" s="3" t="s">
        <v>583</v>
      </c>
      <c r="Q12" s="3"/>
      <c r="R12" s="3" t="s">
        <v>582</v>
      </c>
      <c r="S12" t="s">
        <v>658</v>
      </c>
      <c r="T12" s="3" t="s">
        <v>580</v>
      </c>
      <c r="U12" s="3" t="s">
        <v>580</v>
      </c>
      <c r="W12">
        <v>0</v>
      </c>
      <c r="X12">
        <v>0</v>
      </c>
      <c r="Y12" t="s">
        <v>659</v>
      </c>
      <c r="AF12" s="3" t="s">
        <v>582</v>
      </c>
      <c r="AG12" t="s">
        <v>584</v>
      </c>
      <c r="AI12" s="3" t="s">
        <v>598</v>
      </c>
      <c r="AJ12" s="3" t="s">
        <v>585</v>
      </c>
    </row>
    <row r="13" spans="1:36">
      <c r="A13" s="3" t="s">
        <v>26</v>
      </c>
      <c r="B13" s="3" t="s">
        <v>27</v>
      </c>
      <c r="C13" s="3" t="s">
        <v>88</v>
      </c>
      <c r="D13" s="3"/>
      <c r="E13" s="3" t="s">
        <v>31</v>
      </c>
      <c r="F13" s="4">
        <f t="shared" ref="F13:F18" ca="1" si="1">NOW()</f>
        <v>44033.681508333335</v>
      </c>
      <c r="G13" s="4"/>
      <c r="H13" s="3" t="s">
        <v>28</v>
      </c>
      <c r="I13" s="3" t="s">
        <v>31</v>
      </c>
      <c r="J13" s="3" t="s">
        <v>62</v>
      </c>
      <c r="K13" s="3"/>
      <c r="L13" s="3"/>
      <c r="M13" s="3" t="s">
        <v>62</v>
      </c>
      <c r="N13" s="3" t="s">
        <v>93</v>
      </c>
      <c r="O13" s="3" t="s">
        <v>59</v>
      </c>
      <c r="P13" s="3" t="s">
        <v>64</v>
      </c>
      <c r="Q13" s="3" t="s">
        <v>306</v>
      </c>
      <c r="R13" s="3" t="s">
        <v>59</v>
      </c>
      <c r="S13" t="s">
        <v>651</v>
      </c>
      <c r="T13" s="3" t="s">
        <v>62</v>
      </c>
      <c r="U13" s="3" t="s">
        <v>94</v>
      </c>
      <c r="V13" t="s">
        <v>60</v>
      </c>
      <c r="W13">
        <v>0</v>
      </c>
      <c r="X13">
        <v>0</v>
      </c>
      <c r="Y13" t="s">
        <v>659</v>
      </c>
      <c r="AF13" s="3" t="s">
        <v>59</v>
      </c>
      <c r="AG13" t="s">
        <v>149</v>
      </c>
      <c r="AJ13" s="3" t="s">
        <v>30</v>
      </c>
    </row>
    <row r="14" spans="1:36">
      <c r="A14" s="3" t="s">
        <v>26</v>
      </c>
      <c r="B14" s="3" t="s">
        <v>27</v>
      </c>
      <c r="C14" s="3" t="s">
        <v>88</v>
      </c>
      <c r="D14" s="3"/>
      <c r="E14" s="3" t="s">
        <v>31</v>
      </c>
      <c r="F14" s="4">
        <f t="shared" ca="1" si="1"/>
        <v>44033.681508333335</v>
      </c>
      <c r="G14" s="4"/>
      <c r="H14" s="3" t="s">
        <v>28</v>
      </c>
      <c r="I14" s="3" t="s">
        <v>31</v>
      </c>
      <c r="J14" s="3" t="s">
        <v>62</v>
      </c>
      <c r="K14" s="3" t="s">
        <v>620</v>
      </c>
      <c r="L14" s="3"/>
      <c r="M14" s="3" t="s">
        <v>62</v>
      </c>
      <c r="N14" s="3" t="s">
        <v>93</v>
      </c>
      <c r="O14" s="3" t="s">
        <v>59</v>
      </c>
      <c r="P14" s="3"/>
      <c r="Q14" s="3" t="s">
        <v>306</v>
      </c>
      <c r="R14" s="3" t="s">
        <v>59</v>
      </c>
      <c r="S14" t="s">
        <v>651</v>
      </c>
      <c r="T14" s="3" t="s">
        <v>62</v>
      </c>
      <c r="U14" s="3" t="s">
        <v>94</v>
      </c>
      <c r="V14" t="s">
        <v>60</v>
      </c>
      <c r="W14">
        <v>0</v>
      </c>
      <c r="X14">
        <v>0</v>
      </c>
      <c r="Y14" t="s">
        <v>659</v>
      </c>
      <c r="AF14" s="3" t="s">
        <v>59</v>
      </c>
      <c r="AG14" t="s">
        <v>149</v>
      </c>
      <c r="AJ14" s="3" t="s">
        <v>30</v>
      </c>
    </row>
    <row r="15" spans="1:36">
      <c r="A15" s="3" t="s">
        <v>26</v>
      </c>
      <c r="B15" s="3" t="s">
        <v>27</v>
      </c>
      <c r="C15" s="3" t="s">
        <v>88</v>
      </c>
      <c r="D15" s="3"/>
      <c r="E15" s="3" t="s">
        <v>31</v>
      </c>
      <c r="F15" s="4">
        <f t="shared" ca="1" si="1"/>
        <v>44033.681508333335</v>
      </c>
      <c r="G15" s="4"/>
      <c r="H15" s="3" t="s">
        <v>28</v>
      </c>
      <c r="I15" s="3" t="s">
        <v>31</v>
      </c>
      <c r="J15" s="3" t="s">
        <v>62</v>
      </c>
      <c r="K15" s="3" t="s">
        <v>621</v>
      </c>
      <c r="L15" s="3"/>
      <c r="M15" s="3" t="s">
        <v>62</v>
      </c>
      <c r="N15" s="3" t="s">
        <v>93</v>
      </c>
      <c r="O15" s="3" t="s">
        <v>59</v>
      </c>
      <c r="P15" s="3" t="s">
        <v>64</v>
      </c>
      <c r="Q15" s="3" t="s">
        <v>306</v>
      </c>
      <c r="R15" s="3"/>
      <c r="S15" t="s">
        <v>651</v>
      </c>
      <c r="T15" s="3" t="s">
        <v>62</v>
      </c>
      <c r="U15" s="3" t="s">
        <v>94</v>
      </c>
      <c r="V15" t="s">
        <v>60</v>
      </c>
      <c r="W15">
        <v>0</v>
      </c>
      <c r="X15">
        <v>0</v>
      </c>
      <c r="Y15" t="s">
        <v>659</v>
      </c>
      <c r="AF15" s="3" t="s">
        <v>59</v>
      </c>
      <c r="AG15" t="s">
        <v>149</v>
      </c>
      <c r="AJ15" s="3" t="s">
        <v>30</v>
      </c>
    </row>
    <row r="16" spans="1:36">
      <c r="A16" s="3" t="s">
        <v>26</v>
      </c>
      <c r="B16" s="3" t="s">
        <v>27</v>
      </c>
      <c r="C16" s="3" t="s">
        <v>88</v>
      </c>
      <c r="D16" s="3"/>
      <c r="E16" s="3" t="s">
        <v>31</v>
      </c>
      <c r="F16" s="4">
        <f t="shared" ca="1" si="1"/>
        <v>44033.681508333335</v>
      </c>
      <c r="G16" s="4"/>
      <c r="H16" s="3" t="s">
        <v>28</v>
      </c>
      <c r="I16" s="3" t="s">
        <v>31</v>
      </c>
      <c r="J16" s="3" t="s">
        <v>62</v>
      </c>
      <c r="K16" s="3" t="s">
        <v>622</v>
      </c>
      <c r="L16" s="3"/>
      <c r="M16" s="3" t="s">
        <v>62</v>
      </c>
      <c r="N16" s="3" t="s">
        <v>93</v>
      </c>
      <c r="O16" s="3" t="s">
        <v>628</v>
      </c>
      <c r="P16" s="3" t="s">
        <v>64</v>
      </c>
      <c r="Q16" s="3" t="s">
        <v>306</v>
      </c>
      <c r="R16" s="3" t="s">
        <v>59</v>
      </c>
      <c r="S16" t="s">
        <v>651</v>
      </c>
      <c r="T16" s="3" t="s">
        <v>62</v>
      </c>
      <c r="U16" s="3" t="s">
        <v>94</v>
      </c>
      <c r="V16" t="s">
        <v>60</v>
      </c>
      <c r="W16">
        <v>0</v>
      </c>
      <c r="X16">
        <v>0</v>
      </c>
      <c r="Y16" t="s">
        <v>659</v>
      </c>
      <c r="AF16" s="3" t="s">
        <v>59</v>
      </c>
      <c r="AG16" t="s">
        <v>149</v>
      </c>
      <c r="AJ16" s="3" t="s">
        <v>30</v>
      </c>
    </row>
    <row r="17" spans="1:36">
      <c r="A17" s="3" t="s">
        <v>26</v>
      </c>
      <c r="B17" s="3" t="s">
        <v>27</v>
      </c>
      <c r="C17" s="3" t="s">
        <v>88</v>
      </c>
      <c r="D17" s="3"/>
      <c r="E17" s="3" t="s">
        <v>31</v>
      </c>
      <c r="F17" s="4">
        <f t="shared" ca="1" si="1"/>
        <v>44033.681508333335</v>
      </c>
      <c r="G17" s="4"/>
      <c r="H17" s="3" t="s">
        <v>28</v>
      </c>
      <c r="I17" s="3" t="s">
        <v>31</v>
      </c>
      <c r="J17" s="3" t="s">
        <v>62</v>
      </c>
      <c r="K17" s="3" t="s">
        <v>623</v>
      </c>
      <c r="L17" s="3"/>
      <c r="M17" s="3" t="s">
        <v>62</v>
      </c>
      <c r="N17" s="3" t="s">
        <v>93</v>
      </c>
      <c r="O17" s="3" t="s">
        <v>59</v>
      </c>
      <c r="P17" s="3" t="s">
        <v>64</v>
      </c>
      <c r="Q17" s="3" t="s">
        <v>306</v>
      </c>
      <c r="R17" s="3" t="s">
        <v>59</v>
      </c>
      <c r="T17" s="3" t="s">
        <v>62</v>
      </c>
      <c r="U17" s="3" t="s">
        <v>94</v>
      </c>
      <c r="V17" t="s">
        <v>60</v>
      </c>
      <c r="W17">
        <v>0</v>
      </c>
      <c r="X17">
        <v>0</v>
      </c>
      <c r="Y17" t="s">
        <v>659</v>
      </c>
      <c r="AF17" s="3" t="s">
        <v>59</v>
      </c>
      <c r="AG17" t="s">
        <v>149</v>
      </c>
      <c r="AJ17" s="3" t="s">
        <v>30</v>
      </c>
    </row>
    <row r="18" spans="1:36">
      <c r="A18" s="3" t="s">
        <v>26</v>
      </c>
      <c r="B18" s="3" t="s">
        <v>27</v>
      </c>
      <c r="C18" s="3" t="s">
        <v>88</v>
      </c>
      <c r="D18" s="3"/>
      <c r="E18" s="3" t="s">
        <v>31</v>
      </c>
      <c r="F18" s="4">
        <f t="shared" ca="1" si="1"/>
        <v>44033.681508333335</v>
      </c>
      <c r="G18" s="4"/>
      <c r="H18" s="3" t="s">
        <v>28</v>
      </c>
      <c r="I18" s="3"/>
      <c r="J18" s="3" t="s">
        <v>62</v>
      </c>
      <c r="K18" s="3" t="s">
        <v>624</v>
      </c>
      <c r="L18" s="3"/>
      <c r="M18" s="3" t="s">
        <v>62</v>
      </c>
      <c r="N18" s="3" t="s">
        <v>93</v>
      </c>
      <c r="O18" s="3" t="s">
        <v>59</v>
      </c>
      <c r="P18" s="3" t="s">
        <v>64</v>
      </c>
      <c r="Q18" s="3" t="s">
        <v>306</v>
      </c>
      <c r="R18" s="3" t="s">
        <v>59</v>
      </c>
      <c r="S18" t="s">
        <v>651</v>
      </c>
      <c r="T18" s="3" t="s">
        <v>62</v>
      </c>
      <c r="U18" s="3" t="s">
        <v>94</v>
      </c>
      <c r="V18" t="s">
        <v>60</v>
      </c>
      <c r="W18">
        <v>0</v>
      </c>
      <c r="X18">
        <v>0</v>
      </c>
      <c r="Y18" t="s">
        <v>659</v>
      </c>
      <c r="AF18" s="3" t="s">
        <v>59</v>
      </c>
      <c r="AG18" t="s">
        <v>149</v>
      </c>
      <c r="AJ18" s="3" t="s">
        <v>30</v>
      </c>
    </row>
    <row r="19" spans="1:36">
      <c r="A19" s="3" t="s">
        <v>142</v>
      </c>
      <c r="B19" s="3" t="s">
        <v>143</v>
      </c>
      <c r="C19" s="3" t="s">
        <v>576</v>
      </c>
      <c r="D19" s="3"/>
      <c r="E19" s="3" t="s">
        <v>146</v>
      </c>
      <c r="F19" s="4">
        <f ca="1">NOW()</f>
        <v>44033.681508333335</v>
      </c>
      <c r="G19" s="8" t="s">
        <v>577</v>
      </c>
      <c r="H19" s="3" t="s">
        <v>578</v>
      </c>
      <c r="I19" s="3" t="s">
        <v>579</v>
      </c>
      <c r="J19" s="3" t="s">
        <v>580</v>
      </c>
      <c r="K19" s="3" t="s">
        <v>632</v>
      </c>
      <c r="L19" s="3"/>
      <c r="M19" s="3" t="s">
        <v>580</v>
      </c>
      <c r="N19" s="3" t="s">
        <v>581</v>
      </c>
      <c r="O19" s="3" t="s">
        <v>582</v>
      </c>
      <c r="P19" s="3" t="s">
        <v>583</v>
      </c>
      <c r="Q19" s="3"/>
      <c r="R19" s="3" t="s">
        <v>582</v>
      </c>
      <c r="S19" t="s">
        <v>658</v>
      </c>
      <c r="T19" s="3" t="s">
        <v>580</v>
      </c>
      <c r="U19" s="3" t="s">
        <v>580</v>
      </c>
      <c r="W19">
        <v>0</v>
      </c>
      <c r="X19">
        <v>0</v>
      </c>
      <c r="Y19" t="s">
        <v>659</v>
      </c>
      <c r="AF19" s="3" t="s">
        <v>582</v>
      </c>
      <c r="AG19" t="s">
        <v>584</v>
      </c>
      <c r="AI19" s="3" t="s">
        <v>598</v>
      </c>
      <c r="AJ19" s="3" t="s">
        <v>585</v>
      </c>
    </row>
    <row r="20" spans="1:36">
      <c r="A20" s="3" t="s">
        <v>142</v>
      </c>
      <c r="B20" s="3" t="s">
        <v>143</v>
      </c>
      <c r="C20" s="3" t="s">
        <v>576</v>
      </c>
      <c r="D20" s="3"/>
      <c r="E20" s="3" t="s">
        <v>146</v>
      </c>
      <c r="F20" s="4">
        <f ca="1">NOW()</f>
        <v>44033.681508333335</v>
      </c>
      <c r="G20" s="8" t="s">
        <v>577</v>
      </c>
      <c r="H20" s="3" t="s">
        <v>578</v>
      </c>
      <c r="I20" s="3" t="s">
        <v>579</v>
      </c>
      <c r="J20" s="3" t="s">
        <v>580</v>
      </c>
      <c r="K20" s="3" t="s">
        <v>635</v>
      </c>
      <c r="L20" s="3"/>
      <c r="M20" s="3" t="s">
        <v>580</v>
      </c>
      <c r="N20" s="3" t="s">
        <v>581</v>
      </c>
      <c r="O20" s="3" t="s">
        <v>582</v>
      </c>
      <c r="P20" s="3" t="s">
        <v>583</v>
      </c>
      <c r="Q20" s="3"/>
      <c r="R20" s="3" t="s">
        <v>582</v>
      </c>
      <c r="S20" t="s">
        <v>658</v>
      </c>
      <c r="T20" s="3" t="s">
        <v>580</v>
      </c>
      <c r="U20" s="3" t="s">
        <v>580</v>
      </c>
      <c r="W20">
        <v>0</v>
      </c>
      <c r="X20">
        <v>0</v>
      </c>
      <c r="Y20" t="s">
        <v>659</v>
      </c>
      <c r="AF20" s="3" t="s">
        <v>582</v>
      </c>
      <c r="AG20" t="s">
        <v>584</v>
      </c>
      <c r="AI20" s="3" t="s">
        <v>594</v>
      </c>
      <c r="AJ20" s="3" t="s">
        <v>585</v>
      </c>
    </row>
  </sheetData>
  <phoneticPr fontId="2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S10"/>
  <sheetViews>
    <sheetView workbookViewId="0">
      <selection activeCell="F16" sqref="F16"/>
    </sheetView>
  </sheetViews>
  <sheetFormatPr defaultRowHeight="14.25"/>
  <cols>
    <col min="6" max="6" width="16.125" customWidth="1"/>
    <col min="16" max="16" width="14.875" customWidth="1"/>
  </cols>
  <sheetData>
    <row r="1" spans="1:19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122</v>
      </c>
      <c r="H1" t="s">
        <v>6</v>
      </c>
      <c r="I1" t="s">
        <v>32</v>
      </c>
      <c r="J1" t="s">
        <v>34</v>
      </c>
      <c r="K1" t="s">
        <v>96</v>
      </c>
      <c r="L1" t="s">
        <v>40</v>
      </c>
      <c r="M1" t="s">
        <v>95</v>
      </c>
      <c r="N1" t="s">
        <v>37</v>
      </c>
      <c r="O1" t="s">
        <v>33</v>
      </c>
      <c r="P1" t="s">
        <v>48</v>
      </c>
      <c r="Q1" t="s">
        <v>45</v>
      </c>
      <c r="R1" t="s">
        <v>15</v>
      </c>
      <c r="S1" t="s">
        <v>16</v>
      </c>
    </row>
    <row r="2" spans="1:19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10</v>
      </c>
      <c r="H2" t="s">
        <v>1</v>
      </c>
      <c r="I2" t="s">
        <v>10</v>
      </c>
      <c r="J2" t="s">
        <v>13</v>
      </c>
      <c r="K2" t="s">
        <v>10</v>
      </c>
      <c r="L2" t="s">
        <v>41</v>
      </c>
      <c r="M2" t="s">
        <v>10</v>
      </c>
      <c r="N2" t="s">
        <v>36</v>
      </c>
      <c r="O2" t="s">
        <v>10</v>
      </c>
      <c r="P2" t="s">
        <v>12</v>
      </c>
      <c r="Q2" t="s">
        <v>46</v>
      </c>
      <c r="R2" t="s">
        <v>13</v>
      </c>
      <c r="S2" t="s">
        <v>13</v>
      </c>
    </row>
    <row r="3" spans="1:19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134</v>
      </c>
      <c r="H3" s="2" t="s">
        <v>22</v>
      </c>
      <c r="I3" s="3" t="s">
        <v>100</v>
      </c>
      <c r="J3" s="3" t="s">
        <v>101</v>
      </c>
      <c r="K3" s="3" t="s">
        <v>102</v>
      </c>
      <c r="L3" s="3" t="s">
        <v>103</v>
      </c>
      <c r="M3" s="3" t="s">
        <v>104</v>
      </c>
      <c r="N3" s="3" t="s">
        <v>105</v>
      </c>
      <c r="O3" s="3" t="s">
        <v>106</v>
      </c>
      <c r="P3" s="3" t="s">
        <v>107</v>
      </c>
      <c r="Q3" s="3" t="s">
        <v>108</v>
      </c>
      <c r="R3" s="3" t="s">
        <v>109</v>
      </c>
      <c r="S3" s="3" t="s">
        <v>110</v>
      </c>
    </row>
    <row r="4" spans="1:19">
      <c r="A4" s="3" t="s">
        <v>26</v>
      </c>
      <c r="B4" s="3" t="s">
        <v>27</v>
      </c>
      <c r="C4" s="3" t="s">
        <v>97</v>
      </c>
      <c r="D4" s="3"/>
      <c r="E4" s="3" t="s">
        <v>31</v>
      </c>
      <c r="F4" s="4">
        <f t="shared" ref="F4:F10" ca="1" si="0">NOW()</f>
        <v>44033.681508333335</v>
      </c>
      <c r="H4" s="3" t="s">
        <v>28</v>
      </c>
      <c r="I4" s="3" t="s">
        <v>31</v>
      </c>
      <c r="J4" s="3" t="s">
        <v>304</v>
      </c>
      <c r="K4" s="3" t="s">
        <v>111</v>
      </c>
      <c r="L4" s="3" t="s">
        <v>98</v>
      </c>
      <c r="M4" s="3" t="s">
        <v>203</v>
      </c>
      <c r="N4" s="3" t="s">
        <v>98</v>
      </c>
      <c r="O4" t="s">
        <v>651</v>
      </c>
      <c r="Q4" t="s">
        <v>659</v>
      </c>
      <c r="R4" s="3" t="s">
        <v>99</v>
      </c>
      <c r="S4" s="3" t="s">
        <v>99</v>
      </c>
    </row>
    <row r="5" spans="1:19">
      <c r="A5" s="3" t="s">
        <v>26</v>
      </c>
      <c r="B5" s="3" t="s">
        <v>27</v>
      </c>
      <c r="C5" s="3" t="s">
        <v>97</v>
      </c>
      <c r="D5" s="3"/>
      <c r="E5" s="3" t="s">
        <v>31</v>
      </c>
      <c r="F5" s="4">
        <f t="shared" ca="1" si="0"/>
        <v>44033.681508333335</v>
      </c>
      <c r="H5" s="3" t="s">
        <v>28</v>
      </c>
      <c r="I5" s="3" t="s">
        <v>31</v>
      </c>
      <c r="J5" s="3" t="s">
        <v>305</v>
      </c>
      <c r="K5" s="3" t="s">
        <v>112</v>
      </c>
      <c r="L5" s="3" t="s">
        <v>98</v>
      </c>
      <c r="M5" s="3" t="s">
        <v>557</v>
      </c>
      <c r="N5" s="3" t="s">
        <v>98</v>
      </c>
      <c r="O5" t="s">
        <v>651</v>
      </c>
      <c r="Q5" t="s">
        <v>659</v>
      </c>
      <c r="R5" s="3" t="s">
        <v>99</v>
      </c>
      <c r="S5" s="3" t="s">
        <v>99</v>
      </c>
    </row>
    <row r="6" spans="1:19">
      <c r="A6" s="3" t="s">
        <v>26</v>
      </c>
      <c r="B6" s="3" t="s">
        <v>27</v>
      </c>
      <c r="C6" s="3" t="s">
        <v>97</v>
      </c>
      <c r="D6" s="3"/>
      <c r="E6" s="3" t="s">
        <v>31</v>
      </c>
      <c r="F6" s="4">
        <f t="shared" ca="1" si="0"/>
        <v>44033.681508333335</v>
      </c>
      <c r="H6" s="3" t="s">
        <v>28</v>
      </c>
      <c r="I6" s="3" t="s">
        <v>31</v>
      </c>
      <c r="J6" s="3" t="s">
        <v>604</v>
      </c>
      <c r="K6" s="3" t="s">
        <v>112</v>
      </c>
      <c r="L6" s="3" t="s">
        <v>89</v>
      </c>
      <c r="M6" s="3" t="s">
        <v>690</v>
      </c>
      <c r="N6" s="3" t="s">
        <v>89</v>
      </c>
      <c r="O6" t="s">
        <v>651</v>
      </c>
      <c r="Q6" t="s">
        <v>659</v>
      </c>
      <c r="R6" s="3" t="s">
        <v>94</v>
      </c>
      <c r="S6" s="3" t="s">
        <v>94</v>
      </c>
    </row>
    <row r="7" spans="1:19">
      <c r="A7" s="3" t="s">
        <v>26</v>
      </c>
      <c r="B7" s="3" t="s">
        <v>27</v>
      </c>
      <c r="C7" s="3" t="s">
        <v>97</v>
      </c>
      <c r="D7" s="3"/>
      <c r="E7" s="3" t="s">
        <v>31</v>
      </c>
      <c r="F7" s="4">
        <f t="shared" ca="1" si="0"/>
        <v>44033.681508333335</v>
      </c>
      <c r="H7" s="3" t="s">
        <v>28</v>
      </c>
      <c r="I7" s="3" t="s">
        <v>31</v>
      </c>
      <c r="J7" s="3" t="s">
        <v>74</v>
      </c>
      <c r="K7" s="3" t="s">
        <v>112</v>
      </c>
      <c r="L7" s="3" t="s">
        <v>89</v>
      </c>
      <c r="M7" s="3" t="s">
        <v>691</v>
      </c>
      <c r="N7" s="3" t="s">
        <v>89</v>
      </c>
      <c r="O7" t="s">
        <v>695</v>
      </c>
      <c r="Q7" t="s">
        <v>659</v>
      </c>
      <c r="R7" s="3" t="s">
        <v>94</v>
      </c>
      <c r="S7" s="3" t="s">
        <v>94</v>
      </c>
    </row>
    <row r="8" spans="1:19">
      <c r="A8" s="3" t="s">
        <v>26</v>
      </c>
      <c r="B8" s="3" t="s">
        <v>27</v>
      </c>
      <c r="C8" s="3" t="s">
        <v>97</v>
      </c>
      <c r="D8" s="3"/>
      <c r="E8" s="3" t="s">
        <v>31</v>
      </c>
      <c r="F8" s="4">
        <f t="shared" ca="1" si="0"/>
        <v>44033.681508333335</v>
      </c>
      <c r="H8" s="3" t="s">
        <v>28</v>
      </c>
      <c r="I8" s="3" t="s">
        <v>31</v>
      </c>
      <c r="J8" s="3" t="s">
        <v>76</v>
      </c>
      <c r="K8" s="3" t="s">
        <v>112</v>
      </c>
      <c r="L8" s="3" t="s">
        <v>89</v>
      </c>
      <c r="M8" s="3" t="s">
        <v>692</v>
      </c>
      <c r="N8" s="3" t="s">
        <v>89</v>
      </c>
      <c r="O8" t="s">
        <v>651</v>
      </c>
      <c r="Q8" t="s">
        <v>659</v>
      </c>
      <c r="R8" s="3" t="s">
        <v>94</v>
      </c>
      <c r="S8" s="3" t="s">
        <v>94</v>
      </c>
    </row>
    <row r="9" spans="1:19">
      <c r="A9" s="3" t="s">
        <v>26</v>
      </c>
      <c r="B9" s="3" t="s">
        <v>27</v>
      </c>
      <c r="C9" s="3" t="s">
        <v>97</v>
      </c>
      <c r="D9" s="3"/>
      <c r="E9" s="3" t="s">
        <v>31</v>
      </c>
      <c r="F9" s="4">
        <f t="shared" ca="1" si="0"/>
        <v>44033.681508333335</v>
      </c>
      <c r="H9" s="3" t="s">
        <v>28</v>
      </c>
      <c r="I9" s="3" t="s">
        <v>31</v>
      </c>
      <c r="J9" s="3" t="s">
        <v>674</v>
      </c>
      <c r="K9" s="3" t="s">
        <v>112</v>
      </c>
      <c r="L9" s="3" t="s">
        <v>89</v>
      </c>
      <c r="M9" s="3" t="s">
        <v>693</v>
      </c>
      <c r="N9" s="3" t="s">
        <v>89</v>
      </c>
      <c r="O9" t="s">
        <v>651</v>
      </c>
      <c r="Q9" t="s">
        <v>659</v>
      </c>
      <c r="R9" s="3" t="s">
        <v>94</v>
      </c>
      <c r="S9" s="3" t="s">
        <v>94</v>
      </c>
    </row>
    <row r="10" spans="1:19">
      <c r="A10" s="3" t="s">
        <v>26</v>
      </c>
      <c r="B10" s="3" t="s">
        <v>27</v>
      </c>
      <c r="C10" s="3" t="s">
        <v>97</v>
      </c>
      <c r="D10" s="3"/>
      <c r="E10" s="3" t="s">
        <v>31</v>
      </c>
      <c r="F10" s="4">
        <f t="shared" ca="1" si="0"/>
        <v>44033.681508333335</v>
      </c>
      <c r="H10" s="3" t="s">
        <v>28</v>
      </c>
      <c r="I10" s="3" t="s">
        <v>31</v>
      </c>
      <c r="J10" s="3" t="s">
        <v>79</v>
      </c>
      <c r="K10" s="3" t="s">
        <v>112</v>
      </c>
      <c r="L10" s="3" t="s">
        <v>89</v>
      </c>
      <c r="M10" s="3" t="s">
        <v>694</v>
      </c>
      <c r="N10" s="3" t="s">
        <v>89</v>
      </c>
      <c r="O10" t="s">
        <v>651</v>
      </c>
      <c r="Q10" t="s">
        <v>659</v>
      </c>
      <c r="R10" s="3" t="s">
        <v>94</v>
      </c>
      <c r="S10" s="3" t="s">
        <v>94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X5"/>
  <sheetViews>
    <sheetView workbookViewId="0">
      <selection activeCell="K16" sqref="K16"/>
    </sheetView>
  </sheetViews>
  <sheetFormatPr defaultRowHeight="14.25"/>
  <cols>
    <col min="6" max="6" width="17" customWidth="1"/>
  </cols>
  <sheetData>
    <row r="1" spans="1:24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32</v>
      </c>
      <c r="I1" t="s">
        <v>34</v>
      </c>
      <c r="J1" t="s">
        <v>91</v>
      </c>
      <c r="K1" t="s">
        <v>96</v>
      </c>
      <c r="L1" t="s">
        <v>40</v>
      </c>
      <c r="M1" t="s">
        <v>95</v>
      </c>
      <c r="N1" t="s">
        <v>39</v>
      </c>
      <c r="O1" t="s">
        <v>37</v>
      </c>
      <c r="P1" t="s">
        <v>33</v>
      </c>
      <c r="Q1" t="s">
        <v>48</v>
      </c>
      <c r="R1" t="s">
        <v>38</v>
      </c>
      <c r="S1" t="s">
        <v>45</v>
      </c>
      <c r="T1" t="s">
        <v>116</v>
      </c>
      <c r="U1" t="s">
        <v>49</v>
      </c>
      <c r="V1" t="s">
        <v>51</v>
      </c>
      <c r="W1" t="s">
        <v>15</v>
      </c>
      <c r="X1" t="s">
        <v>16</v>
      </c>
    </row>
    <row r="2" spans="1:24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13</v>
      </c>
      <c r="J2" t="s">
        <v>36</v>
      </c>
      <c r="K2" t="s">
        <v>10</v>
      </c>
      <c r="L2" t="s">
        <v>41</v>
      </c>
      <c r="M2" t="s">
        <v>10</v>
      </c>
      <c r="N2" t="s">
        <v>39</v>
      </c>
      <c r="O2" t="s">
        <v>36</v>
      </c>
      <c r="P2" t="s">
        <v>10</v>
      </c>
      <c r="Q2" t="s">
        <v>12</v>
      </c>
      <c r="R2" t="s">
        <v>36</v>
      </c>
      <c r="S2" t="s">
        <v>46</v>
      </c>
      <c r="T2" t="s">
        <v>117</v>
      </c>
      <c r="U2" t="s">
        <v>50</v>
      </c>
      <c r="V2" t="s">
        <v>10</v>
      </c>
      <c r="W2" t="s">
        <v>13</v>
      </c>
      <c r="X2" t="s">
        <v>13</v>
      </c>
    </row>
    <row r="3" spans="1:24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3" t="s">
        <v>100</v>
      </c>
      <c r="I3" s="3" t="s">
        <v>101</v>
      </c>
      <c r="J3" s="3" t="s">
        <v>92</v>
      </c>
      <c r="K3" s="3" t="s">
        <v>102</v>
      </c>
      <c r="L3" s="3" t="s">
        <v>103</v>
      </c>
      <c r="M3" s="3" t="s">
        <v>104</v>
      </c>
      <c r="N3" s="3" t="s">
        <v>74</v>
      </c>
      <c r="O3" s="3" t="s">
        <v>105</v>
      </c>
      <c r="P3" s="3" t="s">
        <v>106</v>
      </c>
      <c r="Q3" s="3" t="s">
        <v>107</v>
      </c>
      <c r="R3" s="3" t="s">
        <v>79</v>
      </c>
      <c r="S3" s="3" t="s">
        <v>108</v>
      </c>
      <c r="T3">
        <v>432</v>
      </c>
      <c r="U3" s="3" t="s">
        <v>83</v>
      </c>
      <c r="V3" s="3" t="s">
        <v>115</v>
      </c>
      <c r="W3" s="3" t="s">
        <v>109</v>
      </c>
      <c r="X3" s="3" t="s">
        <v>110</v>
      </c>
    </row>
    <row r="4" spans="1:24">
      <c r="A4" s="3" t="s">
        <v>26</v>
      </c>
      <c r="B4" s="3" t="s">
        <v>27</v>
      </c>
      <c r="C4" s="3" t="s">
        <v>113</v>
      </c>
      <c r="D4" s="3"/>
      <c r="E4" s="3" t="s">
        <v>31</v>
      </c>
      <c r="F4" s="4">
        <f ca="1">NOW()</f>
        <v>44033.681508333335</v>
      </c>
      <c r="G4" s="3" t="s">
        <v>28</v>
      </c>
      <c r="H4" s="3" t="s">
        <v>31</v>
      </c>
      <c r="I4" s="3" t="s">
        <v>65</v>
      </c>
      <c r="J4" s="3" t="s">
        <v>93</v>
      </c>
      <c r="K4" s="3" t="s">
        <v>120</v>
      </c>
      <c r="L4" s="3" t="s">
        <v>119</v>
      </c>
      <c r="M4" s="3" t="s">
        <v>217</v>
      </c>
      <c r="N4" s="3" t="s">
        <v>118</v>
      </c>
      <c r="O4" s="3" t="s">
        <v>65</v>
      </c>
      <c r="P4" t="s">
        <v>651</v>
      </c>
      <c r="R4" t="s">
        <v>60</v>
      </c>
      <c r="S4" t="s">
        <v>659</v>
      </c>
      <c r="W4" s="3" t="s">
        <v>99</v>
      </c>
      <c r="X4" s="3" t="s">
        <v>99</v>
      </c>
    </row>
    <row r="5" spans="1:24">
      <c r="J5" s="3"/>
      <c r="N5" s="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X38"/>
  <sheetViews>
    <sheetView tabSelected="1" topLeftCell="M1" workbookViewId="0">
      <pane ySplit="3" topLeftCell="A4" activePane="bottomLeft" state="frozen"/>
      <selection activeCell="D1" sqref="D1"/>
      <selection pane="bottomLeft" activeCell="A21" sqref="A21:XFD21"/>
    </sheetView>
  </sheetViews>
  <sheetFormatPr defaultRowHeight="14.25"/>
  <cols>
    <col min="2" max="2" width="4.25" customWidth="1"/>
    <col min="3" max="3" width="3.5" customWidth="1"/>
    <col min="4" max="4" width="3.625" customWidth="1"/>
    <col min="6" max="6" width="15.125" customWidth="1"/>
    <col min="8" max="8" width="4.25" customWidth="1"/>
    <col min="11" max="11" width="6.375" customWidth="1"/>
    <col min="12" max="12" width="4.75" customWidth="1"/>
    <col min="13" max="13" width="5.875" customWidth="1"/>
    <col min="14" max="14" width="4.25" customWidth="1"/>
    <col min="15" max="15" width="5.75" customWidth="1"/>
    <col min="17" max="17" width="5.625" customWidth="1"/>
    <col min="23" max="23" width="8.25" customWidth="1"/>
    <col min="48" max="48" width="6.75" customWidth="1"/>
  </cols>
  <sheetData>
    <row r="1" spans="1:50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121</v>
      </c>
      <c r="I1" t="s">
        <v>122</v>
      </c>
      <c r="J1" t="s">
        <v>32</v>
      </c>
      <c r="K1" t="s">
        <v>55</v>
      </c>
      <c r="L1" t="s">
        <v>34</v>
      </c>
      <c r="M1" t="s">
        <v>154</v>
      </c>
      <c r="N1" t="s">
        <v>155</v>
      </c>
      <c r="O1" t="s">
        <v>156</v>
      </c>
      <c r="P1" t="s">
        <v>54</v>
      </c>
      <c r="Q1" t="s">
        <v>443</v>
      </c>
      <c r="R1" t="s">
        <v>444</v>
      </c>
      <c r="S1" t="s">
        <v>96</v>
      </c>
      <c r="T1" t="s">
        <v>40</v>
      </c>
      <c r="U1" t="s">
        <v>157</v>
      </c>
      <c r="V1" t="s">
        <v>35</v>
      </c>
      <c r="W1" t="s">
        <v>39</v>
      </c>
      <c r="X1" t="s">
        <v>37</v>
      </c>
      <c r="Y1" t="s">
        <v>33</v>
      </c>
      <c r="Z1" t="s">
        <v>158</v>
      </c>
      <c r="AA1" t="s">
        <v>42</v>
      </c>
      <c r="AB1" t="s">
        <v>48</v>
      </c>
      <c r="AC1" t="s">
        <v>159</v>
      </c>
      <c r="AD1" t="s">
        <v>38</v>
      </c>
      <c r="AE1" t="s">
        <v>44</v>
      </c>
      <c r="AF1" t="s">
        <v>43</v>
      </c>
      <c r="AG1" t="s">
        <v>160</v>
      </c>
      <c r="AH1" t="s">
        <v>161</v>
      </c>
      <c r="AI1" t="s">
        <v>162</v>
      </c>
      <c r="AJ1" t="s">
        <v>163</v>
      </c>
      <c r="AK1" t="s">
        <v>45</v>
      </c>
      <c r="AL1" t="s">
        <v>116</v>
      </c>
      <c r="AM1" t="s">
        <v>164</v>
      </c>
      <c r="AN1" t="s">
        <v>49</v>
      </c>
      <c r="AO1" t="s">
        <v>56</v>
      </c>
      <c r="AP1" t="s">
        <v>53</v>
      </c>
      <c r="AQ1" t="s">
        <v>15</v>
      </c>
      <c r="AR1" t="s">
        <v>16</v>
      </c>
      <c r="AS1" t="s">
        <v>58</v>
      </c>
      <c r="AT1" t="s">
        <v>223</v>
      </c>
      <c r="AU1" t="s">
        <v>280</v>
      </c>
      <c r="AV1" t="s">
        <v>539</v>
      </c>
      <c r="AW1" s="1" t="s">
        <v>17</v>
      </c>
      <c r="AX1" t="s">
        <v>165</v>
      </c>
    </row>
    <row r="2" spans="1:50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39</v>
      </c>
      <c r="L2" t="s">
        <v>13</v>
      </c>
      <c r="M2" t="s">
        <v>41</v>
      </c>
      <c r="N2" t="s">
        <v>155</v>
      </c>
      <c r="O2" t="s">
        <v>10</v>
      </c>
      <c r="P2" t="s">
        <v>36</v>
      </c>
      <c r="Q2" t="s">
        <v>10</v>
      </c>
      <c r="R2" t="s">
        <v>36</v>
      </c>
      <c r="S2" t="s">
        <v>10</v>
      </c>
      <c r="T2" t="s">
        <v>41</v>
      </c>
      <c r="U2" t="s">
        <v>36</v>
      </c>
      <c r="V2" t="s">
        <v>36</v>
      </c>
      <c r="W2" t="s">
        <v>39</v>
      </c>
      <c r="X2" t="s">
        <v>36</v>
      </c>
      <c r="Y2" t="s">
        <v>10</v>
      </c>
      <c r="Z2" t="s">
        <v>10</v>
      </c>
      <c r="AA2" t="s">
        <v>36</v>
      </c>
      <c r="AB2" t="s">
        <v>47</v>
      </c>
      <c r="AC2" t="s">
        <v>117</v>
      </c>
      <c r="AD2" t="s">
        <v>36</v>
      </c>
      <c r="AE2" t="s">
        <v>39</v>
      </c>
      <c r="AF2" t="s">
        <v>41</v>
      </c>
      <c r="AG2" t="s">
        <v>36</v>
      </c>
      <c r="AH2" t="s">
        <v>41</v>
      </c>
      <c r="AI2" t="s">
        <v>47</v>
      </c>
      <c r="AJ2" t="s">
        <v>10</v>
      </c>
      <c r="AK2" t="s">
        <v>46</v>
      </c>
      <c r="AL2" t="s">
        <v>117</v>
      </c>
      <c r="AM2" t="s">
        <v>36</v>
      </c>
      <c r="AN2" t="s">
        <v>50</v>
      </c>
      <c r="AO2" t="s">
        <v>57</v>
      </c>
      <c r="AP2" t="s">
        <v>14</v>
      </c>
      <c r="AQ2" t="s">
        <v>13</v>
      </c>
      <c r="AR2" t="s">
        <v>13</v>
      </c>
      <c r="AS2" t="s">
        <v>57</v>
      </c>
      <c r="AT2" t="s">
        <v>57</v>
      </c>
      <c r="AU2" t="s">
        <v>57</v>
      </c>
      <c r="AV2" t="s">
        <v>10</v>
      </c>
      <c r="AW2" t="s">
        <v>10</v>
      </c>
      <c r="AX2" t="s">
        <v>166</v>
      </c>
    </row>
    <row r="3" spans="1:50">
      <c r="A3" s="2" t="s">
        <v>167</v>
      </c>
      <c r="B3" s="2" t="s">
        <v>168</v>
      </c>
      <c r="C3" s="2" t="s">
        <v>128</v>
      </c>
      <c r="D3" s="2" t="s">
        <v>129</v>
      </c>
      <c r="E3" s="2" t="s">
        <v>130</v>
      </c>
      <c r="F3" s="2" t="s">
        <v>131</v>
      </c>
      <c r="G3" s="2" t="s">
        <v>132</v>
      </c>
      <c r="H3" s="2" t="s">
        <v>133</v>
      </c>
      <c r="I3" s="2" t="s">
        <v>134</v>
      </c>
      <c r="J3" s="3" t="s">
        <v>169</v>
      </c>
      <c r="K3" s="3" t="s">
        <v>170</v>
      </c>
      <c r="L3" s="3" t="s">
        <v>171</v>
      </c>
      <c r="M3" s="3" t="s">
        <v>172</v>
      </c>
      <c r="N3" s="3" t="s">
        <v>173</v>
      </c>
      <c r="O3" s="3" t="s">
        <v>174</v>
      </c>
      <c r="P3" s="3" t="s">
        <v>175</v>
      </c>
      <c r="Q3" s="3" t="s">
        <v>441</v>
      </c>
      <c r="R3" s="3" t="s">
        <v>442</v>
      </c>
      <c r="S3" s="3" t="s">
        <v>176</v>
      </c>
      <c r="T3" s="3" t="s">
        <v>177</v>
      </c>
      <c r="U3" s="3" t="s">
        <v>178</v>
      </c>
      <c r="V3" s="3" t="s">
        <v>179</v>
      </c>
      <c r="W3" s="3" t="s">
        <v>180</v>
      </c>
      <c r="X3" s="3" t="s">
        <v>181</v>
      </c>
      <c r="Y3" s="3" t="s">
        <v>182</v>
      </c>
      <c r="Z3" s="3" t="s">
        <v>183</v>
      </c>
      <c r="AA3" s="3" t="s">
        <v>184</v>
      </c>
      <c r="AB3" s="3" t="s">
        <v>148</v>
      </c>
      <c r="AC3" s="3" t="s">
        <v>185</v>
      </c>
      <c r="AD3" s="3" t="s">
        <v>186</v>
      </c>
      <c r="AE3" s="3" t="s">
        <v>187</v>
      </c>
      <c r="AF3" s="3" t="s">
        <v>188</v>
      </c>
      <c r="AG3" s="3" t="s">
        <v>189</v>
      </c>
      <c r="AH3" s="3" t="s">
        <v>190</v>
      </c>
      <c r="AI3" s="3" t="s">
        <v>191</v>
      </c>
      <c r="AJ3" s="3" t="s">
        <v>192</v>
      </c>
      <c r="AK3" s="3" t="s">
        <v>193</v>
      </c>
      <c r="AL3" s="3" t="s">
        <v>194</v>
      </c>
      <c r="AM3" s="3" t="s">
        <v>195</v>
      </c>
      <c r="AN3" s="3" t="s">
        <v>196</v>
      </c>
      <c r="AO3" s="3" t="s">
        <v>197</v>
      </c>
      <c r="AP3" s="3" t="s">
        <v>198</v>
      </c>
      <c r="AQ3" s="3" t="s">
        <v>138</v>
      </c>
      <c r="AR3" s="3" t="s">
        <v>139</v>
      </c>
      <c r="AS3" s="3" t="s">
        <v>199</v>
      </c>
      <c r="AT3" s="3" t="s">
        <v>222</v>
      </c>
      <c r="AU3" s="3" t="s">
        <v>281</v>
      </c>
      <c r="AV3" s="3" t="s">
        <v>540</v>
      </c>
      <c r="AW3" s="2" t="s">
        <v>140</v>
      </c>
      <c r="AX3" s="7" t="s">
        <v>126</v>
      </c>
    </row>
    <row r="4" spans="1:50">
      <c r="A4" s="3" t="s">
        <v>142</v>
      </c>
      <c r="B4" s="3" t="s">
        <v>143</v>
      </c>
      <c r="C4" s="3" t="s">
        <v>167</v>
      </c>
      <c r="D4" s="3" t="s">
        <v>169</v>
      </c>
      <c r="E4" s="3" t="s">
        <v>145</v>
      </c>
      <c r="F4" s="4">
        <f t="shared" ref="F4:F38" ca="1" si="0">NOW()</f>
        <v>44033.681508333335</v>
      </c>
      <c r="G4" s="3" t="s">
        <v>201</v>
      </c>
      <c r="H4" s="3" t="s">
        <v>169</v>
      </c>
      <c r="I4" s="3" t="s">
        <v>200</v>
      </c>
      <c r="J4" s="3" t="s">
        <v>201</v>
      </c>
      <c r="K4" s="3" t="s">
        <v>202</v>
      </c>
      <c r="L4" s="3" t="s">
        <v>169</v>
      </c>
      <c r="M4" s="3" t="s">
        <v>202</v>
      </c>
      <c r="O4" s="3" t="s">
        <v>202</v>
      </c>
      <c r="P4" s="3" t="s">
        <v>202</v>
      </c>
      <c r="Q4" s="3" t="s">
        <v>253</v>
      </c>
      <c r="R4" s="3" t="s">
        <v>253</v>
      </c>
      <c r="S4" s="3" t="s">
        <v>202</v>
      </c>
      <c r="T4" s="3" t="s">
        <v>534</v>
      </c>
      <c r="U4" s="3" t="s">
        <v>144</v>
      </c>
      <c r="V4" s="3" t="s">
        <v>203</v>
      </c>
      <c r="W4" s="3" t="s">
        <v>306</v>
      </c>
      <c r="X4" s="3" t="s">
        <v>529</v>
      </c>
      <c r="Y4" t="s">
        <v>651</v>
      </c>
      <c r="AA4" s="3" t="s">
        <v>202</v>
      </c>
      <c r="AD4" t="s">
        <v>530</v>
      </c>
      <c r="AE4" s="9" t="s">
        <v>307</v>
      </c>
      <c r="AF4" s="9" t="s">
        <v>307</v>
      </c>
      <c r="AG4" s="3" t="s">
        <v>144</v>
      </c>
      <c r="AH4" s="3" t="s">
        <v>169</v>
      </c>
      <c r="AK4" t="s">
        <v>660</v>
      </c>
      <c r="AM4" s="3" t="s">
        <v>169</v>
      </c>
      <c r="AO4" s="3" t="s">
        <v>169</v>
      </c>
      <c r="AQ4" s="3" t="s">
        <v>150</v>
      </c>
      <c r="AV4" s="3"/>
      <c r="AW4" s="3" t="s">
        <v>152</v>
      </c>
      <c r="AX4" s="3" t="s">
        <v>570</v>
      </c>
    </row>
    <row r="5" spans="1:50">
      <c r="A5" s="3" t="s">
        <v>142</v>
      </c>
      <c r="B5" s="3" t="s">
        <v>143</v>
      </c>
      <c r="C5" s="3" t="s">
        <v>167</v>
      </c>
      <c r="D5" s="3" t="s">
        <v>169</v>
      </c>
      <c r="E5" s="3" t="s">
        <v>145</v>
      </c>
      <c r="F5" s="4">
        <f t="shared" ca="1" si="0"/>
        <v>44033.681508333335</v>
      </c>
      <c r="G5" s="3" t="s">
        <v>146</v>
      </c>
      <c r="H5" s="3" t="s">
        <v>169</v>
      </c>
      <c r="I5" s="3" t="s">
        <v>200</v>
      </c>
      <c r="J5" s="3" t="s">
        <v>146</v>
      </c>
      <c r="K5" s="3" t="s">
        <v>202</v>
      </c>
      <c r="L5" s="3" t="s">
        <v>203</v>
      </c>
      <c r="M5" s="3" t="s">
        <v>202</v>
      </c>
      <c r="O5" s="3" t="s">
        <v>202</v>
      </c>
      <c r="P5" s="3" t="s">
        <v>202</v>
      </c>
      <c r="Q5" s="3" t="s">
        <v>202</v>
      </c>
      <c r="R5" s="3" t="s">
        <v>202</v>
      </c>
      <c r="S5" s="3" t="s">
        <v>202</v>
      </c>
      <c r="T5" s="3" t="s">
        <v>440</v>
      </c>
      <c r="U5" s="3" t="s">
        <v>144</v>
      </c>
      <c r="V5" s="3" t="s">
        <v>203</v>
      </c>
      <c r="W5" s="3" t="s">
        <v>306</v>
      </c>
      <c r="X5" s="3" t="s">
        <v>529</v>
      </c>
      <c r="Y5" t="s">
        <v>651</v>
      </c>
      <c r="AA5" s="3" t="s">
        <v>202</v>
      </c>
      <c r="AD5" t="s">
        <v>537</v>
      </c>
      <c r="AE5" s="9" t="s">
        <v>202</v>
      </c>
      <c r="AF5" s="9" t="s">
        <v>202</v>
      </c>
      <c r="AG5" s="3" t="s">
        <v>144</v>
      </c>
      <c r="AH5" s="3" t="s">
        <v>538</v>
      </c>
      <c r="AK5" t="s">
        <v>660</v>
      </c>
      <c r="AM5" s="3" t="s">
        <v>169</v>
      </c>
      <c r="AO5" s="3" t="s">
        <v>169</v>
      </c>
      <c r="AQ5" s="3" t="s">
        <v>150</v>
      </c>
      <c r="AV5" s="3" t="s">
        <v>541</v>
      </c>
      <c r="AW5" s="3" t="s">
        <v>152</v>
      </c>
      <c r="AX5" s="3" t="s">
        <v>542</v>
      </c>
    </row>
    <row r="6" spans="1:50">
      <c r="A6" s="3" t="s">
        <v>142</v>
      </c>
      <c r="B6" s="3" t="s">
        <v>143</v>
      </c>
      <c r="C6" s="3" t="s">
        <v>167</v>
      </c>
      <c r="D6" s="3" t="s">
        <v>169</v>
      </c>
      <c r="E6" s="3" t="s">
        <v>145</v>
      </c>
      <c r="F6" s="4">
        <f t="shared" ca="1" si="0"/>
        <v>44033.681508333335</v>
      </c>
      <c r="G6" s="3" t="s">
        <v>146</v>
      </c>
      <c r="H6" s="3" t="s">
        <v>169</v>
      </c>
      <c r="I6" s="3" t="s">
        <v>200</v>
      </c>
      <c r="J6" s="3" t="s">
        <v>146</v>
      </c>
      <c r="K6" s="3" t="s">
        <v>202</v>
      </c>
      <c r="L6" s="3" t="s">
        <v>532</v>
      </c>
      <c r="M6" s="3" t="s">
        <v>202</v>
      </c>
      <c r="O6" s="3" t="s">
        <v>202</v>
      </c>
      <c r="P6" s="3" t="s">
        <v>202</v>
      </c>
      <c r="Q6" s="3" t="s">
        <v>202</v>
      </c>
      <c r="R6" s="3" t="s">
        <v>202</v>
      </c>
      <c r="S6" s="3" t="s">
        <v>202</v>
      </c>
      <c r="T6" s="3" t="s">
        <v>536</v>
      </c>
      <c r="U6" s="3" t="s">
        <v>144</v>
      </c>
      <c r="V6" s="3" t="s">
        <v>203</v>
      </c>
      <c r="W6" s="3" t="s">
        <v>306</v>
      </c>
      <c r="X6" s="3" t="s">
        <v>529</v>
      </c>
      <c r="Y6" t="s">
        <v>651</v>
      </c>
      <c r="AA6" s="3" t="s">
        <v>202</v>
      </c>
      <c r="AD6" t="s">
        <v>204</v>
      </c>
      <c r="AE6" s="9" t="s">
        <v>202</v>
      </c>
      <c r="AF6" s="9" t="s">
        <v>202</v>
      </c>
      <c r="AG6" s="3" t="s">
        <v>144</v>
      </c>
      <c r="AH6" s="3" t="s">
        <v>169</v>
      </c>
      <c r="AK6" t="s">
        <v>660</v>
      </c>
      <c r="AM6" s="3" t="s">
        <v>169</v>
      </c>
      <c r="AO6" s="3" t="s">
        <v>169</v>
      </c>
      <c r="AQ6" s="3" t="s">
        <v>150</v>
      </c>
      <c r="AV6" s="3" t="s">
        <v>541</v>
      </c>
      <c r="AW6" s="3" t="s">
        <v>152</v>
      </c>
      <c r="AX6" s="3" t="s">
        <v>542</v>
      </c>
    </row>
    <row r="7" spans="1:50">
      <c r="A7" s="3" t="s">
        <v>142</v>
      </c>
      <c r="B7" s="3" t="s">
        <v>143</v>
      </c>
      <c r="C7" s="3" t="s">
        <v>167</v>
      </c>
      <c r="D7" s="3" t="s">
        <v>169</v>
      </c>
      <c r="E7" s="3" t="s">
        <v>145</v>
      </c>
      <c r="F7" s="4">
        <f t="shared" ca="1" si="0"/>
        <v>44033.681508333335</v>
      </c>
      <c r="G7" s="3" t="s">
        <v>201</v>
      </c>
      <c r="H7" s="3" t="s">
        <v>169</v>
      </c>
      <c r="I7" s="3" t="s">
        <v>200</v>
      </c>
      <c r="J7" s="3" t="s">
        <v>201</v>
      </c>
      <c r="K7" s="3" t="s">
        <v>202</v>
      </c>
      <c r="L7" s="3" t="s">
        <v>169</v>
      </c>
      <c r="M7" s="3" t="s">
        <v>202</v>
      </c>
      <c r="O7" s="3" t="s">
        <v>202</v>
      </c>
      <c r="P7" s="3" t="s">
        <v>202</v>
      </c>
      <c r="Q7" s="3" t="s">
        <v>253</v>
      </c>
      <c r="R7" s="3" t="s">
        <v>253</v>
      </c>
      <c r="S7" s="3" t="s">
        <v>202</v>
      </c>
      <c r="T7" s="3" t="s">
        <v>534</v>
      </c>
      <c r="U7" s="3" t="s">
        <v>202</v>
      </c>
      <c r="V7" s="3" t="s">
        <v>203</v>
      </c>
      <c r="W7" s="3" t="s">
        <v>306</v>
      </c>
      <c r="X7" s="3" t="s">
        <v>203</v>
      </c>
      <c r="Y7" t="s">
        <v>651</v>
      </c>
      <c r="AA7" s="3" t="s">
        <v>202</v>
      </c>
      <c r="AD7" t="s">
        <v>530</v>
      </c>
      <c r="AE7" s="9" t="s">
        <v>306</v>
      </c>
      <c r="AF7" s="9" t="s">
        <v>306</v>
      </c>
      <c r="AG7" s="3" t="s">
        <v>531</v>
      </c>
      <c r="AH7" s="3" t="s">
        <v>169</v>
      </c>
      <c r="AK7" t="s">
        <v>660</v>
      </c>
      <c r="AM7" s="3" t="s">
        <v>169</v>
      </c>
      <c r="AO7" s="3" t="s">
        <v>169</v>
      </c>
      <c r="AQ7" s="3" t="s">
        <v>150</v>
      </c>
      <c r="AW7" s="3" t="s">
        <v>152</v>
      </c>
      <c r="AX7" s="3" t="s">
        <v>570</v>
      </c>
    </row>
    <row r="8" spans="1:50">
      <c r="A8" s="3" t="s">
        <v>142</v>
      </c>
      <c r="B8" s="3" t="s">
        <v>143</v>
      </c>
      <c r="C8" s="3" t="s">
        <v>167</v>
      </c>
      <c r="D8" s="3" t="s">
        <v>169</v>
      </c>
      <c r="E8" s="3" t="s">
        <v>145</v>
      </c>
      <c r="F8" s="4">
        <f t="shared" ca="1" si="0"/>
        <v>44033.681508333335</v>
      </c>
      <c r="G8" s="3" t="s">
        <v>146</v>
      </c>
      <c r="H8" s="3" t="s">
        <v>169</v>
      </c>
      <c r="I8" s="3" t="s">
        <v>200</v>
      </c>
      <c r="J8" s="3" t="s">
        <v>146</v>
      </c>
      <c r="K8" s="3" t="s">
        <v>202</v>
      </c>
      <c r="L8" s="3" t="s">
        <v>529</v>
      </c>
      <c r="M8" s="3" t="s">
        <v>202</v>
      </c>
      <c r="O8" s="3" t="s">
        <v>202</v>
      </c>
      <c r="P8" s="3" t="s">
        <v>202</v>
      </c>
      <c r="Q8" s="3" t="s">
        <v>202</v>
      </c>
      <c r="R8" s="3" t="s">
        <v>202</v>
      </c>
      <c r="S8" s="3" t="s">
        <v>202</v>
      </c>
      <c r="T8" s="3" t="s">
        <v>535</v>
      </c>
      <c r="U8" s="3" t="s">
        <v>202</v>
      </c>
      <c r="V8" s="3" t="s">
        <v>203</v>
      </c>
      <c r="W8" s="3" t="s">
        <v>306</v>
      </c>
      <c r="X8" s="3" t="s">
        <v>203</v>
      </c>
      <c r="Y8" t="s">
        <v>651</v>
      </c>
      <c r="AA8" s="3" t="s">
        <v>202</v>
      </c>
      <c r="AD8" t="s">
        <v>537</v>
      </c>
      <c r="AE8" s="9" t="s">
        <v>306</v>
      </c>
      <c r="AF8" s="9" t="s">
        <v>306</v>
      </c>
      <c r="AG8" s="3" t="s">
        <v>531</v>
      </c>
      <c r="AH8" s="3" t="s">
        <v>535</v>
      </c>
      <c r="AK8" t="s">
        <v>660</v>
      </c>
      <c r="AM8" s="3" t="s">
        <v>169</v>
      </c>
      <c r="AO8" s="3" t="s">
        <v>169</v>
      </c>
      <c r="AQ8" s="3" t="s">
        <v>150</v>
      </c>
      <c r="AV8" s="3" t="s">
        <v>541</v>
      </c>
      <c r="AW8" s="3" t="s">
        <v>152</v>
      </c>
      <c r="AX8" s="3" t="s">
        <v>542</v>
      </c>
    </row>
    <row r="9" spans="1:50">
      <c r="A9" s="3" t="s">
        <v>142</v>
      </c>
      <c r="B9" s="3" t="s">
        <v>143</v>
      </c>
      <c r="C9" s="3" t="s">
        <v>167</v>
      </c>
      <c r="D9" s="3" t="s">
        <v>169</v>
      </c>
      <c r="E9" s="3" t="s">
        <v>145</v>
      </c>
      <c r="F9" s="4">
        <f t="shared" ca="1" si="0"/>
        <v>44033.681508333335</v>
      </c>
      <c r="G9" s="3" t="s">
        <v>146</v>
      </c>
      <c r="H9" s="3" t="s">
        <v>169</v>
      </c>
      <c r="I9" s="3" t="s">
        <v>200</v>
      </c>
      <c r="J9" s="3" t="s">
        <v>146</v>
      </c>
      <c r="K9" s="3" t="s">
        <v>202</v>
      </c>
      <c r="L9" s="3" t="s">
        <v>533</v>
      </c>
      <c r="M9" s="3" t="s">
        <v>202</v>
      </c>
      <c r="O9" s="3" t="s">
        <v>202</v>
      </c>
      <c r="P9" s="3" t="s">
        <v>202</v>
      </c>
      <c r="Q9" s="3" t="s">
        <v>202</v>
      </c>
      <c r="R9" s="3" t="s">
        <v>202</v>
      </c>
      <c r="S9" s="3" t="s">
        <v>202</v>
      </c>
      <c r="T9" s="3" t="s">
        <v>169</v>
      </c>
      <c r="U9" s="3" t="s">
        <v>202</v>
      </c>
      <c r="V9" s="3" t="s">
        <v>203</v>
      </c>
      <c r="W9" s="3" t="s">
        <v>306</v>
      </c>
      <c r="X9" s="3" t="s">
        <v>203</v>
      </c>
      <c r="Y9" t="s">
        <v>651</v>
      </c>
      <c r="AA9" s="3" t="s">
        <v>202</v>
      </c>
      <c r="AD9" t="s">
        <v>204</v>
      </c>
      <c r="AE9" s="9" t="s">
        <v>306</v>
      </c>
      <c r="AF9" s="9" t="s">
        <v>306</v>
      </c>
      <c r="AG9" s="3" t="s">
        <v>531</v>
      </c>
      <c r="AH9" s="3" t="s">
        <v>169</v>
      </c>
      <c r="AK9" t="s">
        <v>660</v>
      </c>
      <c r="AM9" s="3" t="s">
        <v>169</v>
      </c>
      <c r="AO9" s="3" t="s">
        <v>169</v>
      </c>
      <c r="AQ9" s="3" t="s">
        <v>150</v>
      </c>
      <c r="AV9" s="3" t="s">
        <v>541</v>
      </c>
      <c r="AW9" s="3" t="s">
        <v>152</v>
      </c>
      <c r="AX9" s="3" t="s">
        <v>542</v>
      </c>
    </row>
    <row r="10" spans="1:50">
      <c r="A10" s="3" t="s">
        <v>142</v>
      </c>
      <c r="B10" s="3" t="s">
        <v>143</v>
      </c>
      <c r="C10" s="3" t="s">
        <v>167</v>
      </c>
      <c r="D10" s="3" t="s">
        <v>169</v>
      </c>
      <c r="E10" s="3" t="s">
        <v>145</v>
      </c>
      <c r="F10" s="4">
        <f t="shared" ca="1" si="0"/>
        <v>44033.681508333335</v>
      </c>
      <c r="G10" s="3" t="s">
        <v>146</v>
      </c>
      <c r="H10" s="3" t="s">
        <v>169</v>
      </c>
      <c r="I10" s="3" t="s">
        <v>200</v>
      </c>
      <c r="J10" s="3" t="s">
        <v>146</v>
      </c>
      <c r="K10" s="3" t="s">
        <v>202</v>
      </c>
      <c r="L10" s="3" t="s">
        <v>529</v>
      </c>
      <c r="M10" s="3" t="s">
        <v>202</v>
      </c>
      <c r="O10" s="3" t="s">
        <v>202</v>
      </c>
      <c r="P10" s="3" t="s">
        <v>202</v>
      </c>
      <c r="Q10" s="3" t="s">
        <v>202</v>
      </c>
      <c r="R10" s="3" t="s">
        <v>202</v>
      </c>
      <c r="S10" s="3" t="s">
        <v>202</v>
      </c>
      <c r="T10" s="3" t="s">
        <v>535</v>
      </c>
      <c r="U10" s="3" t="s">
        <v>528</v>
      </c>
      <c r="V10" s="3" t="s">
        <v>203</v>
      </c>
      <c r="W10" s="3" t="s">
        <v>306</v>
      </c>
      <c r="X10" s="3" t="s">
        <v>203</v>
      </c>
      <c r="Y10" t="s">
        <v>651</v>
      </c>
      <c r="AA10" s="3" t="s">
        <v>202</v>
      </c>
      <c r="AD10" t="s">
        <v>537</v>
      </c>
      <c r="AE10" s="9" t="s">
        <v>306</v>
      </c>
      <c r="AF10" s="9" t="s">
        <v>306</v>
      </c>
      <c r="AG10" s="3" t="s">
        <v>554</v>
      </c>
      <c r="AH10" s="3" t="s">
        <v>440</v>
      </c>
      <c r="AK10" t="s">
        <v>660</v>
      </c>
      <c r="AM10" s="3" t="s">
        <v>169</v>
      </c>
      <c r="AO10" s="3" t="s">
        <v>169</v>
      </c>
      <c r="AQ10" s="3" t="s">
        <v>150</v>
      </c>
      <c r="AV10" s="3" t="s">
        <v>541</v>
      </c>
      <c r="AW10" s="3" t="s">
        <v>152</v>
      </c>
      <c r="AX10" s="3" t="s">
        <v>542</v>
      </c>
    </row>
    <row r="11" spans="1:50">
      <c r="A11" s="3" t="s">
        <v>142</v>
      </c>
      <c r="B11" s="3" t="s">
        <v>143</v>
      </c>
      <c r="C11" s="3" t="s">
        <v>167</v>
      </c>
      <c r="D11" s="3" t="s">
        <v>169</v>
      </c>
      <c r="E11" s="3" t="s">
        <v>145</v>
      </c>
      <c r="F11" s="4">
        <f t="shared" ca="1" si="0"/>
        <v>44033.681508333335</v>
      </c>
      <c r="G11" s="3" t="s">
        <v>146</v>
      </c>
      <c r="H11" s="3" t="s">
        <v>169</v>
      </c>
      <c r="I11" s="3" t="s">
        <v>200</v>
      </c>
      <c r="J11" s="3" t="s">
        <v>146</v>
      </c>
      <c r="K11" s="3" t="s">
        <v>202</v>
      </c>
      <c r="L11" s="3" t="s">
        <v>529</v>
      </c>
      <c r="M11" s="3" t="s">
        <v>202</v>
      </c>
      <c r="O11" s="3" t="s">
        <v>202</v>
      </c>
      <c r="P11" s="3" t="s">
        <v>202</v>
      </c>
      <c r="Q11" s="3" t="s">
        <v>202</v>
      </c>
      <c r="R11" s="3" t="s">
        <v>202</v>
      </c>
      <c r="S11" s="3" t="s">
        <v>202</v>
      </c>
      <c r="T11" s="3" t="s">
        <v>535</v>
      </c>
      <c r="U11" s="3" t="s">
        <v>538</v>
      </c>
      <c r="V11" s="3" t="s">
        <v>203</v>
      </c>
      <c r="W11" s="3" t="s">
        <v>306</v>
      </c>
      <c r="X11" s="3" t="s">
        <v>203</v>
      </c>
      <c r="Y11" t="s">
        <v>651</v>
      </c>
      <c r="AA11" s="3" t="s">
        <v>202</v>
      </c>
      <c r="AD11" t="s">
        <v>537</v>
      </c>
      <c r="AE11" s="9" t="s">
        <v>306</v>
      </c>
      <c r="AF11" s="9" t="s">
        <v>306</v>
      </c>
      <c r="AG11" s="3" t="s">
        <v>538</v>
      </c>
      <c r="AH11" s="3" t="s">
        <v>555</v>
      </c>
      <c r="AK11" t="s">
        <v>660</v>
      </c>
      <c r="AM11" s="3" t="s">
        <v>169</v>
      </c>
      <c r="AO11" s="3" t="s">
        <v>169</v>
      </c>
      <c r="AQ11" s="3" t="s">
        <v>150</v>
      </c>
      <c r="AV11" s="3" t="s">
        <v>541</v>
      </c>
      <c r="AW11" s="3" t="s">
        <v>152</v>
      </c>
      <c r="AX11" s="3" t="s">
        <v>542</v>
      </c>
    </row>
    <row r="12" spans="1:50">
      <c r="A12" s="3" t="s">
        <v>142</v>
      </c>
      <c r="B12" s="3" t="s">
        <v>143</v>
      </c>
      <c r="C12" s="3" t="s">
        <v>167</v>
      </c>
      <c r="D12" s="3" t="s">
        <v>169</v>
      </c>
      <c r="E12" s="3" t="s">
        <v>145</v>
      </c>
      <c r="F12" s="4">
        <f t="shared" ca="1" si="0"/>
        <v>44033.681508333335</v>
      </c>
      <c r="G12" s="3" t="s">
        <v>146</v>
      </c>
      <c r="H12" s="3" t="s">
        <v>169</v>
      </c>
      <c r="I12" s="3" t="s">
        <v>200</v>
      </c>
      <c r="J12" s="3" t="s">
        <v>146</v>
      </c>
      <c r="K12" s="3" t="s">
        <v>202</v>
      </c>
      <c r="L12" s="3" t="s">
        <v>171</v>
      </c>
      <c r="M12" s="3" t="s">
        <v>202</v>
      </c>
      <c r="O12" s="3" t="s">
        <v>202</v>
      </c>
      <c r="P12" s="3" t="s">
        <v>202</v>
      </c>
      <c r="Q12" s="3" t="s">
        <v>202</v>
      </c>
      <c r="R12" s="3" t="s">
        <v>202</v>
      </c>
      <c r="S12" s="3" t="s">
        <v>202</v>
      </c>
      <c r="T12" s="3" t="s">
        <v>535</v>
      </c>
      <c r="U12" s="3" t="s">
        <v>556</v>
      </c>
      <c r="V12" s="3" t="s">
        <v>203</v>
      </c>
      <c r="W12" s="3" t="s">
        <v>306</v>
      </c>
      <c r="X12" s="3" t="s">
        <v>203</v>
      </c>
      <c r="Y12" t="s">
        <v>651</v>
      </c>
      <c r="AA12" s="3" t="s">
        <v>202</v>
      </c>
      <c r="AD12" t="s">
        <v>537</v>
      </c>
      <c r="AE12" s="9" t="s">
        <v>306</v>
      </c>
      <c r="AF12" s="9" t="s">
        <v>306</v>
      </c>
      <c r="AG12" s="3" t="s">
        <v>556</v>
      </c>
      <c r="AH12" s="3" t="s">
        <v>555</v>
      </c>
      <c r="AK12" t="s">
        <v>660</v>
      </c>
      <c r="AM12" s="3" t="s">
        <v>169</v>
      </c>
      <c r="AO12" s="3" t="s">
        <v>169</v>
      </c>
      <c r="AQ12" s="3" t="s">
        <v>150</v>
      </c>
      <c r="AV12" s="3" t="s">
        <v>541</v>
      </c>
      <c r="AW12" s="3" t="s">
        <v>152</v>
      </c>
      <c r="AX12" s="3" t="s">
        <v>542</v>
      </c>
    </row>
    <row r="13" spans="1:50">
      <c r="A13" s="3" t="s">
        <v>142</v>
      </c>
      <c r="B13" s="3" t="s">
        <v>143</v>
      </c>
      <c r="C13" s="3" t="s">
        <v>167</v>
      </c>
      <c r="D13" s="3" t="s">
        <v>169</v>
      </c>
      <c r="E13" s="3" t="s">
        <v>145</v>
      </c>
      <c r="F13" s="4">
        <f t="shared" ca="1" si="0"/>
        <v>44033.681508333335</v>
      </c>
      <c r="G13" s="3" t="s">
        <v>146</v>
      </c>
      <c r="H13" s="3" t="s">
        <v>169</v>
      </c>
      <c r="I13" s="3" t="s">
        <v>200</v>
      </c>
      <c r="J13" s="3" t="s">
        <v>146</v>
      </c>
      <c r="K13" s="3" t="s">
        <v>202</v>
      </c>
      <c r="L13" s="3" t="s">
        <v>440</v>
      </c>
      <c r="M13" s="3" t="s">
        <v>202</v>
      </c>
      <c r="O13" s="3" t="s">
        <v>202</v>
      </c>
      <c r="P13" s="3" t="s">
        <v>202</v>
      </c>
      <c r="Q13" s="3" t="s">
        <v>202</v>
      </c>
      <c r="R13" s="3" t="s">
        <v>202</v>
      </c>
      <c r="S13" s="3" t="s">
        <v>202</v>
      </c>
      <c r="T13" s="3" t="s">
        <v>203</v>
      </c>
      <c r="U13" s="3" t="s">
        <v>144</v>
      </c>
      <c r="V13" s="3" t="s">
        <v>203</v>
      </c>
      <c r="W13" s="3" t="s">
        <v>656</v>
      </c>
      <c r="X13" s="3" t="s">
        <v>529</v>
      </c>
      <c r="Y13" t="s">
        <v>654</v>
      </c>
      <c r="AA13" s="3" t="s">
        <v>202</v>
      </c>
      <c r="AD13" t="s">
        <v>537</v>
      </c>
      <c r="AE13" s="9" t="s">
        <v>202</v>
      </c>
      <c r="AF13" s="9" t="s">
        <v>202</v>
      </c>
      <c r="AG13" s="3" t="s">
        <v>144</v>
      </c>
      <c r="AH13" s="3" t="s">
        <v>203</v>
      </c>
      <c r="AK13" t="s">
        <v>660</v>
      </c>
      <c r="AM13" s="3" t="s">
        <v>169</v>
      </c>
      <c r="AO13" s="3" t="s">
        <v>169</v>
      </c>
      <c r="AQ13" s="3" t="s">
        <v>150</v>
      </c>
      <c r="AV13" s="3"/>
      <c r="AW13" s="3" t="s">
        <v>152</v>
      </c>
      <c r="AX13" s="3" t="s">
        <v>570</v>
      </c>
    </row>
    <row r="14" spans="1:50">
      <c r="A14" s="3" t="s">
        <v>142</v>
      </c>
      <c r="B14" s="3" t="s">
        <v>143</v>
      </c>
      <c r="C14" s="3" t="s">
        <v>167</v>
      </c>
      <c r="D14" s="3" t="s">
        <v>169</v>
      </c>
      <c r="E14" s="3" t="s">
        <v>145</v>
      </c>
      <c r="F14" s="4">
        <f t="shared" ca="1" si="0"/>
        <v>44033.681508333335</v>
      </c>
      <c r="G14" s="3" t="s">
        <v>146</v>
      </c>
      <c r="H14" s="3" t="s">
        <v>169</v>
      </c>
      <c r="I14" s="3" t="s">
        <v>200</v>
      </c>
      <c r="J14" s="3" t="s">
        <v>146</v>
      </c>
      <c r="K14" s="3" t="s">
        <v>202</v>
      </c>
      <c r="L14" s="3" t="s">
        <v>440</v>
      </c>
      <c r="M14" s="3" t="s">
        <v>202</v>
      </c>
      <c r="O14" s="3" t="s">
        <v>202</v>
      </c>
      <c r="P14" s="3" t="s">
        <v>202</v>
      </c>
      <c r="Q14" s="3" t="s">
        <v>202</v>
      </c>
      <c r="R14" s="3" t="s">
        <v>202</v>
      </c>
      <c r="S14" s="3" t="s">
        <v>202</v>
      </c>
      <c r="T14" s="3" t="s">
        <v>203</v>
      </c>
      <c r="U14" s="3" t="s">
        <v>202</v>
      </c>
      <c r="V14" s="3" t="s">
        <v>203</v>
      </c>
      <c r="W14" s="3" t="s">
        <v>118</v>
      </c>
      <c r="X14" s="3" t="s">
        <v>203</v>
      </c>
      <c r="Y14" t="s">
        <v>654</v>
      </c>
      <c r="AA14" s="3" t="s">
        <v>202</v>
      </c>
      <c r="AD14" t="s">
        <v>537</v>
      </c>
      <c r="AE14" s="9" t="s">
        <v>306</v>
      </c>
      <c r="AF14" s="9" t="s">
        <v>306</v>
      </c>
      <c r="AG14" s="3" t="s">
        <v>531</v>
      </c>
      <c r="AH14" s="3" t="s">
        <v>203</v>
      </c>
      <c r="AK14" t="s">
        <v>660</v>
      </c>
      <c r="AM14" s="3" t="s">
        <v>169</v>
      </c>
      <c r="AO14" s="3" t="s">
        <v>169</v>
      </c>
      <c r="AQ14" s="3" t="s">
        <v>150</v>
      </c>
      <c r="AV14" s="3"/>
      <c r="AW14" s="3" t="s">
        <v>152</v>
      </c>
      <c r="AX14" s="3" t="s">
        <v>570</v>
      </c>
    </row>
    <row r="15" spans="1:50">
      <c r="A15" s="3" t="s">
        <v>142</v>
      </c>
      <c r="B15" s="3" t="s">
        <v>143</v>
      </c>
      <c r="C15" s="3" t="s">
        <v>167</v>
      </c>
      <c r="D15" s="3" t="s">
        <v>169</v>
      </c>
      <c r="E15" s="3" t="s">
        <v>145</v>
      </c>
      <c r="F15" s="4">
        <f t="shared" ca="1" si="0"/>
        <v>44033.681508333335</v>
      </c>
      <c r="G15" s="3" t="s">
        <v>146</v>
      </c>
      <c r="H15" s="3" t="s">
        <v>169</v>
      </c>
      <c r="I15" s="3" t="s">
        <v>200</v>
      </c>
      <c r="J15" s="3" t="s">
        <v>146</v>
      </c>
      <c r="K15" s="3" t="s">
        <v>202</v>
      </c>
      <c r="L15" s="3" t="s">
        <v>169</v>
      </c>
      <c r="M15" s="3" t="s">
        <v>202</v>
      </c>
      <c r="O15" s="3" t="s">
        <v>202</v>
      </c>
      <c r="P15" s="3" t="s">
        <v>202</v>
      </c>
      <c r="Q15" s="3" t="s">
        <v>202</v>
      </c>
      <c r="R15" s="3" t="s">
        <v>202</v>
      </c>
      <c r="S15" s="3" t="s">
        <v>202</v>
      </c>
      <c r="T15" s="3" t="s">
        <v>534</v>
      </c>
      <c r="U15" s="3" t="s">
        <v>170</v>
      </c>
      <c r="V15" s="3" t="s">
        <v>203</v>
      </c>
      <c r="W15" s="3" t="s">
        <v>306</v>
      </c>
      <c r="X15" s="3" t="s">
        <v>529</v>
      </c>
      <c r="Y15" t="s">
        <v>651</v>
      </c>
      <c r="AA15" s="3" t="s">
        <v>202</v>
      </c>
      <c r="AD15" t="s">
        <v>530</v>
      </c>
      <c r="AE15" s="9" t="s">
        <v>202</v>
      </c>
      <c r="AF15" s="9" t="s">
        <v>202</v>
      </c>
      <c r="AG15" s="3" t="s">
        <v>170</v>
      </c>
      <c r="AH15" s="3" t="s">
        <v>169</v>
      </c>
      <c r="AK15" t="s">
        <v>660</v>
      </c>
      <c r="AM15" s="3" t="s">
        <v>169</v>
      </c>
      <c r="AO15" s="3" t="s">
        <v>169</v>
      </c>
      <c r="AQ15" s="3" t="s">
        <v>150</v>
      </c>
      <c r="AV15" s="3"/>
      <c r="AW15" s="3" t="s">
        <v>152</v>
      </c>
      <c r="AX15" s="3" t="s">
        <v>570</v>
      </c>
    </row>
    <row r="16" spans="1:50">
      <c r="A16" s="3" t="s">
        <v>142</v>
      </c>
      <c r="B16" s="3" t="s">
        <v>143</v>
      </c>
      <c r="C16" s="3" t="s">
        <v>167</v>
      </c>
      <c r="D16" s="3" t="s">
        <v>169</v>
      </c>
      <c r="E16" s="3" t="s">
        <v>145</v>
      </c>
      <c r="F16" s="4">
        <f t="shared" ca="1" si="0"/>
        <v>44033.681508333335</v>
      </c>
      <c r="G16" s="3" t="s">
        <v>146</v>
      </c>
      <c r="H16" s="3" t="s">
        <v>169</v>
      </c>
      <c r="I16" s="3" t="s">
        <v>200</v>
      </c>
      <c r="J16" s="3" t="s">
        <v>146</v>
      </c>
      <c r="K16" s="3" t="s">
        <v>202</v>
      </c>
      <c r="L16" s="3" t="s">
        <v>169</v>
      </c>
      <c r="M16" s="3" t="s">
        <v>202</v>
      </c>
      <c r="O16" s="3" t="s">
        <v>202</v>
      </c>
      <c r="P16" s="3" t="s">
        <v>202</v>
      </c>
      <c r="Q16" s="3" t="s">
        <v>202</v>
      </c>
      <c r="R16" s="3" t="s">
        <v>202</v>
      </c>
      <c r="S16" s="3" t="s">
        <v>202</v>
      </c>
      <c r="T16" s="3" t="s">
        <v>534</v>
      </c>
      <c r="U16" s="3" t="s">
        <v>538</v>
      </c>
      <c r="V16" s="3" t="s">
        <v>203</v>
      </c>
      <c r="W16" s="3" t="s">
        <v>306</v>
      </c>
      <c r="X16" s="3" t="s">
        <v>203</v>
      </c>
      <c r="Y16" t="s">
        <v>651</v>
      </c>
      <c r="AA16" s="3" t="s">
        <v>202</v>
      </c>
      <c r="AD16" t="s">
        <v>530</v>
      </c>
      <c r="AE16" s="9" t="s">
        <v>306</v>
      </c>
      <c r="AF16" s="9" t="s">
        <v>306</v>
      </c>
      <c r="AG16" s="3" t="s">
        <v>538</v>
      </c>
      <c r="AH16" s="3" t="s">
        <v>555</v>
      </c>
      <c r="AK16" t="s">
        <v>660</v>
      </c>
      <c r="AM16" s="3" t="s">
        <v>169</v>
      </c>
      <c r="AO16" s="3" t="s">
        <v>169</v>
      </c>
      <c r="AQ16" s="3" t="s">
        <v>150</v>
      </c>
      <c r="AW16" s="3" t="s">
        <v>152</v>
      </c>
      <c r="AX16" s="3" t="s">
        <v>570</v>
      </c>
    </row>
    <row r="17" spans="1:50">
      <c r="A17" s="3" t="s">
        <v>142</v>
      </c>
      <c r="B17" s="3" t="s">
        <v>143</v>
      </c>
      <c r="C17" s="3" t="s">
        <v>167</v>
      </c>
      <c r="D17" s="3" t="s">
        <v>169</v>
      </c>
      <c r="E17" s="3" t="s">
        <v>145</v>
      </c>
      <c r="F17" s="4">
        <f t="shared" ca="1" si="0"/>
        <v>44033.681508333335</v>
      </c>
      <c r="G17" s="3" t="s">
        <v>146</v>
      </c>
      <c r="H17" s="3" t="s">
        <v>169</v>
      </c>
      <c r="I17" s="3" t="s">
        <v>200</v>
      </c>
      <c r="J17" s="3" t="s">
        <v>146</v>
      </c>
      <c r="K17" s="3" t="s">
        <v>202</v>
      </c>
      <c r="L17" s="3" t="s">
        <v>571</v>
      </c>
      <c r="M17" s="3" t="s">
        <v>202</v>
      </c>
      <c r="O17" s="3" t="s">
        <v>202</v>
      </c>
      <c r="P17" s="3" t="s">
        <v>202</v>
      </c>
      <c r="Q17" s="3" t="s">
        <v>202</v>
      </c>
      <c r="R17" s="3" t="s">
        <v>202</v>
      </c>
      <c r="S17" s="3" t="s">
        <v>202</v>
      </c>
      <c r="T17" s="3" t="s">
        <v>534</v>
      </c>
      <c r="U17" s="3" t="s">
        <v>440</v>
      </c>
      <c r="V17" s="3" t="s">
        <v>203</v>
      </c>
      <c r="W17" s="3" t="s">
        <v>306</v>
      </c>
      <c r="X17" s="3" t="s">
        <v>529</v>
      </c>
      <c r="Y17" t="s">
        <v>651</v>
      </c>
      <c r="AA17" s="3" t="s">
        <v>202</v>
      </c>
      <c r="AD17" t="s">
        <v>530</v>
      </c>
      <c r="AE17" s="9" t="s">
        <v>202</v>
      </c>
      <c r="AF17" s="9" t="s">
        <v>202</v>
      </c>
      <c r="AG17" s="3" t="s">
        <v>440</v>
      </c>
      <c r="AH17" s="3" t="s">
        <v>555</v>
      </c>
      <c r="AK17" t="s">
        <v>660</v>
      </c>
      <c r="AM17" s="3" t="s">
        <v>169</v>
      </c>
      <c r="AO17" s="3" t="s">
        <v>169</v>
      </c>
      <c r="AQ17" s="3" t="s">
        <v>150</v>
      </c>
      <c r="AV17" s="3"/>
      <c r="AW17" s="3" t="s">
        <v>152</v>
      </c>
      <c r="AX17" s="3" t="s">
        <v>570</v>
      </c>
    </row>
    <row r="18" spans="1:50">
      <c r="A18" s="3" t="s">
        <v>142</v>
      </c>
      <c r="B18" s="3" t="s">
        <v>143</v>
      </c>
      <c r="C18" s="3" t="s">
        <v>167</v>
      </c>
      <c r="D18" s="3" t="s">
        <v>169</v>
      </c>
      <c r="E18" s="3" t="s">
        <v>145</v>
      </c>
      <c r="F18" s="4">
        <f t="shared" ca="1" si="0"/>
        <v>44033.681508333335</v>
      </c>
      <c r="G18" s="3" t="s">
        <v>146</v>
      </c>
      <c r="H18" s="3" t="s">
        <v>169</v>
      </c>
      <c r="I18" s="3" t="s">
        <v>200</v>
      </c>
      <c r="J18" s="3" t="s">
        <v>146</v>
      </c>
      <c r="K18" s="3" t="s">
        <v>202</v>
      </c>
      <c r="L18" s="3" t="s">
        <v>559</v>
      </c>
      <c r="M18" s="3" t="s">
        <v>202</v>
      </c>
      <c r="O18" s="3" t="s">
        <v>202</v>
      </c>
      <c r="P18" s="3" t="s">
        <v>202</v>
      </c>
      <c r="Q18" s="3" t="s">
        <v>202</v>
      </c>
      <c r="R18" s="3" t="s">
        <v>202</v>
      </c>
      <c r="S18" s="3" t="s">
        <v>202</v>
      </c>
      <c r="T18" s="3" t="s">
        <v>534</v>
      </c>
      <c r="U18" s="3" t="s">
        <v>144</v>
      </c>
      <c r="V18" s="3" t="s">
        <v>203</v>
      </c>
      <c r="W18" s="3" t="s">
        <v>306</v>
      </c>
      <c r="X18" s="3" t="s">
        <v>529</v>
      </c>
      <c r="Y18" t="s">
        <v>651</v>
      </c>
      <c r="AA18" s="3" t="s">
        <v>202</v>
      </c>
      <c r="AD18" t="s">
        <v>530</v>
      </c>
      <c r="AE18" s="9" t="s">
        <v>202</v>
      </c>
      <c r="AF18" s="9" t="s">
        <v>202</v>
      </c>
      <c r="AG18" s="3" t="s">
        <v>144</v>
      </c>
      <c r="AH18" s="3" t="s">
        <v>169</v>
      </c>
      <c r="AK18" t="s">
        <v>660</v>
      </c>
      <c r="AM18" s="3" t="s">
        <v>169</v>
      </c>
      <c r="AO18" s="3" t="s">
        <v>169</v>
      </c>
      <c r="AQ18" s="3" t="s">
        <v>150</v>
      </c>
      <c r="AV18" s="3"/>
      <c r="AW18" s="3" t="s">
        <v>152</v>
      </c>
      <c r="AX18" s="3" t="s">
        <v>570</v>
      </c>
    </row>
    <row r="19" spans="1:50">
      <c r="A19" s="3" t="s">
        <v>142</v>
      </c>
      <c r="B19" s="3" t="s">
        <v>143</v>
      </c>
      <c r="C19" s="3" t="s">
        <v>167</v>
      </c>
      <c r="D19" s="3" t="s">
        <v>169</v>
      </c>
      <c r="E19" s="3" t="s">
        <v>145</v>
      </c>
      <c r="F19" s="4">
        <f t="shared" ca="1" si="0"/>
        <v>44033.681508333335</v>
      </c>
      <c r="G19" s="3" t="s">
        <v>146</v>
      </c>
      <c r="H19" s="3" t="s">
        <v>169</v>
      </c>
      <c r="I19" s="3" t="s">
        <v>200</v>
      </c>
      <c r="J19" s="3" t="s">
        <v>146</v>
      </c>
      <c r="K19" s="3" t="s">
        <v>202</v>
      </c>
      <c r="L19" s="3" t="s">
        <v>560</v>
      </c>
      <c r="M19" s="3" t="s">
        <v>202</v>
      </c>
      <c r="O19" s="3" t="s">
        <v>202</v>
      </c>
      <c r="P19" s="3" t="s">
        <v>202</v>
      </c>
      <c r="Q19" s="3" t="s">
        <v>202</v>
      </c>
      <c r="R19" s="3" t="s">
        <v>202</v>
      </c>
      <c r="S19" s="3" t="s">
        <v>202</v>
      </c>
      <c r="T19" s="3" t="s">
        <v>534</v>
      </c>
      <c r="U19" s="3" t="s">
        <v>202</v>
      </c>
      <c r="V19" s="3" t="s">
        <v>203</v>
      </c>
      <c r="W19" s="3" t="s">
        <v>306</v>
      </c>
      <c r="X19" s="3" t="s">
        <v>203</v>
      </c>
      <c r="Y19" t="s">
        <v>651</v>
      </c>
      <c r="AA19" s="3" t="s">
        <v>202</v>
      </c>
      <c r="AD19" t="s">
        <v>530</v>
      </c>
      <c r="AE19" s="9" t="s">
        <v>306</v>
      </c>
      <c r="AF19" s="9" t="s">
        <v>306</v>
      </c>
      <c r="AG19" s="3" t="s">
        <v>531</v>
      </c>
      <c r="AH19" s="3" t="s">
        <v>169</v>
      </c>
      <c r="AK19" t="s">
        <v>660</v>
      </c>
      <c r="AM19" s="3" t="s">
        <v>169</v>
      </c>
      <c r="AO19" s="3" t="s">
        <v>169</v>
      </c>
      <c r="AQ19" s="3" t="s">
        <v>150</v>
      </c>
      <c r="AW19" s="3" t="s">
        <v>152</v>
      </c>
      <c r="AX19" s="3" t="s">
        <v>570</v>
      </c>
    </row>
    <row r="20" spans="1:50">
      <c r="A20" s="3" t="s">
        <v>142</v>
      </c>
      <c r="B20" s="3" t="s">
        <v>143</v>
      </c>
      <c r="C20" s="3" t="s">
        <v>167</v>
      </c>
      <c r="D20" s="3" t="s">
        <v>169</v>
      </c>
      <c r="E20" s="3" t="s">
        <v>145</v>
      </c>
      <c r="F20" s="4">
        <f t="shared" ca="1" si="0"/>
        <v>44033.681508333335</v>
      </c>
      <c r="G20" s="3" t="s">
        <v>146</v>
      </c>
      <c r="H20" s="3" t="s">
        <v>169</v>
      </c>
      <c r="I20" s="3" t="s">
        <v>200</v>
      </c>
      <c r="J20" s="3" t="s">
        <v>146</v>
      </c>
      <c r="K20" s="3" t="s">
        <v>202</v>
      </c>
      <c r="L20" s="3" t="s">
        <v>561</v>
      </c>
      <c r="M20" s="3" t="s">
        <v>202</v>
      </c>
      <c r="O20" s="3" t="s">
        <v>202</v>
      </c>
      <c r="P20" s="3" t="s">
        <v>202</v>
      </c>
      <c r="Q20" s="3" t="s">
        <v>202</v>
      </c>
      <c r="R20" s="3" t="s">
        <v>202</v>
      </c>
      <c r="S20" s="3" t="s">
        <v>202</v>
      </c>
      <c r="T20" s="3" t="s">
        <v>568</v>
      </c>
      <c r="U20" s="3" t="s">
        <v>144</v>
      </c>
      <c r="V20" s="3" t="s">
        <v>203</v>
      </c>
      <c r="W20" s="3" t="s">
        <v>306</v>
      </c>
      <c r="X20" s="3" t="s">
        <v>529</v>
      </c>
      <c r="Y20" t="s">
        <v>651</v>
      </c>
      <c r="AA20" s="3" t="s">
        <v>202</v>
      </c>
      <c r="AD20" t="s">
        <v>537</v>
      </c>
      <c r="AE20" s="9" t="s">
        <v>202</v>
      </c>
      <c r="AF20" s="9" t="s">
        <v>202</v>
      </c>
      <c r="AG20" s="3" t="s">
        <v>144</v>
      </c>
      <c r="AH20" s="3" t="s">
        <v>566</v>
      </c>
      <c r="AK20" t="s">
        <v>660</v>
      </c>
      <c r="AM20" s="3" t="s">
        <v>169</v>
      </c>
      <c r="AO20" s="3" t="s">
        <v>169</v>
      </c>
      <c r="AQ20" s="3" t="s">
        <v>150</v>
      </c>
      <c r="AV20" s="3" t="s">
        <v>563</v>
      </c>
      <c r="AW20" s="3" t="s">
        <v>152</v>
      </c>
      <c r="AX20" s="3" t="s">
        <v>542</v>
      </c>
    </row>
    <row r="21" spans="1:50">
      <c r="A21" s="3" t="s">
        <v>142</v>
      </c>
      <c r="B21" s="3" t="s">
        <v>143</v>
      </c>
      <c r="C21" s="3" t="s">
        <v>167</v>
      </c>
      <c r="D21" s="3" t="s">
        <v>169</v>
      </c>
      <c r="E21" s="3" t="s">
        <v>145</v>
      </c>
      <c r="F21" s="4">
        <f t="shared" ca="1" si="0"/>
        <v>44033.681508333335</v>
      </c>
      <c r="G21" s="3" t="s">
        <v>146</v>
      </c>
      <c r="H21" s="3" t="s">
        <v>169</v>
      </c>
      <c r="I21" s="3" t="s">
        <v>200</v>
      </c>
      <c r="J21" s="3" t="s">
        <v>146</v>
      </c>
      <c r="K21" s="3" t="s">
        <v>202</v>
      </c>
      <c r="L21" s="3" t="s">
        <v>562</v>
      </c>
      <c r="M21" s="3" t="s">
        <v>202</v>
      </c>
      <c r="O21" s="3" t="s">
        <v>202</v>
      </c>
      <c r="P21" s="3" t="s">
        <v>202</v>
      </c>
      <c r="Q21" s="3" t="s">
        <v>202</v>
      </c>
      <c r="R21" s="3" t="s">
        <v>202</v>
      </c>
      <c r="S21" s="3" t="s">
        <v>202</v>
      </c>
      <c r="T21" s="3" t="s">
        <v>569</v>
      </c>
      <c r="U21" s="3" t="s">
        <v>202</v>
      </c>
      <c r="V21" s="3" t="s">
        <v>203</v>
      </c>
      <c r="W21" s="3" t="s">
        <v>306</v>
      </c>
      <c r="X21" s="3" t="s">
        <v>203</v>
      </c>
      <c r="Y21" t="s">
        <v>651</v>
      </c>
      <c r="AA21" s="3" t="s">
        <v>202</v>
      </c>
      <c r="AD21" t="s">
        <v>537</v>
      </c>
      <c r="AE21" s="9" t="s">
        <v>306</v>
      </c>
      <c r="AF21" s="9" t="s">
        <v>306</v>
      </c>
      <c r="AG21" s="3" t="s">
        <v>531</v>
      </c>
      <c r="AH21" s="3" t="s">
        <v>567</v>
      </c>
      <c r="AK21" t="s">
        <v>660</v>
      </c>
      <c r="AM21" s="3" t="s">
        <v>169</v>
      </c>
      <c r="AO21" s="3" t="s">
        <v>169</v>
      </c>
      <c r="AQ21" s="3" t="s">
        <v>150</v>
      </c>
      <c r="AV21" s="3" t="s">
        <v>564</v>
      </c>
      <c r="AW21" s="3" t="s">
        <v>152</v>
      </c>
      <c r="AX21" s="3" t="s">
        <v>542</v>
      </c>
    </row>
    <row r="22" spans="1:50">
      <c r="A22" s="3" t="s">
        <v>142</v>
      </c>
      <c r="B22" s="3" t="s">
        <v>143</v>
      </c>
      <c r="C22" s="3" t="s">
        <v>167</v>
      </c>
      <c r="D22" s="3" t="s">
        <v>169</v>
      </c>
      <c r="E22" s="3" t="s">
        <v>145</v>
      </c>
      <c r="F22" s="4">
        <f t="shared" ca="1" si="0"/>
        <v>44033.681508333335</v>
      </c>
      <c r="G22" s="3" t="s">
        <v>146</v>
      </c>
      <c r="H22" s="3" t="s">
        <v>169</v>
      </c>
      <c r="I22" s="3" t="s">
        <v>200</v>
      </c>
      <c r="J22" s="3" t="s">
        <v>146</v>
      </c>
      <c r="K22" s="3" t="s">
        <v>202</v>
      </c>
      <c r="L22" s="3" t="s">
        <v>278</v>
      </c>
      <c r="M22" s="3" t="s">
        <v>202</v>
      </c>
      <c r="O22" s="3" t="s">
        <v>202</v>
      </c>
      <c r="P22" s="3" t="s">
        <v>202</v>
      </c>
      <c r="Q22" s="3" t="s">
        <v>202</v>
      </c>
      <c r="R22" s="3" t="s">
        <v>202</v>
      </c>
      <c r="S22" s="3" t="s">
        <v>202</v>
      </c>
      <c r="T22" s="3" t="s">
        <v>536</v>
      </c>
      <c r="U22" s="3" t="s">
        <v>144</v>
      </c>
      <c r="V22" s="3" t="s">
        <v>203</v>
      </c>
      <c r="W22" s="3" t="s">
        <v>306</v>
      </c>
      <c r="X22" s="3" t="s">
        <v>529</v>
      </c>
      <c r="Y22" t="s">
        <v>651</v>
      </c>
      <c r="AA22" s="3" t="s">
        <v>202</v>
      </c>
      <c r="AD22" t="s">
        <v>204</v>
      </c>
      <c r="AE22" s="9" t="s">
        <v>202</v>
      </c>
      <c r="AF22" s="9" t="s">
        <v>202</v>
      </c>
      <c r="AG22" s="3" t="s">
        <v>144</v>
      </c>
      <c r="AH22" s="3" t="s">
        <v>169</v>
      </c>
      <c r="AK22" t="s">
        <v>660</v>
      </c>
      <c r="AM22" s="3" t="s">
        <v>169</v>
      </c>
      <c r="AO22" s="3" t="s">
        <v>169</v>
      </c>
      <c r="AQ22" s="3" t="s">
        <v>150</v>
      </c>
      <c r="AV22" s="3" t="s">
        <v>563</v>
      </c>
      <c r="AW22" s="3" t="s">
        <v>152</v>
      </c>
      <c r="AX22" s="3" t="s">
        <v>542</v>
      </c>
    </row>
    <row r="23" spans="1:50">
      <c r="A23" s="3" t="s">
        <v>142</v>
      </c>
      <c r="B23" s="3" t="s">
        <v>143</v>
      </c>
      <c r="C23" s="3" t="s">
        <v>167</v>
      </c>
      <c r="D23" s="3" t="s">
        <v>169</v>
      </c>
      <c r="E23" s="3" t="s">
        <v>145</v>
      </c>
      <c r="F23" s="4">
        <f t="shared" ca="1" si="0"/>
        <v>44033.681508333335</v>
      </c>
      <c r="G23" s="3" t="s">
        <v>146</v>
      </c>
      <c r="H23" s="3" t="s">
        <v>169</v>
      </c>
      <c r="I23" s="3" t="s">
        <v>200</v>
      </c>
      <c r="J23" s="3" t="s">
        <v>146</v>
      </c>
      <c r="K23" s="3" t="s">
        <v>202</v>
      </c>
      <c r="L23" s="3" t="s">
        <v>278</v>
      </c>
      <c r="M23" s="3" t="s">
        <v>202</v>
      </c>
      <c r="O23" s="3" t="s">
        <v>202</v>
      </c>
      <c r="P23" s="3" t="s">
        <v>202</v>
      </c>
      <c r="Q23" s="3" t="s">
        <v>202</v>
      </c>
      <c r="R23" s="3" t="s">
        <v>202</v>
      </c>
      <c r="S23" s="3" t="s">
        <v>202</v>
      </c>
      <c r="T23" s="3" t="s">
        <v>169</v>
      </c>
      <c r="U23" s="3" t="s">
        <v>202</v>
      </c>
      <c r="V23" s="3" t="s">
        <v>203</v>
      </c>
      <c r="W23" s="3" t="s">
        <v>306</v>
      </c>
      <c r="X23" s="3" t="s">
        <v>203</v>
      </c>
      <c r="Y23" t="s">
        <v>651</v>
      </c>
      <c r="AA23" s="3" t="s">
        <v>202</v>
      </c>
      <c r="AD23" t="s">
        <v>204</v>
      </c>
      <c r="AE23" s="9" t="s">
        <v>306</v>
      </c>
      <c r="AF23" s="9" t="s">
        <v>306</v>
      </c>
      <c r="AG23" s="3" t="s">
        <v>531</v>
      </c>
      <c r="AH23" s="3" t="s">
        <v>169</v>
      </c>
      <c r="AK23" t="s">
        <v>660</v>
      </c>
      <c r="AM23" s="3" t="s">
        <v>169</v>
      </c>
      <c r="AO23" s="3" t="s">
        <v>169</v>
      </c>
      <c r="AQ23" s="3" t="s">
        <v>150</v>
      </c>
      <c r="AV23" s="3" t="s">
        <v>565</v>
      </c>
      <c r="AW23" s="3" t="s">
        <v>152</v>
      </c>
      <c r="AX23" s="3" t="s">
        <v>542</v>
      </c>
    </row>
    <row r="24" spans="1:50">
      <c r="A24" s="3" t="s">
        <v>663</v>
      </c>
      <c r="B24" s="3" t="s">
        <v>664</v>
      </c>
      <c r="C24" s="3" t="s">
        <v>167</v>
      </c>
      <c r="D24" s="3" t="s">
        <v>89</v>
      </c>
      <c r="E24" s="3" t="s">
        <v>665</v>
      </c>
      <c r="F24" s="4">
        <f t="shared" ca="1" si="0"/>
        <v>44033.681508333335</v>
      </c>
      <c r="G24" s="3" t="s">
        <v>666</v>
      </c>
      <c r="H24" s="3" t="s">
        <v>89</v>
      </c>
      <c r="I24" s="3" t="s">
        <v>667</v>
      </c>
      <c r="J24" s="3" t="s">
        <v>666</v>
      </c>
      <c r="K24" s="3" t="s">
        <v>94</v>
      </c>
      <c r="L24" s="3" t="s">
        <v>93</v>
      </c>
      <c r="M24" s="3" t="s">
        <v>94</v>
      </c>
      <c r="O24" s="3" t="s">
        <v>94</v>
      </c>
      <c r="P24" s="3" t="s">
        <v>94</v>
      </c>
      <c r="Q24" s="3" t="s">
        <v>94</v>
      </c>
      <c r="R24" s="3" t="s">
        <v>94</v>
      </c>
      <c r="S24" s="3" t="s">
        <v>94</v>
      </c>
      <c r="T24" s="3" t="s">
        <v>89</v>
      </c>
      <c r="U24" s="3" t="s">
        <v>170</v>
      </c>
      <c r="V24" s="3" t="s">
        <v>119</v>
      </c>
      <c r="W24" s="3" t="s">
        <v>306</v>
      </c>
      <c r="X24" s="3" t="s">
        <v>119</v>
      </c>
      <c r="Y24" t="s">
        <v>651</v>
      </c>
      <c r="AA24" s="3" t="s">
        <v>94</v>
      </c>
      <c r="AD24" t="s">
        <v>204</v>
      </c>
      <c r="AE24" s="9" t="s">
        <v>306</v>
      </c>
      <c r="AF24" s="9" t="s">
        <v>306</v>
      </c>
      <c r="AG24" s="3" t="s">
        <v>170</v>
      </c>
      <c r="AH24" s="3" t="s">
        <v>89</v>
      </c>
      <c r="AK24" t="s">
        <v>660</v>
      </c>
      <c r="AM24" s="3" t="s">
        <v>89</v>
      </c>
      <c r="AO24" s="3" t="s">
        <v>89</v>
      </c>
      <c r="AQ24" s="3" t="s">
        <v>668</v>
      </c>
      <c r="AV24" s="3" t="s">
        <v>89</v>
      </c>
      <c r="AW24" s="3" t="s">
        <v>669</v>
      </c>
      <c r="AX24" s="3" t="s">
        <v>670</v>
      </c>
    </row>
    <row r="25" spans="1:50">
      <c r="A25" s="3" t="s">
        <v>671</v>
      </c>
      <c r="B25" s="3" t="s">
        <v>672</v>
      </c>
      <c r="C25" s="3" t="s">
        <v>167</v>
      </c>
      <c r="D25" s="3" t="s">
        <v>89</v>
      </c>
      <c r="E25" s="3" t="s">
        <v>665</v>
      </c>
      <c r="F25" s="4">
        <f t="shared" ca="1" si="0"/>
        <v>44033.681508333335</v>
      </c>
      <c r="G25" s="3" t="s">
        <v>666</v>
      </c>
      <c r="H25" s="3" t="s">
        <v>89</v>
      </c>
      <c r="I25" s="3" t="s">
        <v>667</v>
      </c>
      <c r="J25" s="3" t="s">
        <v>666</v>
      </c>
      <c r="K25" s="3" t="s">
        <v>94</v>
      </c>
      <c r="L25" s="3" t="s">
        <v>93</v>
      </c>
      <c r="M25" s="3" t="s">
        <v>94</v>
      </c>
      <c r="O25" s="3" t="s">
        <v>94</v>
      </c>
      <c r="P25" s="3" t="s">
        <v>94</v>
      </c>
      <c r="Q25" s="3" t="s">
        <v>94</v>
      </c>
      <c r="R25" s="3" t="s">
        <v>94</v>
      </c>
      <c r="S25" s="3" t="s">
        <v>94</v>
      </c>
      <c r="T25" s="3" t="s">
        <v>89</v>
      </c>
      <c r="U25" s="3" t="s">
        <v>440</v>
      </c>
      <c r="V25" s="3" t="s">
        <v>119</v>
      </c>
      <c r="W25" s="3" t="s">
        <v>306</v>
      </c>
      <c r="X25" s="3" t="s">
        <v>119</v>
      </c>
      <c r="Y25" t="s">
        <v>651</v>
      </c>
      <c r="AA25" s="3" t="s">
        <v>94</v>
      </c>
      <c r="AD25" t="s">
        <v>204</v>
      </c>
      <c r="AE25" s="9" t="s">
        <v>306</v>
      </c>
      <c r="AF25" s="9" t="s">
        <v>306</v>
      </c>
      <c r="AG25" s="3" t="s">
        <v>440</v>
      </c>
      <c r="AH25" s="3" t="s">
        <v>94</v>
      </c>
      <c r="AK25" t="s">
        <v>660</v>
      </c>
      <c r="AM25" s="3" t="s">
        <v>89</v>
      </c>
      <c r="AO25" s="3" t="s">
        <v>89</v>
      </c>
      <c r="AQ25" s="3" t="s">
        <v>668</v>
      </c>
      <c r="AV25" s="3" t="s">
        <v>89</v>
      </c>
      <c r="AW25" s="3" t="s">
        <v>669</v>
      </c>
      <c r="AX25" s="3" t="s">
        <v>670</v>
      </c>
    </row>
    <row r="26" spans="1:50">
      <c r="A26" s="3" t="s">
        <v>671</v>
      </c>
      <c r="B26" s="3" t="s">
        <v>672</v>
      </c>
      <c r="C26" s="3" t="s">
        <v>167</v>
      </c>
      <c r="D26" s="3" t="s">
        <v>89</v>
      </c>
      <c r="E26" s="3" t="s">
        <v>665</v>
      </c>
      <c r="F26" s="4">
        <f t="shared" ca="1" si="0"/>
        <v>44033.681508333335</v>
      </c>
      <c r="G26" s="3" t="s">
        <v>666</v>
      </c>
      <c r="H26" s="3" t="s">
        <v>89</v>
      </c>
      <c r="I26" s="3" t="s">
        <v>667</v>
      </c>
      <c r="J26" s="3" t="s">
        <v>666</v>
      </c>
      <c r="K26" s="3" t="s">
        <v>94</v>
      </c>
      <c r="L26" s="3" t="s">
        <v>604</v>
      </c>
      <c r="M26" s="3" t="s">
        <v>94</v>
      </c>
      <c r="O26" s="3" t="s">
        <v>94</v>
      </c>
      <c r="P26" s="3" t="s">
        <v>94</v>
      </c>
      <c r="Q26" s="3" t="s">
        <v>94</v>
      </c>
      <c r="R26" s="3" t="s">
        <v>94</v>
      </c>
      <c r="S26" s="3" t="s">
        <v>94</v>
      </c>
      <c r="T26" s="3" t="s">
        <v>89</v>
      </c>
      <c r="U26" s="3" t="s">
        <v>440</v>
      </c>
      <c r="V26" s="3" t="s">
        <v>119</v>
      </c>
      <c r="W26" s="3" t="s">
        <v>306</v>
      </c>
      <c r="X26" s="3" t="s">
        <v>119</v>
      </c>
      <c r="Y26" t="s">
        <v>651</v>
      </c>
      <c r="AA26" s="3" t="s">
        <v>94</v>
      </c>
      <c r="AD26" t="s">
        <v>204</v>
      </c>
      <c r="AE26" s="9" t="s">
        <v>306</v>
      </c>
      <c r="AF26" s="9" t="s">
        <v>306</v>
      </c>
      <c r="AG26" s="3" t="s">
        <v>440</v>
      </c>
      <c r="AH26" s="3" t="s">
        <v>94</v>
      </c>
      <c r="AK26" t="s">
        <v>660</v>
      </c>
      <c r="AM26" s="3" t="s">
        <v>89</v>
      </c>
      <c r="AO26" s="3" t="s">
        <v>89</v>
      </c>
      <c r="AQ26" s="3" t="s">
        <v>668</v>
      </c>
      <c r="AV26" s="3" t="s">
        <v>89</v>
      </c>
      <c r="AW26" s="3" t="s">
        <v>669</v>
      </c>
      <c r="AX26" s="3" t="s">
        <v>670</v>
      </c>
    </row>
    <row r="27" spans="1:50">
      <c r="A27" s="3" t="s">
        <v>671</v>
      </c>
      <c r="B27" s="3" t="s">
        <v>672</v>
      </c>
      <c r="C27" s="3" t="s">
        <v>167</v>
      </c>
      <c r="D27" s="3" t="s">
        <v>89</v>
      </c>
      <c r="E27" s="3" t="s">
        <v>665</v>
      </c>
      <c r="F27" s="4">
        <f t="shared" ca="1" si="0"/>
        <v>44033.681508333335</v>
      </c>
      <c r="G27" s="3" t="s">
        <v>666</v>
      </c>
      <c r="H27" s="3" t="s">
        <v>89</v>
      </c>
      <c r="I27" s="3" t="s">
        <v>667</v>
      </c>
      <c r="J27" s="3" t="s">
        <v>666</v>
      </c>
      <c r="K27" s="3" t="s">
        <v>94</v>
      </c>
      <c r="L27" s="3" t="s">
        <v>440</v>
      </c>
      <c r="M27" s="3" t="s">
        <v>94</v>
      </c>
      <c r="O27" s="3" t="s">
        <v>94</v>
      </c>
      <c r="P27" s="3" t="s">
        <v>94</v>
      </c>
      <c r="Q27" s="3" t="s">
        <v>94</v>
      </c>
      <c r="R27" s="3" t="s">
        <v>94</v>
      </c>
      <c r="S27" s="3" t="s">
        <v>94</v>
      </c>
      <c r="T27" s="3" t="s">
        <v>119</v>
      </c>
      <c r="U27" s="3" t="s">
        <v>170</v>
      </c>
      <c r="V27" s="3" t="s">
        <v>119</v>
      </c>
      <c r="W27" s="3" t="s">
        <v>118</v>
      </c>
      <c r="X27" s="3" t="s">
        <v>119</v>
      </c>
      <c r="Y27" t="s">
        <v>654</v>
      </c>
      <c r="AA27" s="3" t="s">
        <v>94</v>
      </c>
      <c r="AD27" t="s">
        <v>537</v>
      </c>
      <c r="AE27" s="9" t="s">
        <v>306</v>
      </c>
      <c r="AF27" s="9" t="s">
        <v>306</v>
      </c>
      <c r="AG27" s="3" t="s">
        <v>170</v>
      </c>
      <c r="AH27" s="3" t="s">
        <v>119</v>
      </c>
      <c r="AK27" t="s">
        <v>660</v>
      </c>
      <c r="AM27" s="3" t="s">
        <v>89</v>
      </c>
      <c r="AO27" s="3" t="s">
        <v>89</v>
      </c>
      <c r="AQ27" s="3" t="s">
        <v>668</v>
      </c>
      <c r="AV27" s="3"/>
      <c r="AW27" s="3" t="s">
        <v>669</v>
      </c>
      <c r="AX27" s="3" t="s">
        <v>670</v>
      </c>
    </row>
    <row r="28" spans="1:50">
      <c r="A28" s="3" t="s">
        <v>671</v>
      </c>
      <c r="B28" s="3" t="s">
        <v>672</v>
      </c>
      <c r="C28" s="3" t="s">
        <v>167</v>
      </c>
      <c r="D28" s="3" t="s">
        <v>89</v>
      </c>
      <c r="E28" s="3" t="s">
        <v>665</v>
      </c>
      <c r="F28" s="4">
        <f t="shared" ca="1" si="0"/>
        <v>44033.681508333335</v>
      </c>
      <c r="G28" s="3" t="s">
        <v>666</v>
      </c>
      <c r="H28" s="3" t="s">
        <v>89</v>
      </c>
      <c r="I28" s="3" t="s">
        <v>667</v>
      </c>
      <c r="J28" s="3" t="s">
        <v>666</v>
      </c>
      <c r="K28" s="3" t="s">
        <v>94</v>
      </c>
      <c r="L28" s="3" t="s">
        <v>440</v>
      </c>
      <c r="M28" s="3" t="s">
        <v>94</v>
      </c>
      <c r="O28" s="3" t="s">
        <v>94</v>
      </c>
      <c r="P28" s="3" t="s">
        <v>94</v>
      </c>
      <c r="Q28" s="3" t="s">
        <v>94</v>
      </c>
      <c r="R28" s="3" t="s">
        <v>94</v>
      </c>
      <c r="S28" s="3" t="s">
        <v>94</v>
      </c>
      <c r="T28" s="3" t="s">
        <v>119</v>
      </c>
      <c r="U28" s="3" t="s">
        <v>440</v>
      </c>
      <c r="V28" s="3" t="s">
        <v>119</v>
      </c>
      <c r="W28" s="3" t="s">
        <v>118</v>
      </c>
      <c r="X28" s="3" t="s">
        <v>119</v>
      </c>
      <c r="Y28" t="s">
        <v>654</v>
      </c>
      <c r="AA28" s="3" t="s">
        <v>94</v>
      </c>
      <c r="AD28" t="s">
        <v>537</v>
      </c>
      <c r="AE28" s="9" t="s">
        <v>306</v>
      </c>
      <c r="AF28" s="9" t="s">
        <v>306</v>
      </c>
      <c r="AG28" s="3" t="s">
        <v>440</v>
      </c>
      <c r="AH28" s="3" t="s">
        <v>94</v>
      </c>
      <c r="AK28" t="s">
        <v>660</v>
      </c>
      <c r="AM28" s="3" t="s">
        <v>89</v>
      </c>
      <c r="AO28" s="3" t="s">
        <v>89</v>
      </c>
      <c r="AQ28" s="3" t="s">
        <v>668</v>
      </c>
      <c r="AV28" s="3"/>
      <c r="AW28" s="3" t="s">
        <v>669</v>
      </c>
      <c r="AX28" s="3" t="s">
        <v>670</v>
      </c>
    </row>
    <row r="29" spans="1:50">
      <c r="A29" s="3" t="s">
        <v>671</v>
      </c>
      <c r="B29" s="3" t="s">
        <v>672</v>
      </c>
      <c r="C29" s="3" t="s">
        <v>167</v>
      </c>
      <c r="D29" s="3" t="s">
        <v>89</v>
      </c>
      <c r="E29" s="3" t="s">
        <v>665</v>
      </c>
      <c r="F29" s="4">
        <f t="shared" ca="1" si="0"/>
        <v>44033.681508333335</v>
      </c>
      <c r="G29" s="3" t="s">
        <v>666</v>
      </c>
      <c r="H29" s="3" t="s">
        <v>89</v>
      </c>
      <c r="I29" s="3" t="s">
        <v>667</v>
      </c>
      <c r="J29" s="3" t="s">
        <v>666</v>
      </c>
      <c r="K29" s="3" t="s">
        <v>94</v>
      </c>
      <c r="L29" s="3" t="s">
        <v>74</v>
      </c>
      <c r="M29" s="3" t="s">
        <v>94</v>
      </c>
      <c r="O29" s="3" t="s">
        <v>94</v>
      </c>
      <c r="P29" s="3" t="s">
        <v>94</v>
      </c>
      <c r="Q29" s="3" t="s">
        <v>94</v>
      </c>
      <c r="R29" s="3" t="s">
        <v>94</v>
      </c>
      <c r="S29" s="3" t="s">
        <v>94</v>
      </c>
      <c r="T29" s="3" t="s">
        <v>119</v>
      </c>
      <c r="U29" s="3" t="s">
        <v>440</v>
      </c>
      <c r="V29" s="3" t="s">
        <v>119</v>
      </c>
      <c r="W29" s="3" t="s">
        <v>118</v>
      </c>
      <c r="X29" s="3" t="s">
        <v>119</v>
      </c>
      <c r="Y29" t="s">
        <v>654</v>
      </c>
      <c r="AA29" s="3" t="s">
        <v>94</v>
      </c>
      <c r="AD29" t="s">
        <v>537</v>
      </c>
      <c r="AE29" s="9" t="s">
        <v>306</v>
      </c>
      <c r="AF29" s="9" t="s">
        <v>306</v>
      </c>
      <c r="AG29" s="3" t="s">
        <v>440</v>
      </c>
      <c r="AH29" s="3" t="s">
        <v>94</v>
      </c>
      <c r="AK29" t="s">
        <v>660</v>
      </c>
      <c r="AM29" s="3" t="s">
        <v>89</v>
      </c>
      <c r="AO29" s="3" t="s">
        <v>89</v>
      </c>
      <c r="AQ29" s="3" t="s">
        <v>668</v>
      </c>
      <c r="AV29" s="3"/>
      <c r="AW29" s="3" t="s">
        <v>669</v>
      </c>
      <c r="AX29" s="3" t="s">
        <v>670</v>
      </c>
    </row>
    <row r="30" spans="1:50">
      <c r="A30" s="3" t="s">
        <v>671</v>
      </c>
      <c r="B30" s="3" t="s">
        <v>672</v>
      </c>
      <c r="C30" s="3" t="s">
        <v>167</v>
      </c>
      <c r="D30" s="3" t="s">
        <v>89</v>
      </c>
      <c r="E30" s="3" t="s">
        <v>665</v>
      </c>
      <c r="F30" s="4">
        <f t="shared" ca="1" si="0"/>
        <v>44033.681508333335</v>
      </c>
      <c r="G30" s="3" t="s">
        <v>666</v>
      </c>
      <c r="H30" s="3" t="s">
        <v>89</v>
      </c>
      <c r="I30" s="3" t="s">
        <v>667</v>
      </c>
      <c r="J30" s="3" t="s">
        <v>666</v>
      </c>
      <c r="K30" s="3" t="s">
        <v>94</v>
      </c>
      <c r="L30" s="3" t="s">
        <v>277</v>
      </c>
      <c r="M30" s="3" t="s">
        <v>94</v>
      </c>
      <c r="O30" s="3" t="s">
        <v>94</v>
      </c>
      <c r="P30" s="3" t="s">
        <v>94</v>
      </c>
      <c r="Q30" s="3" t="s">
        <v>94</v>
      </c>
      <c r="R30" s="3" t="s">
        <v>94</v>
      </c>
      <c r="S30" s="3" t="s">
        <v>94</v>
      </c>
      <c r="T30" s="3" t="s">
        <v>89</v>
      </c>
      <c r="U30" s="3" t="s">
        <v>170</v>
      </c>
      <c r="V30" s="3" t="s">
        <v>119</v>
      </c>
      <c r="W30" s="3" t="s">
        <v>306</v>
      </c>
      <c r="X30" s="3" t="s">
        <v>119</v>
      </c>
      <c r="Y30" t="s">
        <v>651</v>
      </c>
      <c r="AA30" s="3" t="s">
        <v>94</v>
      </c>
      <c r="AD30" t="s">
        <v>97</v>
      </c>
      <c r="AE30" s="9" t="s">
        <v>306</v>
      </c>
      <c r="AF30" s="9" t="s">
        <v>306</v>
      </c>
      <c r="AG30" s="3" t="s">
        <v>170</v>
      </c>
      <c r="AH30" s="3" t="s">
        <v>89</v>
      </c>
      <c r="AK30" t="s">
        <v>660</v>
      </c>
      <c r="AM30" s="3" t="s">
        <v>89</v>
      </c>
      <c r="AO30" s="3" t="s">
        <v>89</v>
      </c>
      <c r="AQ30" s="3" t="s">
        <v>668</v>
      </c>
      <c r="AV30" s="3"/>
      <c r="AW30" s="3" t="s">
        <v>669</v>
      </c>
      <c r="AX30" s="3" t="s">
        <v>670</v>
      </c>
    </row>
    <row r="31" spans="1:50">
      <c r="A31" s="3" t="s">
        <v>671</v>
      </c>
      <c r="B31" s="3" t="s">
        <v>672</v>
      </c>
      <c r="C31" s="3" t="s">
        <v>167</v>
      </c>
      <c r="D31" s="3" t="s">
        <v>89</v>
      </c>
      <c r="E31" s="3" t="s">
        <v>665</v>
      </c>
      <c r="F31" s="4">
        <f t="shared" ca="1" si="0"/>
        <v>44033.681508333335</v>
      </c>
      <c r="G31" s="3" t="s">
        <v>666</v>
      </c>
      <c r="H31" s="3" t="s">
        <v>89</v>
      </c>
      <c r="I31" s="3" t="s">
        <v>667</v>
      </c>
      <c r="J31" s="3" t="s">
        <v>666</v>
      </c>
      <c r="K31" s="3" t="s">
        <v>94</v>
      </c>
      <c r="L31" s="3" t="s">
        <v>277</v>
      </c>
      <c r="M31" s="3" t="s">
        <v>94</v>
      </c>
      <c r="O31" s="3" t="s">
        <v>94</v>
      </c>
      <c r="P31" s="3" t="s">
        <v>94</v>
      </c>
      <c r="Q31" s="3" t="s">
        <v>94</v>
      </c>
      <c r="R31" s="3" t="s">
        <v>94</v>
      </c>
      <c r="S31" s="3" t="s">
        <v>94</v>
      </c>
      <c r="T31" s="3" t="s">
        <v>89</v>
      </c>
      <c r="U31" s="3" t="s">
        <v>440</v>
      </c>
      <c r="V31" s="3" t="s">
        <v>119</v>
      </c>
      <c r="W31" s="3" t="s">
        <v>306</v>
      </c>
      <c r="X31" s="3" t="s">
        <v>119</v>
      </c>
      <c r="Y31" t="s">
        <v>651</v>
      </c>
      <c r="AA31" s="3" t="s">
        <v>94</v>
      </c>
      <c r="AD31" t="s">
        <v>97</v>
      </c>
      <c r="AE31" s="9" t="s">
        <v>306</v>
      </c>
      <c r="AF31" s="9" t="s">
        <v>306</v>
      </c>
      <c r="AG31" s="3" t="s">
        <v>440</v>
      </c>
      <c r="AH31" s="3" t="s">
        <v>94</v>
      </c>
      <c r="AK31" t="s">
        <v>660</v>
      </c>
      <c r="AM31" s="3" t="s">
        <v>89</v>
      </c>
      <c r="AO31" s="3" t="s">
        <v>89</v>
      </c>
      <c r="AQ31" s="3" t="s">
        <v>668</v>
      </c>
      <c r="AV31" s="3"/>
      <c r="AW31" s="3" t="s">
        <v>669</v>
      </c>
      <c r="AX31" s="3" t="s">
        <v>670</v>
      </c>
    </row>
    <row r="32" spans="1:50">
      <c r="A32" s="3" t="s">
        <v>671</v>
      </c>
      <c r="B32" s="3" t="s">
        <v>672</v>
      </c>
      <c r="C32" s="3" t="s">
        <v>167</v>
      </c>
      <c r="D32" s="3" t="s">
        <v>89</v>
      </c>
      <c r="E32" s="3" t="s">
        <v>665</v>
      </c>
      <c r="F32" s="4">
        <f t="shared" ca="1" si="0"/>
        <v>44033.681508333335</v>
      </c>
      <c r="G32" s="3" t="s">
        <v>666</v>
      </c>
      <c r="H32" s="3" t="s">
        <v>89</v>
      </c>
      <c r="I32" s="3" t="s">
        <v>667</v>
      </c>
      <c r="J32" s="3" t="s">
        <v>666</v>
      </c>
      <c r="K32" s="3" t="s">
        <v>94</v>
      </c>
      <c r="L32" s="3" t="s">
        <v>673</v>
      </c>
      <c r="M32" s="3" t="s">
        <v>94</v>
      </c>
      <c r="O32" s="3" t="s">
        <v>94</v>
      </c>
      <c r="P32" s="3" t="s">
        <v>94</v>
      </c>
      <c r="Q32" s="3" t="s">
        <v>94</v>
      </c>
      <c r="R32" s="3" t="s">
        <v>94</v>
      </c>
      <c r="S32" s="3" t="s">
        <v>94</v>
      </c>
      <c r="T32" s="3" t="s">
        <v>89</v>
      </c>
      <c r="U32" s="3" t="s">
        <v>440</v>
      </c>
      <c r="V32" s="3" t="s">
        <v>119</v>
      </c>
      <c r="W32" s="3" t="s">
        <v>306</v>
      </c>
      <c r="X32" s="3" t="s">
        <v>119</v>
      </c>
      <c r="Y32" t="s">
        <v>651</v>
      </c>
      <c r="AA32" s="3" t="s">
        <v>94</v>
      </c>
      <c r="AD32" t="s">
        <v>97</v>
      </c>
      <c r="AE32" s="9" t="s">
        <v>306</v>
      </c>
      <c r="AF32" s="9" t="s">
        <v>306</v>
      </c>
      <c r="AG32" s="3" t="s">
        <v>440</v>
      </c>
      <c r="AH32" s="3" t="s">
        <v>94</v>
      </c>
      <c r="AK32" t="s">
        <v>660</v>
      </c>
      <c r="AM32" s="3" t="s">
        <v>89</v>
      </c>
      <c r="AO32" s="3" t="s">
        <v>89</v>
      </c>
      <c r="AQ32" s="3" t="s">
        <v>668</v>
      </c>
      <c r="AV32" s="3"/>
      <c r="AW32" s="3" t="s">
        <v>669</v>
      </c>
      <c r="AX32" s="3" t="s">
        <v>670</v>
      </c>
    </row>
    <row r="33" spans="1:50">
      <c r="A33" s="3" t="s">
        <v>671</v>
      </c>
      <c r="B33" s="3" t="s">
        <v>672</v>
      </c>
      <c r="C33" s="3" t="s">
        <v>167</v>
      </c>
      <c r="D33" s="3" t="s">
        <v>89</v>
      </c>
      <c r="E33" s="3" t="s">
        <v>665</v>
      </c>
      <c r="F33" s="4">
        <f t="shared" ca="1" si="0"/>
        <v>44033.681508333335</v>
      </c>
      <c r="G33" s="3" t="s">
        <v>666</v>
      </c>
      <c r="H33" s="3" t="s">
        <v>89</v>
      </c>
      <c r="I33" s="3" t="s">
        <v>667</v>
      </c>
      <c r="J33" s="3" t="s">
        <v>666</v>
      </c>
      <c r="K33" s="3" t="s">
        <v>94</v>
      </c>
      <c r="L33" s="3" t="s">
        <v>170</v>
      </c>
      <c r="M33" s="3" t="s">
        <v>94</v>
      </c>
      <c r="O33" s="3" t="s">
        <v>94</v>
      </c>
      <c r="P33" s="3" t="s">
        <v>676</v>
      </c>
      <c r="Q33" s="3" t="s">
        <v>676</v>
      </c>
      <c r="R33" s="3" t="s">
        <v>676</v>
      </c>
      <c r="S33" s="3" t="s">
        <v>676</v>
      </c>
      <c r="T33" s="3" t="s">
        <v>677</v>
      </c>
      <c r="U33" s="3" t="s">
        <v>678</v>
      </c>
      <c r="V33" s="3" t="s">
        <v>677</v>
      </c>
      <c r="W33" s="3" t="s">
        <v>306</v>
      </c>
      <c r="X33" s="3" t="s">
        <v>679</v>
      </c>
      <c r="Y33" t="s">
        <v>651</v>
      </c>
      <c r="AA33" s="3" t="s">
        <v>680</v>
      </c>
      <c r="AD33" t="s">
        <v>681</v>
      </c>
      <c r="AE33" s="9" t="s">
        <v>306</v>
      </c>
      <c r="AF33" s="9" t="s">
        <v>306</v>
      </c>
      <c r="AG33" s="3" t="s">
        <v>682</v>
      </c>
      <c r="AH33" s="3" t="s">
        <v>679</v>
      </c>
      <c r="AK33" t="s">
        <v>660</v>
      </c>
      <c r="AM33" s="3" t="s">
        <v>683</v>
      </c>
      <c r="AO33" s="3" t="s">
        <v>683</v>
      </c>
      <c r="AQ33" s="3" t="s">
        <v>668</v>
      </c>
      <c r="AV33" s="3" t="s">
        <v>684</v>
      </c>
      <c r="AW33" s="3" t="s">
        <v>669</v>
      </c>
      <c r="AX33" s="3" t="s">
        <v>670</v>
      </c>
    </row>
    <row r="34" spans="1:50">
      <c r="A34" s="3" t="s">
        <v>671</v>
      </c>
      <c r="B34" s="3" t="s">
        <v>672</v>
      </c>
      <c r="C34" s="3" t="s">
        <v>685</v>
      </c>
      <c r="D34" s="3" t="s">
        <v>683</v>
      </c>
      <c r="E34" s="3" t="s">
        <v>665</v>
      </c>
      <c r="F34" s="4">
        <f t="shared" ca="1" si="0"/>
        <v>44033.681508333335</v>
      </c>
      <c r="G34" s="3" t="s">
        <v>666</v>
      </c>
      <c r="H34" s="3" t="s">
        <v>683</v>
      </c>
      <c r="I34" s="3" t="s">
        <v>667</v>
      </c>
      <c r="J34" s="3" t="s">
        <v>666</v>
      </c>
      <c r="K34" s="3" t="s">
        <v>680</v>
      </c>
      <c r="L34" s="3" t="s">
        <v>682</v>
      </c>
      <c r="M34" s="3" t="s">
        <v>680</v>
      </c>
      <c r="O34" s="3" t="s">
        <v>680</v>
      </c>
      <c r="P34" s="3" t="s">
        <v>680</v>
      </c>
      <c r="Q34" s="3" t="s">
        <v>680</v>
      </c>
      <c r="R34" s="3" t="s">
        <v>680</v>
      </c>
      <c r="S34" s="3" t="s">
        <v>680</v>
      </c>
      <c r="T34" s="3" t="s">
        <v>679</v>
      </c>
      <c r="U34" s="3" t="s">
        <v>686</v>
      </c>
      <c r="V34" s="3" t="s">
        <v>679</v>
      </c>
      <c r="W34" s="3" t="s">
        <v>306</v>
      </c>
      <c r="X34" s="3" t="s">
        <v>679</v>
      </c>
      <c r="Y34" t="s">
        <v>651</v>
      </c>
      <c r="AA34" s="3" t="s">
        <v>680</v>
      </c>
      <c r="AD34" t="s">
        <v>681</v>
      </c>
      <c r="AE34" s="9" t="s">
        <v>306</v>
      </c>
      <c r="AF34" s="9" t="s">
        <v>306</v>
      </c>
      <c r="AG34" s="3" t="s">
        <v>686</v>
      </c>
      <c r="AH34" s="3" t="s">
        <v>680</v>
      </c>
      <c r="AK34" t="s">
        <v>660</v>
      </c>
      <c r="AM34" s="3" t="s">
        <v>683</v>
      </c>
      <c r="AO34" s="3" t="s">
        <v>683</v>
      </c>
      <c r="AQ34" s="3" t="s">
        <v>668</v>
      </c>
      <c r="AV34" s="3" t="s">
        <v>684</v>
      </c>
      <c r="AW34" s="3" t="s">
        <v>669</v>
      </c>
      <c r="AX34" s="3" t="s">
        <v>670</v>
      </c>
    </row>
    <row r="35" spans="1:50">
      <c r="A35" s="3" t="s">
        <v>671</v>
      </c>
      <c r="B35" s="3" t="s">
        <v>672</v>
      </c>
      <c r="C35" s="3" t="s">
        <v>685</v>
      </c>
      <c r="D35" s="3" t="s">
        <v>683</v>
      </c>
      <c r="E35" s="3" t="s">
        <v>665</v>
      </c>
      <c r="F35" s="4">
        <f t="shared" ca="1" si="0"/>
        <v>44033.681508333335</v>
      </c>
      <c r="G35" s="3" t="s">
        <v>666</v>
      </c>
      <c r="H35" s="3" t="s">
        <v>683</v>
      </c>
      <c r="I35" s="3" t="s">
        <v>667</v>
      </c>
      <c r="J35" s="3" t="s">
        <v>666</v>
      </c>
      <c r="K35" s="3" t="s">
        <v>680</v>
      </c>
      <c r="L35" s="3" t="s">
        <v>675</v>
      </c>
      <c r="M35" s="3" t="s">
        <v>680</v>
      </c>
      <c r="O35" s="3" t="s">
        <v>680</v>
      </c>
      <c r="P35" s="3" t="s">
        <v>680</v>
      </c>
      <c r="Q35" s="3" t="s">
        <v>680</v>
      </c>
      <c r="R35" s="3" t="s">
        <v>680</v>
      </c>
      <c r="S35" s="3" t="s">
        <v>680</v>
      </c>
      <c r="T35" s="3" t="s">
        <v>679</v>
      </c>
      <c r="U35" s="3" t="s">
        <v>686</v>
      </c>
      <c r="V35" s="3" t="s">
        <v>679</v>
      </c>
      <c r="W35" s="3" t="s">
        <v>306</v>
      </c>
      <c r="X35" s="3" t="s">
        <v>679</v>
      </c>
      <c r="Y35" t="s">
        <v>651</v>
      </c>
      <c r="AA35" s="3" t="s">
        <v>680</v>
      </c>
      <c r="AD35" t="s">
        <v>681</v>
      </c>
      <c r="AE35" s="9" t="s">
        <v>306</v>
      </c>
      <c r="AF35" s="9" t="s">
        <v>306</v>
      </c>
      <c r="AG35" s="3" t="s">
        <v>686</v>
      </c>
      <c r="AH35" s="3" t="s">
        <v>680</v>
      </c>
      <c r="AK35" t="s">
        <v>660</v>
      </c>
      <c r="AM35" s="3" t="s">
        <v>683</v>
      </c>
      <c r="AO35" s="3" t="s">
        <v>683</v>
      </c>
      <c r="AQ35" s="3" t="s">
        <v>668</v>
      </c>
      <c r="AV35" s="3" t="s">
        <v>684</v>
      </c>
      <c r="AW35" s="3" t="s">
        <v>669</v>
      </c>
      <c r="AX35" s="3" t="s">
        <v>670</v>
      </c>
    </row>
    <row r="36" spans="1:50">
      <c r="A36" s="3" t="s">
        <v>671</v>
      </c>
      <c r="B36" s="3" t="s">
        <v>672</v>
      </c>
      <c r="C36" s="3" t="s">
        <v>685</v>
      </c>
      <c r="D36" s="3" t="s">
        <v>683</v>
      </c>
      <c r="E36" s="3" t="s">
        <v>665</v>
      </c>
      <c r="F36" s="4">
        <f t="shared" ca="1" si="0"/>
        <v>44033.681508333335</v>
      </c>
      <c r="G36" s="3" t="s">
        <v>666</v>
      </c>
      <c r="H36" s="3" t="s">
        <v>683</v>
      </c>
      <c r="I36" s="3" t="s">
        <v>667</v>
      </c>
      <c r="J36" s="3" t="s">
        <v>666</v>
      </c>
      <c r="K36" s="3" t="s">
        <v>680</v>
      </c>
      <c r="L36" s="3" t="s">
        <v>688</v>
      </c>
      <c r="M36" s="3" t="s">
        <v>680</v>
      </c>
      <c r="O36" s="3" t="s">
        <v>680</v>
      </c>
      <c r="P36" s="3" t="s">
        <v>680</v>
      </c>
      <c r="Q36" s="3" t="s">
        <v>680</v>
      </c>
      <c r="R36" s="3" t="s">
        <v>680</v>
      </c>
      <c r="S36" s="3" t="s">
        <v>680</v>
      </c>
      <c r="T36" s="3" t="s">
        <v>683</v>
      </c>
      <c r="U36" s="3" t="s">
        <v>682</v>
      </c>
      <c r="V36" s="3" t="s">
        <v>679</v>
      </c>
      <c r="W36" s="3" t="s">
        <v>306</v>
      </c>
      <c r="X36" s="3" t="s">
        <v>679</v>
      </c>
      <c r="Y36" t="s">
        <v>651</v>
      </c>
      <c r="AA36" s="3" t="s">
        <v>680</v>
      </c>
      <c r="AD36" t="s">
        <v>689</v>
      </c>
      <c r="AE36" s="9" t="s">
        <v>306</v>
      </c>
      <c r="AF36" s="9" t="s">
        <v>306</v>
      </c>
      <c r="AG36" s="3" t="s">
        <v>682</v>
      </c>
      <c r="AH36" s="3" t="s">
        <v>683</v>
      </c>
      <c r="AK36" t="s">
        <v>660</v>
      </c>
      <c r="AM36" s="3" t="s">
        <v>683</v>
      </c>
      <c r="AO36" s="3" t="s">
        <v>683</v>
      </c>
      <c r="AQ36" s="3" t="s">
        <v>668</v>
      </c>
      <c r="AV36" s="3" t="s">
        <v>684</v>
      </c>
      <c r="AW36" s="3" t="s">
        <v>669</v>
      </c>
      <c r="AX36" s="3" t="s">
        <v>670</v>
      </c>
    </row>
    <row r="37" spans="1:50">
      <c r="A37" s="3" t="s">
        <v>671</v>
      </c>
      <c r="B37" s="3" t="s">
        <v>672</v>
      </c>
      <c r="C37" s="3" t="s">
        <v>685</v>
      </c>
      <c r="D37" s="3" t="s">
        <v>683</v>
      </c>
      <c r="E37" s="3" t="s">
        <v>665</v>
      </c>
      <c r="F37" s="4">
        <f t="shared" ca="1" si="0"/>
        <v>44033.681508333335</v>
      </c>
      <c r="G37" s="3" t="s">
        <v>666</v>
      </c>
      <c r="H37" s="3" t="s">
        <v>683</v>
      </c>
      <c r="I37" s="3" t="s">
        <v>667</v>
      </c>
      <c r="J37" s="3" t="s">
        <v>666</v>
      </c>
      <c r="K37" s="3" t="s">
        <v>680</v>
      </c>
      <c r="L37" s="3" t="s">
        <v>688</v>
      </c>
      <c r="M37" s="3" t="s">
        <v>680</v>
      </c>
      <c r="O37" s="3" t="s">
        <v>680</v>
      </c>
      <c r="P37" s="3" t="s">
        <v>680</v>
      </c>
      <c r="Q37" s="3" t="s">
        <v>680</v>
      </c>
      <c r="R37" s="3" t="s">
        <v>680</v>
      </c>
      <c r="S37" s="3" t="s">
        <v>680</v>
      </c>
      <c r="T37" s="3" t="s">
        <v>683</v>
      </c>
      <c r="U37" s="3" t="s">
        <v>686</v>
      </c>
      <c r="V37" s="3" t="s">
        <v>679</v>
      </c>
      <c r="W37" s="3" t="s">
        <v>306</v>
      </c>
      <c r="X37" s="3" t="s">
        <v>679</v>
      </c>
      <c r="Y37" t="s">
        <v>651</v>
      </c>
      <c r="AA37" s="3" t="s">
        <v>680</v>
      </c>
      <c r="AD37" t="s">
        <v>689</v>
      </c>
      <c r="AE37" s="9" t="s">
        <v>306</v>
      </c>
      <c r="AF37" s="9" t="s">
        <v>306</v>
      </c>
      <c r="AG37" s="3" t="s">
        <v>686</v>
      </c>
      <c r="AH37" s="3" t="s">
        <v>680</v>
      </c>
      <c r="AK37" t="s">
        <v>660</v>
      </c>
      <c r="AM37" s="3" t="s">
        <v>683</v>
      </c>
      <c r="AO37" s="3" t="s">
        <v>683</v>
      </c>
      <c r="AQ37" s="3" t="s">
        <v>668</v>
      </c>
      <c r="AV37" s="3" t="s">
        <v>684</v>
      </c>
      <c r="AW37" s="3" t="s">
        <v>669</v>
      </c>
      <c r="AX37" s="3" t="s">
        <v>670</v>
      </c>
    </row>
    <row r="38" spans="1:50">
      <c r="A38" s="3" t="s">
        <v>671</v>
      </c>
      <c r="B38" s="3" t="s">
        <v>672</v>
      </c>
      <c r="C38" s="3" t="s">
        <v>685</v>
      </c>
      <c r="D38" s="3" t="s">
        <v>683</v>
      </c>
      <c r="E38" s="3" t="s">
        <v>665</v>
      </c>
      <c r="F38" s="4">
        <f t="shared" ca="1" si="0"/>
        <v>44033.681508333335</v>
      </c>
      <c r="G38" s="3" t="s">
        <v>666</v>
      </c>
      <c r="H38" s="3" t="s">
        <v>683</v>
      </c>
      <c r="I38" s="3" t="s">
        <v>667</v>
      </c>
      <c r="J38" s="3" t="s">
        <v>666</v>
      </c>
      <c r="K38" s="3" t="s">
        <v>680</v>
      </c>
      <c r="L38" s="3" t="s">
        <v>687</v>
      </c>
      <c r="M38" s="3" t="s">
        <v>680</v>
      </c>
      <c r="O38" s="3" t="s">
        <v>680</v>
      </c>
      <c r="P38" s="3" t="s">
        <v>680</v>
      </c>
      <c r="Q38" s="3" t="s">
        <v>680</v>
      </c>
      <c r="R38" s="3" t="s">
        <v>680</v>
      </c>
      <c r="S38" s="3" t="s">
        <v>680</v>
      </c>
      <c r="T38" s="3" t="s">
        <v>683</v>
      </c>
      <c r="U38" s="3" t="s">
        <v>686</v>
      </c>
      <c r="V38" s="3" t="s">
        <v>679</v>
      </c>
      <c r="W38" s="3" t="s">
        <v>306</v>
      </c>
      <c r="X38" s="3" t="s">
        <v>679</v>
      </c>
      <c r="Y38" t="s">
        <v>651</v>
      </c>
      <c r="AA38" s="3" t="s">
        <v>680</v>
      </c>
      <c r="AD38" t="s">
        <v>689</v>
      </c>
      <c r="AE38" s="9" t="s">
        <v>306</v>
      </c>
      <c r="AF38" s="9" t="s">
        <v>306</v>
      </c>
      <c r="AG38" s="3" t="s">
        <v>686</v>
      </c>
      <c r="AH38" s="3" t="s">
        <v>680</v>
      </c>
      <c r="AK38" t="s">
        <v>660</v>
      </c>
      <c r="AM38" s="3" t="s">
        <v>683</v>
      </c>
      <c r="AO38" s="3" t="s">
        <v>683</v>
      </c>
      <c r="AQ38" s="3" t="s">
        <v>668</v>
      </c>
      <c r="AV38" s="3" t="s">
        <v>684</v>
      </c>
      <c r="AW38" s="3" t="s">
        <v>669</v>
      </c>
      <c r="AX38" s="3" t="s">
        <v>670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R30" sqref="R30"/>
    </sheetView>
  </sheetViews>
  <sheetFormatPr defaultRowHeight="14.25"/>
  <sheetData>
    <row r="1" spans="1:21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121</v>
      </c>
      <c r="I1" t="s">
        <v>122</v>
      </c>
      <c r="J1" t="s">
        <v>32</v>
      </c>
      <c r="K1" t="s">
        <v>55</v>
      </c>
      <c r="L1" t="s">
        <v>34</v>
      </c>
      <c r="M1" t="s">
        <v>96</v>
      </c>
      <c r="N1" t="s">
        <v>157</v>
      </c>
      <c r="O1" t="s">
        <v>158</v>
      </c>
      <c r="P1" t="s">
        <v>48</v>
      </c>
      <c r="Q1" t="s">
        <v>15</v>
      </c>
      <c r="R1" t="s">
        <v>16</v>
      </c>
      <c r="S1" t="s">
        <v>609</v>
      </c>
      <c r="T1" s="1" t="s">
        <v>17</v>
      </c>
      <c r="U1" t="s">
        <v>126</v>
      </c>
    </row>
    <row r="2" spans="1:21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39</v>
      </c>
      <c r="L2" t="s">
        <v>13</v>
      </c>
      <c r="M2" t="s">
        <v>10</v>
      </c>
      <c r="N2" t="s">
        <v>36</v>
      </c>
      <c r="O2" t="s">
        <v>10</v>
      </c>
      <c r="P2" t="s">
        <v>47</v>
      </c>
      <c r="Q2" t="s">
        <v>13</v>
      </c>
      <c r="R2" t="s">
        <v>13</v>
      </c>
      <c r="S2" t="s">
        <v>57</v>
      </c>
      <c r="T2" t="s">
        <v>10</v>
      </c>
      <c r="U2" t="s">
        <v>127</v>
      </c>
    </row>
    <row r="3" spans="1:21">
      <c r="A3" s="2" t="s">
        <v>167</v>
      </c>
      <c r="B3" s="2" t="s">
        <v>168</v>
      </c>
      <c r="C3" s="2" t="s">
        <v>128</v>
      </c>
      <c r="D3" s="2" t="s">
        <v>129</v>
      </c>
      <c r="E3" s="2" t="s">
        <v>130</v>
      </c>
      <c r="F3" s="2" t="s">
        <v>131</v>
      </c>
      <c r="G3" s="2" t="s">
        <v>132</v>
      </c>
      <c r="H3" s="2" t="s">
        <v>133</v>
      </c>
      <c r="I3" s="2" t="s">
        <v>134</v>
      </c>
      <c r="J3" s="3" t="s">
        <v>169</v>
      </c>
      <c r="K3" s="3" t="s">
        <v>170</v>
      </c>
      <c r="L3" s="3" t="s">
        <v>171</v>
      </c>
      <c r="M3" s="3" t="s">
        <v>176</v>
      </c>
      <c r="N3" s="3" t="s">
        <v>178</v>
      </c>
      <c r="O3" s="3" t="s">
        <v>183</v>
      </c>
      <c r="P3" s="3" t="s">
        <v>148</v>
      </c>
      <c r="Q3" s="3" t="s">
        <v>138</v>
      </c>
      <c r="R3" s="3" t="s">
        <v>139</v>
      </c>
      <c r="S3" s="3" t="s">
        <v>608</v>
      </c>
      <c r="T3" s="2" t="s">
        <v>140</v>
      </c>
      <c r="U3" s="7" t="s">
        <v>126</v>
      </c>
    </row>
    <row r="4" spans="1:21">
      <c r="A4" s="3" t="s">
        <v>588</v>
      </c>
      <c r="B4" s="3" t="s">
        <v>589</v>
      </c>
      <c r="C4" s="3" t="s">
        <v>526</v>
      </c>
      <c r="D4" s="3" t="s">
        <v>582</v>
      </c>
      <c r="E4" s="3" t="s">
        <v>586</v>
      </c>
      <c r="F4" s="4">
        <f ca="1">NOW()</f>
        <v>44033.681508333335</v>
      </c>
      <c r="G4" s="3" t="s">
        <v>579</v>
      </c>
      <c r="H4" s="3" t="s">
        <v>590</v>
      </c>
      <c r="I4" s="3" t="s">
        <v>607</v>
      </c>
      <c r="J4" s="3" t="s">
        <v>579</v>
      </c>
      <c r="K4" s="3" t="s">
        <v>591</v>
      </c>
      <c r="L4" s="3" t="s">
        <v>604</v>
      </c>
      <c r="M4" s="3" t="s">
        <v>202</v>
      </c>
      <c r="N4" s="3" t="s">
        <v>610</v>
      </c>
      <c r="Q4" s="3" t="s">
        <v>587</v>
      </c>
      <c r="T4" s="3" t="s">
        <v>585</v>
      </c>
      <c r="U4" s="3" t="s">
        <v>611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AK4"/>
  <sheetViews>
    <sheetView workbookViewId="0">
      <selection activeCell="A4" sqref="A4"/>
    </sheetView>
  </sheetViews>
  <sheetFormatPr defaultRowHeight="14.25"/>
  <cols>
    <col min="6" max="6" width="17.5" customWidth="1"/>
    <col min="21" max="21" width="14.25" customWidth="1"/>
    <col min="25" max="25" width="10.625" customWidth="1"/>
  </cols>
  <sheetData>
    <row r="1" spans="1:37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32</v>
      </c>
      <c r="I1" t="s">
        <v>224</v>
      </c>
      <c r="J1" t="s">
        <v>225</v>
      </c>
      <c r="K1" t="s">
        <v>49</v>
      </c>
      <c r="L1" t="s">
        <v>51</v>
      </c>
      <c r="M1" t="s">
        <v>52</v>
      </c>
      <c r="N1" t="s">
        <v>51</v>
      </c>
      <c r="O1" t="s">
        <v>52</v>
      </c>
      <c r="P1" t="s">
        <v>227</v>
      </c>
      <c r="Q1" t="s">
        <v>228</v>
      </c>
      <c r="R1" t="s">
        <v>229</v>
      </c>
      <c r="S1" t="s">
        <v>230</v>
      </c>
      <c r="T1" t="s">
        <v>231</v>
      </c>
      <c r="U1" t="s">
        <v>33</v>
      </c>
      <c r="V1" t="s">
        <v>45</v>
      </c>
      <c r="W1" t="s">
        <v>232</v>
      </c>
      <c r="X1" t="s">
        <v>233</v>
      </c>
      <c r="Y1" t="s">
        <v>286</v>
      </c>
      <c r="Z1" t="s">
        <v>287</v>
      </c>
      <c r="AA1" t="s">
        <v>38</v>
      </c>
      <c r="AB1" t="s">
        <v>56</v>
      </c>
      <c r="AC1" t="s">
        <v>231</v>
      </c>
      <c r="AD1" t="s">
        <v>33</v>
      </c>
      <c r="AE1" t="s">
        <v>45</v>
      </c>
      <c r="AF1" t="s">
        <v>232</v>
      </c>
      <c r="AG1" t="s">
        <v>233</v>
      </c>
      <c r="AH1" t="s">
        <v>286</v>
      </c>
      <c r="AI1" t="s">
        <v>287</v>
      </c>
      <c r="AJ1" t="s">
        <v>38</v>
      </c>
      <c r="AK1" t="s">
        <v>56</v>
      </c>
    </row>
    <row r="2" spans="1:37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13</v>
      </c>
      <c r="J2" t="s">
        <v>226</v>
      </c>
      <c r="K2" t="s">
        <v>50</v>
      </c>
      <c r="L2" t="s">
        <v>10</v>
      </c>
      <c r="M2" t="s">
        <v>13</v>
      </c>
      <c r="N2" t="s">
        <v>10</v>
      </c>
      <c r="O2" t="s">
        <v>13</v>
      </c>
      <c r="P2" t="s">
        <v>50</v>
      </c>
      <c r="Q2" t="s">
        <v>10</v>
      </c>
      <c r="R2" t="s">
        <v>13</v>
      </c>
      <c r="S2" t="s">
        <v>13</v>
      </c>
      <c r="T2" t="s">
        <v>10</v>
      </c>
      <c r="U2" t="s">
        <v>10</v>
      </c>
      <c r="V2" t="s">
        <v>46</v>
      </c>
      <c r="W2" t="s">
        <v>39</v>
      </c>
      <c r="X2" t="s">
        <v>41</v>
      </c>
      <c r="Y2" t="s">
        <v>39</v>
      </c>
      <c r="Z2" t="s">
        <v>41</v>
      </c>
      <c r="AA2" t="s">
        <v>36</v>
      </c>
      <c r="AB2" t="s">
        <v>57</v>
      </c>
      <c r="AC2" t="s">
        <v>10</v>
      </c>
      <c r="AD2" t="s">
        <v>10</v>
      </c>
      <c r="AE2" t="s">
        <v>46</v>
      </c>
      <c r="AF2" t="s">
        <v>39</v>
      </c>
      <c r="AG2" t="s">
        <v>41</v>
      </c>
      <c r="AH2" t="s">
        <v>39</v>
      </c>
      <c r="AI2" t="s">
        <v>41</v>
      </c>
      <c r="AJ2" t="s">
        <v>36</v>
      </c>
      <c r="AK2" t="s">
        <v>57</v>
      </c>
    </row>
    <row r="3" spans="1:37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3" t="s">
        <v>209</v>
      </c>
      <c r="I3" s="3" t="s">
        <v>234</v>
      </c>
      <c r="J3" s="3" t="s">
        <v>235</v>
      </c>
      <c r="K3" s="3" t="s">
        <v>83</v>
      </c>
      <c r="L3" s="3" t="s">
        <v>115</v>
      </c>
      <c r="M3" s="3" t="s">
        <v>114</v>
      </c>
      <c r="N3" s="3" t="s">
        <v>219</v>
      </c>
      <c r="O3" s="3" t="s">
        <v>220</v>
      </c>
      <c r="P3" s="3" t="s">
        <v>236</v>
      </c>
      <c r="Q3" s="3" t="s">
        <v>239</v>
      </c>
      <c r="R3" s="3" t="s">
        <v>240</v>
      </c>
      <c r="S3" s="3" t="s">
        <v>241</v>
      </c>
      <c r="T3" s="3" t="s">
        <v>242</v>
      </c>
      <c r="U3" s="3" t="s">
        <v>244</v>
      </c>
      <c r="V3" s="3" t="s">
        <v>245</v>
      </c>
      <c r="W3" s="3" t="s">
        <v>266</v>
      </c>
      <c r="X3" s="3" t="s">
        <v>258</v>
      </c>
      <c r="Y3" s="3" t="s">
        <v>247</v>
      </c>
      <c r="Z3" s="3" t="s">
        <v>248</v>
      </c>
      <c r="AA3" s="3" t="s">
        <v>249</v>
      </c>
      <c r="AB3" s="3" t="s">
        <v>250</v>
      </c>
      <c r="AC3" s="3" t="s">
        <v>255</v>
      </c>
      <c r="AD3" s="3" t="s">
        <v>256</v>
      </c>
      <c r="AE3" s="3" t="s">
        <v>257</v>
      </c>
      <c r="AF3" s="3" t="s">
        <v>270</v>
      </c>
      <c r="AG3" s="3" t="s">
        <v>271</v>
      </c>
      <c r="AH3" s="3" t="s">
        <v>259</v>
      </c>
      <c r="AI3" s="3" t="s">
        <v>260</v>
      </c>
      <c r="AJ3" s="3" t="s">
        <v>254</v>
      </c>
      <c r="AK3" s="3" t="s">
        <v>261</v>
      </c>
    </row>
    <row r="4" spans="1:37">
      <c r="A4" s="3" t="s">
        <v>26</v>
      </c>
      <c r="B4" s="3" t="s">
        <v>27</v>
      </c>
      <c r="C4" s="3" t="s">
        <v>264</v>
      </c>
      <c r="D4" s="3"/>
      <c r="E4" s="3" t="s">
        <v>31</v>
      </c>
      <c r="F4" s="4">
        <f ca="1">NOW()</f>
        <v>44033.681508333335</v>
      </c>
      <c r="G4" s="3" t="s">
        <v>28</v>
      </c>
      <c r="H4" s="3" t="s">
        <v>31</v>
      </c>
      <c r="I4" s="3" t="s">
        <v>238</v>
      </c>
      <c r="P4" s="3" t="s">
        <v>243</v>
      </c>
      <c r="Q4" s="3" t="s">
        <v>238</v>
      </c>
      <c r="R4" s="3" t="s">
        <v>237</v>
      </c>
      <c r="S4" s="3" t="s">
        <v>119</v>
      </c>
      <c r="T4" s="3" t="s">
        <v>277</v>
      </c>
      <c r="U4" t="s">
        <v>283</v>
      </c>
      <c r="V4" t="s">
        <v>265</v>
      </c>
      <c r="W4" s="3" t="s">
        <v>246</v>
      </c>
      <c r="X4" s="3" t="s">
        <v>246</v>
      </c>
      <c r="Y4" s="3" t="s">
        <v>279</v>
      </c>
      <c r="Z4" s="3" t="s">
        <v>243</v>
      </c>
      <c r="AA4" t="s">
        <v>262</v>
      </c>
      <c r="AB4" s="3" t="s">
        <v>243</v>
      </c>
      <c r="AC4" s="3" t="s">
        <v>205</v>
      </c>
      <c r="AD4" t="s">
        <v>283</v>
      </c>
      <c r="AE4" t="s">
        <v>265</v>
      </c>
      <c r="AF4" s="3" t="s">
        <v>251</v>
      </c>
      <c r="AG4" s="3" t="s">
        <v>252</v>
      </c>
      <c r="AH4" s="3" t="s">
        <v>253</v>
      </c>
      <c r="AI4" s="3" t="s">
        <v>246</v>
      </c>
      <c r="AJ4" t="s">
        <v>263</v>
      </c>
      <c r="AK4" s="3" t="s">
        <v>243</v>
      </c>
    </row>
  </sheetData>
  <phoneticPr fontId="2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AQ7"/>
  <sheetViews>
    <sheetView topLeftCell="T1" workbookViewId="0">
      <selection activeCell="Y13" sqref="Y13"/>
    </sheetView>
  </sheetViews>
  <sheetFormatPr defaultRowHeight="14.25"/>
  <cols>
    <col min="6" max="6" width="18.5" customWidth="1"/>
    <col min="32" max="32" width="12.75" customWidth="1"/>
  </cols>
  <sheetData>
    <row r="1" spans="1:43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121</v>
      </c>
      <c r="I1" t="s">
        <v>122</v>
      </c>
      <c r="J1" t="s">
        <v>32</v>
      </c>
      <c r="K1" t="s">
        <v>158</v>
      </c>
      <c r="L1" t="s">
        <v>224</v>
      </c>
      <c r="M1" t="s">
        <v>45</v>
      </c>
      <c r="N1" t="s">
        <v>49</v>
      </c>
      <c r="O1" t="s">
        <v>51</v>
      </c>
      <c r="P1" t="s">
        <v>52</v>
      </c>
      <c r="Q1" t="s">
        <v>51</v>
      </c>
      <c r="R1" t="s">
        <v>52</v>
      </c>
      <c r="S1" t="s">
        <v>227</v>
      </c>
      <c r="T1" t="s">
        <v>228</v>
      </c>
      <c r="U1" t="s">
        <v>229</v>
      </c>
      <c r="V1" t="s">
        <v>230</v>
      </c>
      <c r="W1" t="s">
        <v>231</v>
      </c>
      <c r="X1" t="s">
        <v>33</v>
      </c>
      <c r="Y1" t="s">
        <v>232</v>
      </c>
      <c r="Z1" t="s">
        <v>233</v>
      </c>
      <c r="AA1" t="s">
        <v>286</v>
      </c>
      <c r="AB1" t="s">
        <v>287</v>
      </c>
      <c r="AC1" t="s">
        <v>38</v>
      </c>
      <c r="AD1" t="s">
        <v>56</v>
      </c>
      <c r="AE1" t="s">
        <v>231</v>
      </c>
      <c r="AF1" t="s">
        <v>33</v>
      </c>
      <c r="AG1" t="s">
        <v>232</v>
      </c>
      <c r="AH1" t="s">
        <v>233</v>
      </c>
      <c r="AI1" t="s">
        <v>286</v>
      </c>
      <c r="AJ1" t="s">
        <v>287</v>
      </c>
      <c r="AK1" t="s">
        <v>38</v>
      </c>
      <c r="AL1" t="s">
        <v>56</v>
      </c>
      <c r="AM1" t="s">
        <v>272</v>
      </c>
      <c r="AN1" t="s">
        <v>15</v>
      </c>
      <c r="AO1" t="s">
        <v>16</v>
      </c>
      <c r="AP1" s="1" t="s">
        <v>17</v>
      </c>
      <c r="AQ1" t="s">
        <v>165</v>
      </c>
    </row>
    <row r="2" spans="1:43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10</v>
      </c>
      <c r="L2" t="s">
        <v>13</v>
      </c>
      <c r="M2" t="s">
        <v>46</v>
      </c>
      <c r="N2" t="s">
        <v>50</v>
      </c>
      <c r="O2" t="s">
        <v>10</v>
      </c>
      <c r="P2" t="s">
        <v>13</v>
      </c>
      <c r="Q2" t="s">
        <v>10</v>
      </c>
      <c r="R2" t="s">
        <v>13</v>
      </c>
      <c r="S2" t="s">
        <v>50</v>
      </c>
      <c r="T2" t="s">
        <v>10</v>
      </c>
      <c r="U2" t="s">
        <v>13</v>
      </c>
      <c r="V2" t="s">
        <v>13</v>
      </c>
      <c r="W2" t="s">
        <v>10</v>
      </c>
      <c r="X2" t="s">
        <v>10</v>
      </c>
      <c r="Y2" t="s">
        <v>39</v>
      </c>
      <c r="Z2" t="s">
        <v>41</v>
      </c>
      <c r="AA2" t="s">
        <v>39</v>
      </c>
      <c r="AB2" t="s">
        <v>41</v>
      </c>
      <c r="AC2" t="s">
        <v>36</v>
      </c>
      <c r="AD2" t="s">
        <v>57</v>
      </c>
      <c r="AE2" t="s">
        <v>10</v>
      </c>
      <c r="AF2" t="s">
        <v>10</v>
      </c>
      <c r="AG2" t="s">
        <v>39</v>
      </c>
      <c r="AH2" t="s">
        <v>41</v>
      </c>
      <c r="AI2" t="s">
        <v>39</v>
      </c>
      <c r="AJ2" t="s">
        <v>41</v>
      </c>
      <c r="AK2" t="s">
        <v>36</v>
      </c>
      <c r="AL2" t="s">
        <v>57</v>
      </c>
      <c r="AM2" t="s">
        <v>273</v>
      </c>
      <c r="AN2" t="s">
        <v>13</v>
      </c>
      <c r="AO2" t="s">
        <v>13</v>
      </c>
      <c r="AP2" t="s">
        <v>10</v>
      </c>
      <c r="AQ2" t="s">
        <v>166</v>
      </c>
    </row>
    <row r="3" spans="1:43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2" t="s">
        <v>133</v>
      </c>
      <c r="I3" s="2" t="s">
        <v>134</v>
      </c>
      <c r="J3" s="3" t="s">
        <v>209</v>
      </c>
      <c r="K3" s="3" t="s">
        <v>183</v>
      </c>
      <c r="L3" s="3" t="s">
        <v>234</v>
      </c>
      <c r="M3" s="3" t="s">
        <v>245</v>
      </c>
      <c r="N3" s="3" t="s">
        <v>83</v>
      </c>
      <c r="O3" s="3" t="s">
        <v>115</v>
      </c>
      <c r="P3" s="3" t="s">
        <v>114</v>
      </c>
      <c r="Q3" s="3" t="s">
        <v>219</v>
      </c>
      <c r="R3" s="3" t="s">
        <v>220</v>
      </c>
      <c r="S3" s="3" t="s">
        <v>236</v>
      </c>
      <c r="T3" s="3" t="s">
        <v>239</v>
      </c>
      <c r="U3" s="3" t="s">
        <v>240</v>
      </c>
      <c r="V3" s="3" t="s">
        <v>241</v>
      </c>
      <c r="W3" s="3" t="s">
        <v>242</v>
      </c>
      <c r="X3" s="3" t="s">
        <v>244</v>
      </c>
      <c r="Y3" s="3" t="s">
        <v>266</v>
      </c>
      <c r="Z3" s="3" t="s">
        <v>258</v>
      </c>
      <c r="AA3" s="3" t="s">
        <v>247</v>
      </c>
      <c r="AB3" s="3" t="s">
        <v>248</v>
      </c>
      <c r="AC3" s="3" t="s">
        <v>254</v>
      </c>
      <c r="AD3" s="3" t="s">
        <v>261</v>
      </c>
      <c r="AE3" s="3" t="s">
        <v>255</v>
      </c>
      <c r="AF3" s="3" t="s">
        <v>256</v>
      </c>
      <c r="AG3" s="3" t="s">
        <v>270</v>
      </c>
      <c r="AH3" s="3" t="s">
        <v>271</v>
      </c>
      <c r="AI3" s="3" t="s">
        <v>259</v>
      </c>
      <c r="AJ3" s="3" t="s">
        <v>260</v>
      </c>
      <c r="AK3" s="3" t="s">
        <v>275</v>
      </c>
      <c r="AL3" s="3" t="s">
        <v>276</v>
      </c>
      <c r="AM3" s="3" t="s">
        <v>274</v>
      </c>
      <c r="AN3" s="3" t="s">
        <v>138</v>
      </c>
      <c r="AO3" s="3" t="s">
        <v>139</v>
      </c>
      <c r="AP3" s="2" t="s">
        <v>140</v>
      </c>
      <c r="AQ3" s="7" t="s">
        <v>126</v>
      </c>
    </row>
    <row r="4" spans="1:43">
      <c r="A4" s="3" t="s">
        <v>26</v>
      </c>
      <c r="B4" s="3" t="s">
        <v>27</v>
      </c>
      <c r="C4" s="3" t="s">
        <v>269</v>
      </c>
      <c r="D4" s="3"/>
      <c r="E4" s="3" t="s">
        <v>28</v>
      </c>
      <c r="F4" s="4">
        <f ca="1">NOW()</f>
        <v>44033.681508333335</v>
      </c>
      <c r="G4" s="3" t="s">
        <v>31</v>
      </c>
      <c r="H4" s="3" t="s">
        <v>267</v>
      </c>
      <c r="I4" s="3" t="s">
        <v>268</v>
      </c>
      <c r="J4" s="3" t="s">
        <v>31</v>
      </c>
      <c r="L4" s="3" t="s">
        <v>252</v>
      </c>
      <c r="M4" t="s">
        <v>265</v>
      </c>
      <c r="S4" s="3" t="s">
        <v>243</v>
      </c>
      <c r="T4" s="3" t="s">
        <v>253</v>
      </c>
      <c r="U4" s="3" t="s">
        <v>237</v>
      </c>
      <c r="V4" s="3" t="s">
        <v>119</v>
      </c>
      <c r="W4" s="3" t="s">
        <v>301</v>
      </c>
      <c r="X4" t="s">
        <v>283</v>
      </c>
      <c r="Y4" s="3" t="s">
        <v>246</v>
      </c>
      <c r="Z4" s="3" t="s">
        <v>246</v>
      </c>
      <c r="AA4" s="3" t="s">
        <v>284</v>
      </c>
      <c r="AB4" s="3" t="s">
        <v>243</v>
      </c>
      <c r="AC4" t="s">
        <v>262</v>
      </c>
      <c r="AD4" s="3" t="s">
        <v>243</v>
      </c>
      <c r="AE4" s="3" t="s">
        <v>302</v>
      </c>
      <c r="AF4" t="s">
        <v>283</v>
      </c>
      <c r="AG4" s="3" t="s">
        <v>285</v>
      </c>
      <c r="AH4" s="3" t="s">
        <v>252</v>
      </c>
      <c r="AI4" s="3" t="s">
        <v>253</v>
      </c>
      <c r="AJ4" s="3" t="s">
        <v>246</v>
      </c>
      <c r="AK4" t="s">
        <v>263</v>
      </c>
      <c r="AL4" s="3" t="s">
        <v>243</v>
      </c>
      <c r="AM4" s="3" t="s">
        <v>140</v>
      </c>
      <c r="AQ4" s="3" t="s">
        <v>282</v>
      </c>
    </row>
    <row r="5" spans="1:43">
      <c r="A5" s="3" t="s">
        <v>26</v>
      </c>
      <c r="B5" s="3" t="s">
        <v>27</v>
      </c>
      <c r="C5" s="3" t="s">
        <v>269</v>
      </c>
      <c r="D5" s="3"/>
      <c r="E5" s="3" t="s">
        <v>28</v>
      </c>
      <c r="F5" s="4">
        <f ca="1">NOW()</f>
        <v>44033.681508333335</v>
      </c>
      <c r="G5" s="3" t="s">
        <v>31</v>
      </c>
      <c r="H5" s="3" t="s">
        <v>267</v>
      </c>
      <c r="I5" s="3" t="s">
        <v>268</v>
      </c>
      <c r="J5" s="3" t="s">
        <v>31</v>
      </c>
      <c r="L5" s="3" t="s">
        <v>252</v>
      </c>
      <c r="M5" t="s">
        <v>265</v>
      </c>
      <c r="S5" s="3" t="s">
        <v>243</v>
      </c>
      <c r="T5" s="3" t="s">
        <v>253</v>
      </c>
      <c r="U5" s="3" t="s">
        <v>237</v>
      </c>
      <c r="V5" s="3" t="s">
        <v>119</v>
      </c>
      <c r="W5" s="3" t="s">
        <v>301</v>
      </c>
      <c r="X5" t="s">
        <v>283</v>
      </c>
      <c r="Y5" s="3" t="s">
        <v>246</v>
      </c>
      <c r="Z5" s="3" t="s">
        <v>246</v>
      </c>
      <c r="AA5" s="3" t="s">
        <v>284</v>
      </c>
      <c r="AB5" s="3" t="s">
        <v>243</v>
      </c>
      <c r="AC5" t="s">
        <v>262</v>
      </c>
      <c r="AD5" s="3" t="s">
        <v>243</v>
      </c>
      <c r="AE5" s="3" t="s">
        <v>303</v>
      </c>
      <c r="AF5" t="s">
        <v>283</v>
      </c>
      <c r="AG5" s="3" t="s">
        <v>285</v>
      </c>
      <c r="AH5" s="3" t="s">
        <v>252</v>
      </c>
      <c r="AI5" s="3" t="s">
        <v>253</v>
      </c>
      <c r="AJ5" s="3" t="s">
        <v>246</v>
      </c>
      <c r="AK5" t="s">
        <v>263</v>
      </c>
      <c r="AL5" s="3" t="s">
        <v>243</v>
      </c>
      <c r="AM5" s="3" t="s">
        <v>253</v>
      </c>
      <c r="AQ5" s="3" t="s">
        <v>282</v>
      </c>
    </row>
    <row r="6" spans="1:43">
      <c r="A6" s="3" t="s">
        <v>26</v>
      </c>
      <c r="B6" s="3" t="s">
        <v>27</v>
      </c>
      <c r="C6" s="3" t="s">
        <v>269</v>
      </c>
      <c r="D6" s="3"/>
      <c r="E6" s="3" t="s">
        <v>28</v>
      </c>
      <c r="F6" s="4">
        <f ca="1">NOW()</f>
        <v>44033.681508333335</v>
      </c>
      <c r="G6" s="3" t="s">
        <v>31</v>
      </c>
      <c r="H6" s="3" t="s">
        <v>267</v>
      </c>
      <c r="I6" s="3" t="s">
        <v>268</v>
      </c>
      <c r="J6" s="3" t="s">
        <v>31</v>
      </c>
      <c r="L6" s="3" t="s">
        <v>29</v>
      </c>
      <c r="M6" t="s">
        <v>61</v>
      </c>
      <c r="S6" s="3" t="s">
        <v>29</v>
      </c>
      <c r="T6" s="3" t="s">
        <v>62</v>
      </c>
      <c r="U6" s="3" t="s">
        <v>64</v>
      </c>
      <c r="V6" s="3" t="s">
        <v>64</v>
      </c>
      <c r="W6" s="3" t="s">
        <v>301</v>
      </c>
      <c r="X6" t="s">
        <v>283</v>
      </c>
      <c r="Y6" s="3" t="s">
        <v>62</v>
      </c>
      <c r="Z6" s="3" t="s">
        <v>62</v>
      </c>
      <c r="AA6" s="3" t="s">
        <v>284</v>
      </c>
      <c r="AB6" s="3" t="s">
        <v>29</v>
      </c>
      <c r="AC6" t="s">
        <v>204</v>
      </c>
      <c r="AD6" s="3" t="s">
        <v>29</v>
      </c>
      <c r="AE6" s="3" t="s">
        <v>303</v>
      </c>
      <c r="AF6" t="s">
        <v>283</v>
      </c>
      <c r="AG6" s="3" t="s">
        <v>285</v>
      </c>
      <c r="AH6" s="3" t="s">
        <v>29</v>
      </c>
      <c r="AI6" s="3" t="s">
        <v>62</v>
      </c>
      <c r="AJ6" s="3" t="s">
        <v>62</v>
      </c>
      <c r="AK6" t="s">
        <v>204</v>
      </c>
      <c r="AL6" s="3" t="s">
        <v>29</v>
      </c>
      <c r="AM6" s="3" t="s">
        <v>62</v>
      </c>
      <c r="AQ6" s="3" t="s">
        <v>282</v>
      </c>
    </row>
    <row r="7" spans="1:43">
      <c r="A7" s="3" t="s">
        <v>26</v>
      </c>
      <c r="B7" s="3" t="s">
        <v>27</v>
      </c>
      <c r="C7" s="3" t="s">
        <v>269</v>
      </c>
      <c r="D7" s="3"/>
      <c r="E7" s="3" t="s">
        <v>28</v>
      </c>
      <c r="F7" s="4">
        <f ca="1">NOW()</f>
        <v>44033.681508333335</v>
      </c>
      <c r="G7" s="3" t="s">
        <v>31</v>
      </c>
      <c r="H7" s="3" t="s">
        <v>267</v>
      </c>
      <c r="I7" s="3" t="s">
        <v>268</v>
      </c>
      <c r="J7" s="3" t="s">
        <v>31</v>
      </c>
      <c r="L7" s="3" t="s">
        <v>29</v>
      </c>
      <c r="M7" t="s">
        <v>61</v>
      </c>
      <c r="S7" s="3" t="s">
        <v>29</v>
      </c>
      <c r="T7" s="3" t="s">
        <v>62</v>
      </c>
      <c r="U7" s="3" t="s">
        <v>64</v>
      </c>
      <c r="V7" s="3" t="s">
        <v>64</v>
      </c>
      <c r="W7" s="3" t="s">
        <v>301</v>
      </c>
      <c r="X7" t="s">
        <v>283</v>
      </c>
      <c r="Y7" s="3" t="s">
        <v>62</v>
      </c>
      <c r="Z7" s="3" t="s">
        <v>62</v>
      </c>
      <c r="AA7" s="3" t="s">
        <v>284</v>
      </c>
      <c r="AB7" s="3" t="s">
        <v>29</v>
      </c>
      <c r="AC7" t="s">
        <v>204</v>
      </c>
      <c r="AD7" s="3" t="s">
        <v>29</v>
      </c>
      <c r="AE7" s="3" t="s">
        <v>303</v>
      </c>
      <c r="AF7" t="s">
        <v>283</v>
      </c>
      <c r="AG7" s="3" t="s">
        <v>285</v>
      </c>
      <c r="AH7" s="3" t="s">
        <v>29</v>
      </c>
      <c r="AI7" s="3" t="s">
        <v>62</v>
      </c>
      <c r="AJ7" s="3" t="s">
        <v>62</v>
      </c>
      <c r="AK7" t="s">
        <v>204</v>
      </c>
      <c r="AL7" s="3" t="s">
        <v>29</v>
      </c>
      <c r="AM7" s="3" t="s">
        <v>174</v>
      </c>
      <c r="AQ7" s="3" t="s">
        <v>282</v>
      </c>
    </row>
  </sheetData>
  <phoneticPr fontId="2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K4"/>
  <sheetViews>
    <sheetView workbookViewId="0">
      <selection activeCell="C31" sqref="C31"/>
    </sheetView>
  </sheetViews>
  <sheetFormatPr defaultRowHeight="14.25"/>
  <sheetData>
    <row r="1" spans="1:11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32</v>
      </c>
      <c r="I1" t="s">
        <v>33</v>
      </c>
      <c r="J1" t="s">
        <v>45</v>
      </c>
      <c r="K1" s="1" t="s">
        <v>17</v>
      </c>
    </row>
    <row r="2" spans="1:11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10</v>
      </c>
      <c r="J2" t="s">
        <v>46</v>
      </c>
      <c r="K2" t="s">
        <v>10</v>
      </c>
    </row>
    <row r="3" spans="1:11">
      <c r="A3" s="2" t="s">
        <v>309</v>
      </c>
      <c r="B3" s="2" t="s">
        <v>310</v>
      </c>
      <c r="C3" s="2" t="s">
        <v>311</v>
      </c>
      <c r="D3" s="2" t="s">
        <v>312</v>
      </c>
      <c r="E3" s="2" t="s">
        <v>313</v>
      </c>
      <c r="F3" s="2" t="s">
        <v>314</v>
      </c>
      <c r="G3" s="2" t="s">
        <v>315</v>
      </c>
      <c r="H3" s="3" t="s">
        <v>316</v>
      </c>
      <c r="I3" s="3" t="s">
        <v>317</v>
      </c>
      <c r="J3" s="3" t="s">
        <v>318</v>
      </c>
      <c r="K3" s="2" t="s">
        <v>319</v>
      </c>
    </row>
    <row r="4" spans="1:11">
      <c r="A4" s="3" t="s">
        <v>320</v>
      </c>
      <c r="B4" s="3" t="s">
        <v>321</v>
      </c>
      <c r="C4" s="3" t="s">
        <v>322</v>
      </c>
      <c r="D4" s="3"/>
      <c r="E4" s="3" t="s">
        <v>323</v>
      </c>
      <c r="F4" s="4">
        <f ca="1">NOW()</f>
        <v>44033.681508333335</v>
      </c>
      <c r="G4" s="3" t="s">
        <v>324</v>
      </c>
      <c r="H4" s="3" t="s">
        <v>323</v>
      </c>
      <c r="I4" t="s">
        <v>325</v>
      </c>
      <c r="J4" t="s">
        <v>326</v>
      </c>
      <c r="K4" s="3" t="s">
        <v>327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103"/>
  <sheetViews>
    <sheetView workbookViewId="0">
      <selection activeCell="D29" sqref="D29"/>
    </sheetView>
  </sheetViews>
  <sheetFormatPr defaultRowHeight="14.25"/>
  <cols>
    <col min="11" max="11" width="6.625" customWidth="1"/>
    <col min="19" max="19" width="14.375" customWidth="1"/>
  </cols>
  <sheetData>
    <row r="1" spans="1:36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33</v>
      </c>
      <c r="I1" t="s">
        <v>328</v>
      </c>
      <c r="J1" t="s">
        <v>329</v>
      </c>
      <c r="K1" t="s">
        <v>330</v>
      </c>
      <c r="L1" t="s">
        <v>45</v>
      </c>
      <c r="M1" s="1" t="s">
        <v>17</v>
      </c>
    </row>
    <row r="2" spans="1:36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10</v>
      </c>
      <c r="J2" t="s">
        <v>10</v>
      </c>
      <c r="K2" t="s">
        <v>331</v>
      </c>
      <c r="L2" t="s">
        <v>46</v>
      </c>
      <c r="M2" t="s">
        <v>10</v>
      </c>
    </row>
    <row r="3" spans="1:36">
      <c r="A3" s="2" t="s">
        <v>332</v>
      </c>
      <c r="B3" s="2" t="s">
        <v>333</v>
      </c>
      <c r="C3" s="2" t="s">
        <v>311</v>
      </c>
      <c r="D3" s="2" t="s">
        <v>334</v>
      </c>
      <c r="E3" s="2" t="s">
        <v>335</v>
      </c>
      <c r="F3" s="2" t="s">
        <v>336</v>
      </c>
      <c r="G3" s="2" t="s">
        <v>337</v>
      </c>
      <c r="H3" s="3" t="s">
        <v>338</v>
      </c>
      <c r="I3" s="3" t="s">
        <v>339</v>
      </c>
      <c r="J3" s="3" t="s">
        <v>340</v>
      </c>
      <c r="K3" s="3" t="s">
        <v>341</v>
      </c>
      <c r="L3" s="3" t="s">
        <v>342</v>
      </c>
      <c r="M3" s="2" t="s">
        <v>319</v>
      </c>
    </row>
    <row r="4" spans="1:36">
      <c r="A4" s="3" t="s">
        <v>343</v>
      </c>
      <c r="B4" s="3" t="s">
        <v>344</v>
      </c>
      <c r="C4" s="3" t="s">
        <v>345</v>
      </c>
      <c r="D4" s="3"/>
      <c r="E4" s="3" t="s">
        <v>346</v>
      </c>
      <c r="F4" s="4">
        <f ca="1">NOW()</f>
        <v>44033.681508333335</v>
      </c>
      <c r="G4" s="3" t="s">
        <v>347</v>
      </c>
      <c r="H4" t="s">
        <v>348</v>
      </c>
      <c r="I4" s="3" t="s">
        <v>349</v>
      </c>
      <c r="J4" s="3" t="s">
        <v>350</v>
      </c>
      <c r="K4" s="3" t="s">
        <v>351</v>
      </c>
      <c r="L4" t="s">
        <v>352</v>
      </c>
      <c r="M4" s="3" t="s">
        <v>353</v>
      </c>
    </row>
    <row r="5" spans="1:36">
      <c r="A5" s="3"/>
      <c r="B5" s="3"/>
      <c r="C5" s="3"/>
      <c r="D5" s="3"/>
      <c r="E5" s="3"/>
      <c r="F5" s="4"/>
      <c r="G5" s="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T5" s="3"/>
      <c r="U5" s="3"/>
      <c r="Z5" s="3"/>
      <c r="AF5" s="3"/>
      <c r="AJ5" s="3"/>
    </row>
    <row r="6" spans="1:36">
      <c r="A6" s="3"/>
      <c r="B6" s="3"/>
      <c r="C6" s="3"/>
      <c r="D6" s="3"/>
      <c r="E6" s="3"/>
      <c r="F6" s="4"/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T6" s="3"/>
      <c r="U6" s="3"/>
      <c r="Z6" s="3"/>
      <c r="AF6" s="3"/>
      <c r="AJ6" s="3"/>
    </row>
    <row r="7" spans="1:36">
      <c r="A7" s="3"/>
      <c r="B7" s="3"/>
      <c r="C7" s="3"/>
      <c r="D7" s="3"/>
      <c r="E7" s="3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T7" s="3"/>
      <c r="U7" s="3"/>
      <c r="Z7" s="3"/>
      <c r="AF7" s="3"/>
      <c r="AJ7" s="3"/>
    </row>
    <row r="8" spans="1:36">
      <c r="A8" s="3"/>
      <c r="B8" s="3"/>
      <c r="C8" s="3"/>
      <c r="D8" s="3"/>
      <c r="E8" s="3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T8" s="3"/>
      <c r="U8" s="3"/>
      <c r="Z8" s="3"/>
      <c r="AF8" s="3"/>
      <c r="AJ8" s="3"/>
    </row>
    <row r="9" spans="1:36">
      <c r="A9" s="3"/>
      <c r="B9" s="3"/>
      <c r="C9" s="3"/>
      <c r="D9" s="3"/>
      <c r="E9" s="3"/>
      <c r="F9" s="4"/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T9" s="3"/>
      <c r="U9" s="3"/>
      <c r="Z9" s="3"/>
      <c r="AF9" s="3"/>
      <c r="AJ9" s="3"/>
    </row>
    <row r="10" spans="1:36">
      <c r="A10" s="3"/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T10" s="3"/>
      <c r="U10" s="3"/>
      <c r="Z10" s="3"/>
      <c r="AF10" s="3"/>
      <c r="AJ10" s="3"/>
    </row>
    <row r="11" spans="1:36">
      <c r="A11" s="3"/>
      <c r="B11" s="3"/>
      <c r="C11" s="3"/>
      <c r="D11" s="3"/>
      <c r="E11" s="3"/>
      <c r="F11" s="4"/>
      <c r="G11" s="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T11" s="3"/>
      <c r="U11" s="3"/>
      <c r="Z11" s="3"/>
      <c r="AF11" s="3"/>
      <c r="AJ11" s="3"/>
    </row>
    <row r="12" spans="1:36">
      <c r="A12" s="3"/>
      <c r="B12" s="3"/>
      <c r="C12" s="3"/>
      <c r="D12" s="3"/>
      <c r="E12" s="3"/>
      <c r="F12" s="4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T12" s="3"/>
      <c r="U12" s="3"/>
      <c r="Z12" s="3"/>
      <c r="AF12" s="3"/>
      <c r="AJ12" s="3"/>
    </row>
    <row r="13" spans="1:36">
      <c r="A13" s="3"/>
      <c r="B13" s="3"/>
      <c r="C13" s="3"/>
      <c r="D13" s="3"/>
      <c r="E13" s="3"/>
      <c r="F13" s="4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T13" s="3"/>
      <c r="U13" s="3"/>
      <c r="Z13" s="3"/>
      <c r="AF13" s="3"/>
      <c r="AJ13" s="3"/>
    </row>
    <row r="14" spans="1:36">
      <c r="A14" s="3"/>
      <c r="B14" s="3"/>
      <c r="C14" s="3"/>
      <c r="D14" s="3"/>
      <c r="E14" s="3"/>
      <c r="F14" s="4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T14" s="3"/>
      <c r="U14" s="3"/>
      <c r="Z14" s="3"/>
      <c r="AF14" s="3"/>
      <c r="AJ14" s="3"/>
    </row>
    <row r="15" spans="1:36">
      <c r="A15" s="3"/>
      <c r="B15" s="3"/>
      <c r="C15" s="3"/>
      <c r="D15" s="3"/>
      <c r="E15" s="3"/>
      <c r="F15" s="4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T15" s="3"/>
      <c r="U15" s="3"/>
      <c r="Z15" s="3"/>
      <c r="AF15" s="3"/>
      <c r="AJ15" s="3"/>
    </row>
    <row r="16" spans="1:36">
      <c r="A16" s="3"/>
      <c r="B16" s="3"/>
      <c r="C16" s="3"/>
      <c r="D16" s="3"/>
      <c r="E16" s="3"/>
      <c r="F16" s="4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T16" s="3"/>
      <c r="U16" s="3"/>
      <c r="Z16" s="3"/>
      <c r="AF16" s="3"/>
      <c r="AJ16" s="3"/>
    </row>
    <row r="17" spans="1:36">
      <c r="A17" s="3"/>
      <c r="B17" s="3"/>
      <c r="C17" s="3"/>
      <c r="D17" s="3"/>
      <c r="E17" s="3"/>
      <c r="F17" s="4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T17" s="3"/>
      <c r="U17" s="3"/>
      <c r="Z17" s="3"/>
      <c r="AF17" s="3"/>
      <c r="AJ17" s="3"/>
    </row>
    <row r="18" spans="1:36">
      <c r="A18" s="3"/>
      <c r="B18" s="3"/>
      <c r="C18" s="3"/>
      <c r="D18" s="3"/>
      <c r="E18" s="3"/>
      <c r="F18" s="4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T18" s="3"/>
      <c r="U18" s="3"/>
      <c r="Z18" s="3"/>
      <c r="AF18" s="3"/>
      <c r="AJ18" s="3"/>
    </row>
    <row r="19" spans="1:36">
      <c r="A19" s="3"/>
      <c r="B19" s="3"/>
      <c r="C19" s="3"/>
      <c r="D19" s="3"/>
      <c r="E19" s="3"/>
      <c r="F19" s="4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T19" s="3"/>
      <c r="U19" s="3"/>
      <c r="Z19" s="3"/>
      <c r="AF19" s="3"/>
      <c r="AJ19" s="3"/>
    </row>
    <row r="20" spans="1:36">
      <c r="A20" s="3"/>
      <c r="B20" s="3"/>
      <c r="C20" s="3"/>
      <c r="D20" s="3"/>
      <c r="E20" s="3"/>
      <c r="F20" s="4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T20" s="3"/>
      <c r="U20" s="3"/>
      <c r="Z20" s="3"/>
      <c r="AF20" s="3"/>
      <c r="AJ20" s="3"/>
    </row>
    <row r="21" spans="1:36">
      <c r="A21" s="3"/>
      <c r="B21" s="3"/>
      <c r="C21" s="3"/>
      <c r="D21" s="3"/>
      <c r="E21" s="3"/>
      <c r="F21" s="4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T21" s="3"/>
      <c r="U21" s="3"/>
      <c r="Z21" s="3"/>
      <c r="AF21" s="3"/>
      <c r="AJ21" s="3"/>
    </row>
    <row r="22" spans="1:36">
      <c r="A22" s="3"/>
      <c r="B22" s="3"/>
      <c r="C22" s="3"/>
      <c r="D22" s="3"/>
      <c r="E22" s="3"/>
      <c r="F22" s="4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T22" s="3"/>
      <c r="U22" s="3"/>
      <c r="Z22" s="3"/>
      <c r="AF22" s="3"/>
      <c r="AJ22" s="3"/>
    </row>
    <row r="23" spans="1:36">
      <c r="A23" s="3"/>
      <c r="B23" s="3"/>
      <c r="C23" s="3"/>
      <c r="D23" s="3"/>
      <c r="E23" s="3"/>
      <c r="F23" s="4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T23" s="3"/>
      <c r="U23" s="3"/>
      <c r="Z23" s="3"/>
      <c r="AF23" s="3"/>
      <c r="AJ23" s="3"/>
    </row>
    <row r="24" spans="1:36">
      <c r="A24" s="3"/>
      <c r="B24" s="3"/>
      <c r="C24" s="3"/>
      <c r="D24" s="3"/>
      <c r="E24" s="3"/>
      <c r="F24" s="4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T24" s="3"/>
      <c r="U24" s="3"/>
      <c r="Z24" s="3"/>
      <c r="AF24" s="3"/>
      <c r="AJ24" s="3"/>
    </row>
    <row r="25" spans="1:36">
      <c r="A25" s="3"/>
      <c r="B25" s="3"/>
      <c r="C25" s="3"/>
      <c r="D25" s="3"/>
      <c r="E25" s="3"/>
      <c r="F25" s="4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T25" s="3"/>
      <c r="U25" s="3"/>
      <c r="Z25" s="3"/>
      <c r="AF25" s="3"/>
      <c r="AJ25" s="3"/>
    </row>
    <row r="26" spans="1:36">
      <c r="A26" s="3"/>
      <c r="B26" s="3"/>
      <c r="C26" s="3"/>
      <c r="D26" s="3"/>
      <c r="E26" s="3"/>
      <c r="F26" s="4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T26" s="3"/>
      <c r="U26" s="3"/>
      <c r="Z26" s="3"/>
      <c r="AF26" s="3"/>
      <c r="AJ26" s="3"/>
    </row>
    <row r="27" spans="1:36">
      <c r="A27" s="3"/>
      <c r="B27" s="3"/>
      <c r="C27" s="3"/>
      <c r="D27" s="3"/>
      <c r="E27" s="3"/>
      <c r="F27" s="4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T27" s="3"/>
      <c r="U27" s="3"/>
      <c r="Z27" s="3"/>
      <c r="AF27" s="3"/>
      <c r="AJ27" s="3"/>
    </row>
    <row r="28" spans="1:36">
      <c r="A28" s="3"/>
      <c r="B28" s="3"/>
      <c r="C28" s="3"/>
      <c r="D28" s="3"/>
      <c r="E28" s="3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T28" s="3"/>
      <c r="U28" s="3"/>
      <c r="Z28" s="3"/>
      <c r="AF28" s="3"/>
      <c r="AJ28" s="3"/>
    </row>
    <row r="29" spans="1:36">
      <c r="A29" s="3"/>
      <c r="B29" s="3"/>
      <c r="C29" s="3"/>
      <c r="D29" s="3"/>
      <c r="E29" s="3"/>
      <c r="F29" s="4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T29" s="3"/>
      <c r="U29" s="3"/>
      <c r="Z29" s="3"/>
      <c r="AF29" s="3"/>
      <c r="AJ29" s="3"/>
    </row>
    <row r="30" spans="1:36">
      <c r="A30" s="3"/>
      <c r="B30" s="3"/>
      <c r="C30" s="3"/>
      <c r="D30" s="3"/>
      <c r="E30" s="3"/>
      <c r="F30" s="4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T30" s="3"/>
      <c r="U30" s="3"/>
      <c r="Z30" s="3"/>
      <c r="AF30" s="3"/>
      <c r="AJ30" s="3"/>
    </row>
    <row r="31" spans="1:36">
      <c r="A31" s="3"/>
      <c r="B31" s="3"/>
      <c r="C31" s="3"/>
      <c r="D31" s="3"/>
      <c r="E31" s="3"/>
      <c r="F31" s="4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T31" s="3"/>
      <c r="U31" s="3"/>
      <c r="Z31" s="3"/>
      <c r="AF31" s="3"/>
      <c r="AJ31" s="3"/>
    </row>
    <row r="32" spans="1:36">
      <c r="A32" s="3"/>
      <c r="B32" s="3"/>
      <c r="C32" s="3"/>
      <c r="D32" s="3"/>
      <c r="E32" s="3"/>
      <c r="F32" s="4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T32" s="3"/>
      <c r="U32" s="3"/>
      <c r="Z32" s="3"/>
      <c r="AF32" s="3"/>
      <c r="AJ32" s="3"/>
    </row>
    <row r="33" spans="1:36">
      <c r="A33" s="3"/>
      <c r="B33" s="3"/>
      <c r="C33" s="3"/>
      <c r="D33" s="3"/>
      <c r="E33" s="3"/>
      <c r="F33" s="4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T33" s="3"/>
      <c r="U33" s="3"/>
      <c r="Z33" s="3"/>
      <c r="AF33" s="3"/>
      <c r="AJ33" s="3"/>
    </row>
    <row r="34" spans="1:36">
      <c r="A34" s="3"/>
      <c r="B34" s="3"/>
      <c r="C34" s="3"/>
      <c r="D34" s="3"/>
      <c r="E34" s="3"/>
      <c r="F34" s="4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T34" s="3"/>
      <c r="U34" s="3"/>
      <c r="Z34" s="3"/>
      <c r="AF34" s="3"/>
      <c r="AJ34" s="3"/>
    </row>
    <row r="35" spans="1:36">
      <c r="A35" s="3"/>
      <c r="B35" s="3"/>
      <c r="C35" s="3"/>
      <c r="D35" s="3"/>
      <c r="E35" s="3"/>
      <c r="F35" s="4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T35" s="3"/>
      <c r="U35" s="3"/>
      <c r="Z35" s="3"/>
      <c r="AF35" s="3"/>
      <c r="AJ35" s="3"/>
    </row>
    <row r="36" spans="1:36">
      <c r="A36" s="3"/>
      <c r="B36" s="3"/>
      <c r="C36" s="3"/>
      <c r="D36" s="3"/>
      <c r="E36" s="3"/>
      <c r="F36" s="4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T36" s="3"/>
      <c r="U36" s="3"/>
      <c r="Z36" s="3"/>
      <c r="AF36" s="3"/>
      <c r="AJ36" s="3"/>
    </row>
    <row r="37" spans="1:36">
      <c r="A37" s="3"/>
      <c r="B37" s="3"/>
      <c r="C37" s="3"/>
      <c r="D37" s="3"/>
      <c r="E37" s="3"/>
      <c r="F37" s="4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T37" s="3"/>
      <c r="U37" s="3"/>
      <c r="Z37" s="3"/>
      <c r="AF37" s="3"/>
      <c r="AJ37" s="3"/>
    </row>
    <row r="38" spans="1:36">
      <c r="A38" s="3"/>
      <c r="B38" s="3"/>
      <c r="C38" s="3"/>
      <c r="D38" s="3"/>
      <c r="E38" s="3"/>
      <c r="F38" s="4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T38" s="3"/>
      <c r="U38" s="3"/>
      <c r="Z38" s="3"/>
      <c r="AF38" s="3"/>
      <c r="AJ38" s="3"/>
    </row>
    <row r="39" spans="1:36">
      <c r="A39" s="3"/>
      <c r="B39" s="3"/>
      <c r="C39" s="3"/>
      <c r="D39" s="3"/>
      <c r="E39" s="3"/>
      <c r="F39" s="4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T39" s="3"/>
      <c r="U39" s="3"/>
      <c r="Z39" s="3"/>
      <c r="AF39" s="3"/>
      <c r="AJ39" s="3"/>
    </row>
    <row r="40" spans="1:36">
      <c r="A40" s="3"/>
      <c r="B40" s="3"/>
      <c r="C40" s="3"/>
      <c r="D40" s="3"/>
      <c r="E40" s="3"/>
      <c r="F40" s="4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T40" s="3"/>
      <c r="U40" s="3"/>
      <c r="Z40" s="3"/>
      <c r="AF40" s="3"/>
      <c r="AJ40" s="3"/>
    </row>
    <row r="41" spans="1:36">
      <c r="A41" s="3"/>
      <c r="B41" s="3"/>
      <c r="C41" s="3"/>
      <c r="D41" s="3"/>
      <c r="E41" s="3"/>
      <c r="F41" s="4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T41" s="3"/>
      <c r="U41" s="3"/>
      <c r="Z41" s="3"/>
      <c r="AF41" s="3"/>
      <c r="AJ41" s="3"/>
    </row>
    <row r="42" spans="1:36">
      <c r="A42" s="3"/>
      <c r="B42" s="3"/>
      <c r="C42" s="3"/>
      <c r="D42" s="3"/>
      <c r="E42" s="3"/>
      <c r="F42" s="4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T42" s="3"/>
      <c r="U42" s="3"/>
      <c r="Z42" s="3"/>
      <c r="AF42" s="3"/>
      <c r="AJ42" s="3"/>
    </row>
    <row r="43" spans="1:36">
      <c r="A43" s="3"/>
      <c r="B43" s="3"/>
      <c r="C43" s="3"/>
      <c r="D43" s="3"/>
      <c r="E43" s="3"/>
      <c r="F43" s="4"/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T43" s="3"/>
      <c r="U43" s="3"/>
      <c r="Z43" s="3"/>
      <c r="AF43" s="3"/>
      <c r="AJ43" s="3"/>
    </row>
    <row r="44" spans="1:36">
      <c r="A44" s="3"/>
      <c r="B44" s="3"/>
      <c r="C44" s="3"/>
      <c r="D44" s="3"/>
      <c r="E44" s="3"/>
      <c r="F44" s="4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T44" s="3"/>
      <c r="U44" s="3"/>
      <c r="Z44" s="3"/>
      <c r="AF44" s="3"/>
      <c r="AJ44" s="3"/>
    </row>
    <row r="45" spans="1:36">
      <c r="A45" s="3"/>
      <c r="B45" s="3"/>
      <c r="C45" s="3"/>
      <c r="D45" s="3"/>
      <c r="E45" s="3"/>
      <c r="F45" s="4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T45" s="3"/>
      <c r="U45" s="3"/>
      <c r="Z45" s="3"/>
      <c r="AF45" s="3"/>
      <c r="AJ45" s="3"/>
    </row>
    <row r="46" spans="1:36">
      <c r="A46" s="3"/>
      <c r="B46" s="3"/>
      <c r="C46" s="3"/>
      <c r="D46" s="3"/>
      <c r="E46" s="3"/>
      <c r="F46" s="4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T46" s="3"/>
      <c r="U46" s="3"/>
      <c r="Z46" s="3"/>
      <c r="AF46" s="3"/>
      <c r="AJ46" s="3"/>
    </row>
    <row r="47" spans="1:36">
      <c r="A47" s="3"/>
      <c r="B47" s="3"/>
      <c r="C47" s="3"/>
      <c r="D47" s="3"/>
      <c r="E47" s="3"/>
      <c r="F47" s="4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T47" s="3"/>
      <c r="U47" s="3"/>
      <c r="Z47" s="3"/>
      <c r="AF47" s="3"/>
      <c r="AJ47" s="3"/>
    </row>
    <row r="48" spans="1:36">
      <c r="A48" s="3"/>
      <c r="B48" s="3"/>
      <c r="C48" s="3"/>
      <c r="D48" s="3"/>
      <c r="E48" s="3"/>
      <c r="F48" s="4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T48" s="3"/>
      <c r="U48" s="3"/>
      <c r="Z48" s="3"/>
      <c r="AF48" s="3"/>
      <c r="AJ48" s="3"/>
    </row>
    <row r="49" spans="1:36">
      <c r="A49" s="3"/>
      <c r="B49" s="3"/>
      <c r="C49" s="3"/>
      <c r="D49" s="3"/>
      <c r="E49" s="3"/>
      <c r="F49" s="4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T49" s="3"/>
      <c r="U49" s="3"/>
      <c r="Z49" s="3"/>
      <c r="AF49" s="3"/>
      <c r="AJ49" s="3"/>
    </row>
    <row r="50" spans="1:36">
      <c r="A50" s="3"/>
      <c r="B50" s="3"/>
      <c r="C50" s="3"/>
      <c r="D50" s="3"/>
      <c r="E50" s="3"/>
      <c r="F50" s="4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T50" s="3"/>
      <c r="U50" s="3"/>
      <c r="Z50" s="3"/>
      <c r="AF50" s="3"/>
      <c r="AJ50" s="3"/>
    </row>
    <row r="51" spans="1:36">
      <c r="A51" s="3"/>
      <c r="B51" s="3"/>
      <c r="C51" s="3"/>
      <c r="D51" s="3"/>
      <c r="E51" s="3"/>
      <c r="F51" s="4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T51" s="3"/>
      <c r="U51" s="3"/>
      <c r="Z51" s="3"/>
      <c r="AF51" s="3"/>
      <c r="AJ51" s="3"/>
    </row>
    <row r="52" spans="1:36">
      <c r="A52" s="3"/>
      <c r="B52" s="3"/>
      <c r="C52" s="3"/>
      <c r="D52" s="3"/>
      <c r="E52" s="3"/>
      <c r="F52" s="4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T52" s="3"/>
      <c r="U52" s="3"/>
      <c r="Z52" s="3"/>
      <c r="AF52" s="3"/>
      <c r="AJ52" s="3"/>
    </row>
    <row r="53" spans="1:36">
      <c r="A53" s="3"/>
      <c r="B53" s="3"/>
      <c r="C53" s="3"/>
      <c r="D53" s="3"/>
      <c r="E53" s="3"/>
      <c r="F53" s="4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T53" s="3"/>
      <c r="U53" s="3"/>
      <c r="Z53" s="3"/>
      <c r="AF53" s="3"/>
      <c r="AJ53" s="3"/>
    </row>
    <row r="54" spans="1:36">
      <c r="A54" s="3"/>
      <c r="B54" s="3"/>
      <c r="C54" s="3"/>
      <c r="D54" s="3"/>
      <c r="E54" s="3"/>
      <c r="F54" s="4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T54" s="3"/>
      <c r="U54" s="3"/>
      <c r="Z54" s="3"/>
      <c r="AF54" s="3"/>
      <c r="AJ54" s="3"/>
    </row>
    <row r="55" spans="1:36">
      <c r="A55" s="3"/>
      <c r="B55" s="3"/>
      <c r="C55" s="3"/>
      <c r="D55" s="3"/>
      <c r="E55" s="3"/>
      <c r="F55" s="4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T55" s="3"/>
      <c r="U55" s="3"/>
      <c r="Z55" s="3"/>
      <c r="AF55" s="3"/>
      <c r="AJ55" s="3"/>
    </row>
    <row r="56" spans="1:36">
      <c r="A56" s="3"/>
      <c r="B56" s="3"/>
      <c r="C56" s="3"/>
      <c r="D56" s="3"/>
      <c r="E56" s="3"/>
      <c r="F56" s="4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T56" s="3"/>
      <c r="U56" s="3"/>
      <c r="Z56" s="3"/>
      <c r="AF56" s="3"/>
      <c r="AJ56" s="3"/>
    </row>
    <row r="57" spans="1:36">
      <c r="A57" s="3"/>
      <c r="B57" s="3"/>
      <c r="C57" s="3"/>
      <c r="D57" s="3"/>
      <c r="E57" s="3"/>
      <c r="F57" s="4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T57" s="3"/>
      <c r="U57" s="3"/>
      <c r="Z57" s="3"/>
      <c r="AF57" s="3"/>
      <c r="AJ57" s="3"/>
    </row>
    <row r="58" spans="1:36">
      <c r="A58" s="3"/>
      <c r="B58" s="3"/>
      <c r="C58" s="3"/>
      <c r="D58" s="3"/>
      <c r="E58" s="3"/>
      <c r="F58" s="4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T58" s="3"/>
      <c r="U58" s="3"/>
      <c r="Z58" s="3"/>
      <c r="AF58" s="3"/>
      <c r="AJ58" s="3"/>
    </row>
    <row r="59" spans="1:36">
      <c r="A59" s="3"/>
      <c r="B59" s="3"/>
      <c r="C59" s="3"/>
      <c r="D59" s="3"/>
      <c r="E59" s="3"/>
      <c r="F59" s="4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T59" s="3"/>
      <c r="U59" s="3"/>
      <c r="Z59" s="3"/>
      <c r="AF59" s="3"/>
      <c r="AJ59" s="3"/>
    </row>
    <row r="60" spans="1:36">
      <c r="A60" s="3"/>
      <c r="B60" s="3"/>
      <c r="C60" s="3"/>
      <c r="D60" s="3"/>
      <c r="E60" s="3"/>
      <c r="F60" s="4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T60" s="3"/>
      <c r="U60" s="3"/>
      <c r="Z60" s="3"/>
      <c r="AF60" s="3"/>
      <c r="AJ60" s="3"/>
    </row>
    <row r="61" spans="1:36">
      <c r="A61" s="3"/>
      <c r="B61" s="3"/>
      <c r="C61" s="3"/>
      <c r="D61" s="3"/>
      <c r="E61" s="3"/>
      <c r="F61" s="4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T61" s="3"/>
      <c r="U61" s="3"/>
      <c r="Z61" s="3"/>
      <c r="AF61" s="3"/>
      <c r="AJ61" s="3"/>
    </row>
    <row r="62" spans="1:36">
      <c r="A62" s="3"/>
      <c r="B62" s="3"/>
      <c r="C62" s="3"/>
      <c r="D62" s="3"/>
      <c r="E62" s="3"/>
      <c r="F62" s="4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T62" s="3"/>
      <c r="U62" s="3"/>
      <c r="Z62" s="3"/>
      <c r="AF62" s="3"/>
      <c r="AJ62" s="3"/>
    </row>
    <row r="63" spans="1:36">
      <c r="A63" s="3"/>
      <c r="B63" s="3"/>
      <c r="C63" s="3"/>
      <c r="D63" s="3"/>
      <c r="E63" s="3"/>
      <c r="F63" s="4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T63" s="3"/>
      <c r="U63" s="3"/>
      <c r="Z63" s="3"/>
      <c r="AF63" s="3"/>
      <c r="AJ63" s="3"/>
    </row>
    <row r="64" spans="1:36">
      <c r="A64" s="3"/>
      <c r="B64" s="3"/>
      <c r="C64" s="3"/>
      <c r="D64" s="3"/>
      <c r="E64" s="3"/>
      <c r="F64" s="4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T64" s="3"/>
      <c r="U64" s="3"/>
      <c r="Z64" s="3"/>
      <c r="AF64" s="3"/>
      <c r="AJ64" s="3"/>
    </row>
    <row r="65" spans="1:36">
      <c r="A65" s="3"/>
      <c r="B65" s="3"/>
      <c r="C65" s="3"/>
      <c r="D65" s="3"/>
      <c r="E65" s="3"/>
      <c r="F65" s="4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T65" s="3"/>
      <c r="U65" s="3"/>
      <c r="Z65" s="3"/>
      <c r="AF65" s="3"/>
      <c r="AJ65" s="3"/>
    </row>
    <row r="66" spans="1:36">
      <c r="A66" s="3"/>
      <c r="B66" s="3"/>
      <c r="C66" s="3"/>
      <c r="D66" s="3"/>
      <c r="E66" s="3"/>
      <c r="F66" s="4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T66" s="3"/>
      <c r="U66" s="3"/>
      <c r="Z66" s="3"/>
      <c r="AF66" s="3"/>
      <c r="AJ66" s="3"/>
    </row>
    <row r="67" spans="1:36">
      <c r="A67" s="3"/>
      <c r="B67" s="3"/>
      <c r="C67" s="3"/>
      <c r="D67" s="3"/>
      <c r="E67" s="3"/>
      <c r="F67" s="4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T67" s="3"/>
      <c r="U67" s="3"/>
      <c r="Z67" s="3"/>
      <c r="AF67" s="3"/>
      <c r="AJ67" s="3"/>
    </row>
    <row r="68" spans="1:36">
      <c r="A68" s="3"/>
      <c r="B68" s="3"/>
      <c r="C68" s="3"/>
      <c r="D68" s="3"/>
      <c r="E68" s="3"/>
      <c r="F68" s="4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T68" s="3"/>
      <c r="U68" s="3"/>
      <c r="Z68" s="3"/>
      <c r="AF68" s="3"/>
      <c r="AJ68" s="3"/>
    </row>
    <row r="69" spans="1:36">
      <c r="A69" s="3"/>
      <c r="B69" s="3"/>
      <c r="C69" s="3"/>
      <c r="D69" s="3"/>
      <c r="E69" s="3"/>
      <c r="F69" s="4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T69" s="3"/>
      <c r="U69" s="3"/>
      <c r="Z69" s="3"/>
      <c r="AF69" s="3"/>
      <c r="AJ69" s="3"/>
    </row>
    <row r="70" spans="1:36">
      <c r="A70" s="3"/>
      <c r="B70" s="3"/>
      <c r="C70" s="3"/>
      <c r="D70" s="3"/>
      <c r="E70" s="3"/>
      <c r="F70" s="4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T70" s="3"/>
      <c r="U70" s="3"/>
      <c r="Z70" s="3"/>
      <c r="AF70" s="3"/>
      <c r="AJ70" s="3"/>
    </row>
    <row r="71" spans="1:36">
      <c r="A71" s="3"/>
      <c r="B71" s="3"/>
      <c r="C71" s="3"/>
      <c r="D71" s="3"/>
      <c r="E71" s="3"/>
      <c r="F71" s="4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T71" s="3"/>
      <c r="U71" s="3"/>
      <c r="Z71" s="3"/>
      <c r="AF71" s="3"/>
      <c r="AJ71" s="3"/>
    </row>
    <row r="72" spans="1:36">
      <c r="A72" s="3"/>
      <c r="B72" s="3"/>
      <c r="C72" s="3"/>
      <c r="D72" s="3"/>
      <c r="E72" s="3"/>
      <c r="F72" s="4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T72" s="3"/>
      <c r="U72" s="3"/>
      <c r="Z72" s="3"/>
      <c r="AF72" s="3"/>
      <c r="AJ72" s="3"/>
    </row>
    <row r="73" spans="1:36">
      <c r="A73" s="3"/>
      <c r="B73" s="3"/>
      <c r="C73" s="3"/>
      <c r="D73" s="3"/>
      <c r="E73" s="3"/>
      <c r="F73" s="4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T73" s="3"/>
      <c r="U73" s="3"/>
      <c r="Z73" s="3"/>
      <c r="AF73" s="3"/>
      <c r="AJ73" s="3"/>
    </row>
    <row r="74" spans="1:36">
      <c r="A74" s="3"/>
      <c r="B74" s="3"/>
      <c r="C74" s="3"/>
      <c r="D74" s="3"/>
      <c r="E74" s="3"/>
      <c r="F74" s="4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T74" s="3"/>
      <c r="U74" s="3"/>
      <c r="Z74" s="3"/>
      <c r="AF74" s="3"/>
      <c r="AJ74" s="3"/>
    </row>
    <row r="75" spans="1:36">
      <c r="A75" s="3"/>
      <c r="B75" s="3"/>
      <c r="C75" s="3"/>
      <c r="D75" s="3"/>
      <c r="E75" s="3"/>
      <c r="F75" s="4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T75" s="3"/>
      <c r="U75" s="3"/>
      <c r="Z75" s="3"/>
      <c r="AF75" s="3"/>
      <c r="AJ75" s="3"/>
    </row>
    <row r="76" spans="1:36">
      <c r="A76" s="3"/>
      <c r="B76" s="3"/>
      <c r="C76" s="3"/>
      <c r="D76" s="3"/>
      <c r="E76" s="3"/>
      <c r="F76" s="4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T76" s="3"/>
      <c r="U76" s="3"/>
      <c r="Z76" s="3"/>
      <c r="AF76" s="3"/>
      <c r="AJ76" s="3"/>
    </row>
    <row r="77" spans="1:36">
      <c r="A77" s="3"/>
      <c r="B77" s="3"/>
      <c r="C77" s="3"/>
      <c r="D77" s="3"/>
      <c r="E77" s="3"/>
      <c r="F77" s="4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T77" s="3"/>
      <c r="U77" s="3"/>
      <c r="Z77" s="3"/>
      <c r="AF77" s="3"/>
      <c r="AJ77" s="3"/>
    </row>
    <row r="78" spans="1:36">
      <c r="A78" s="3"/>
      <c r="B78" s="3"/>
      <c r="C78" s="3"/>
      <c r="D78" s="3"/>
      <c r="E78" s="3"/>
      <c r="F78" s="4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T78" s="3"/>
      <c r="U78" s="3"/>
      <c r="Z78" s="3"/>
      <c r="AF78" s="3"/>
      <c r="AJ78" s="3"/>
    </row>
    <row r="79" spans="1:36">
      <c r="A79" s="3"/>
      <c r="B79" s="3"/>
      <c r="C79" s="3"/>
      <c r="D79" s="3"/>
      <c r="E79" s="3"/>
      <c r="F79" s="4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T79" s="3"/>
      <c r="U79" s="3"/>
      <c r="Z79" s="3"/>
      <c r="AF79" s="3"/>
      <c r="AJ79" s="3"/>
    </row>
    <row r="80" spans="1:36">
      <c r="A80" s="3"/>
      <c r="B80" s="3"/>
      <c r="C80" s="3"/>
      <c r="D80" s="3"/>
      <c r="E80" s="3"/>
      <c r="F80" s="4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T80" s="3"/>
      <c r="U80" s="3"/>
      <c r="Z80" s="3"/>
      <c r="AF80" s="3"/>
      <c r="AJ80" s="3"/>
    </row>
    <row r="81" spans="1:36">
      <c r="A81" s="3"/>
      <c r="B81" s="3"/>
      <c r="C81" s="3"/>
      <c r="D81" s="3"/>
      <c r="E81" s="3"/>
      <c r="F81" s="4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T81" s="3"/>
      <c r="U81" s="3"/>
      <c r="Z81" s="3"/>
      <c r="AF81" s="3"/>
      <c r="AJ81" s="3"/>
    </row>
    <row r="82" spans="1:36">
      <c r="A82" s="3"/>
      <c r="B82" s="3"/>
      <c r="C82" s="3"/>
      <c r="D82" s="3"/>
      <c r="E82" s="3"/>
      <c r="F82" s="4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T82" s="3"/>
      <c r="U82" s="3"/>
      <c r="Z82" s="3"/>
      <c r="AF82" s="3"/>
      <c r="AJ82" s="3"/>
    </row>
    <row r="83" spans="1:36">
      <c r="A83" s="3"/>
      <c r="B83" s="3"/>
      <c r="C83" s="3"/>
      <c r="D83" s="3"/>
      <c r="E83" s="3"/>
      <c r="F83" s="4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T83" s="3"/>
      <c r="U83" s="3"/>
      <c r="Z83" s="3"/>
      <c r="AF83" s="3"/>
      <c r="AJ83" s="3"/>
    </row>
    <row r="84" spans="1:36">
      <c r="A84" s="3"/>
      <c r="B84" s="3"/>
      <c r="C84" s="3"/>
      <c r="D84" s="3"/>
      <c r="E84" s="3"/>
      <c r="F84" s="4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T84" s="3"/>
      <c r="U84" s="3"/>
      <c r="Z84" s="3"/>
      <c r="AF84" s="3"/>
      <c r="AJ84" s="3"/>
    </row>
    <row r="85" spans="1:36">
      <c r="A85" s="3"/>
      <c r="B85" s="3"/>
      <c r="C85" s="3"/>
      <c r="D85" s="3"/>
      <c r="E85" s="3"/>
      <c r="F85" s="4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T85" s="3"/>
      <c r="U85" s="3"/>
      <c r="Z85" s="3"/>
      <c r="AF85" s="3"/>
      <c r="AJ85" s="3"/>
    </row>
    <row r="86" spans="1:36">
      <c r="A86" s="3"/>
      <c r="B86" s="3"/>
      <c r="C86" s="3"/>
      <c r="D86" s="3"/>
      <c r="E86" s="3"/>
      <c r="F86" s="4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T86" s="3"/>
      <c r="U86" s="3"/>
      <c r="Z86" s="3"/>
      <c r="AF86" s="3"/>
      <c r="AJ86" s="3"/>
    </row>
    <row r="87" spans="1:36">
      <c r="A87" s="3"/>
      <c r="B87" s="3"/>
      <c r="C87" s="3"/>
      <c r="D87" s="3"/>
      <c r="E87" s="3"/>
      <c r="F87" s="4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T87" s="3"/>
      <c r="U87" s="3"/>
      <c r="Z87" s="3"/>
      <c r="AF87" s="3"/>
      <c r="AJ87" s="3"/>
    </row>
    <row r="88" spans="1:36">
      <c r="A88" s="3"/>
      <c r="B88" s="3"/>
      <c r="C88" s="3"/>
      <c r="D88" s="3"/>
      <c r="E88" s="3"/>
      <c r="F88" s="4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T88" s="3"/>
      <c r="U88" s="3"/>
      <c r="Z88" s="3"/>
      <c r="AF88" s="3"/>
      <c r="AJ88" s="3"/>
    </row>
    <row r="89" spans="1:36">
      <c r="A89" s="3"/>
      <c r="B89" s="3"/>
      <c r="C89" s="3"/>
      <c r="D89" s="3"/>
      <c r="E89" s="3"/>
      <c r="F89" s="4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T89" s="3"/>
      <c r="U89" s="3"/>
      <c r="Z89" s="3"/>
      <c r="AF89" s="3"/>
      <c r="AJ89" s="3"/>
    </row>
    <row r="90" spans="1:36">
      <c r="A90" s="3"/>
      <c r="B90" s="3"/>
      <c r="C90" s="3"/>
      <c r="D90" s="3"/>
      <c r="E90" s="3"/>
      <c r="F90" s="4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T90" s="3"/>
      <c r="U90" s="3"/>
      <c r="Z90" s="3"/>
      <c r="AF90" s="3"/>
      <c r="AJ90" s="3"/>
    </row>
    <row r="91" spans="1:36">
      <c r="A91" s="3"/>
      <c r="B91" s="3"/>
      <c r="C91" s="3"/>
      <c r="D91" s="3"/>
      <c r="E91" s="3"/>
      <c r="F91" s="4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T91" s="3"/>
      <c r="U91" s="3"/>
      <c r="Z91" s="3"/>
      <c r="AF91" s="3"/>
      <c r="AJ91" s="3"/>
    </row>
    <row r="92" spans="1:36">
      <c r="A92" s="3"/>
      <c r="B92" s="3"/>
      <c r="C92" s="3"/>
      <c r="D92" s="3"/>
      <c r="E92" s="3"/>
      <c r="F92" s="4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T92" s="3"/>
      <c r="U92" s="3"/>
      <c r="Z92" s="3"/>
      <c r="AF92" s="3"/>
      <c r="AJ92" s="3"/>
    </row>
    <row r="93" spans="1:36">
      <c r="A93" s="3"/>
      <c r="B93" s="3"/>
      <c r="C93" s="3"/>
      <c r="D93" s="3"/>
      <c r="E93" s="3"/>
      <c r="F93" s="4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T93" s="3"/>
      <c r="U93" s="3"/>
      <c r="Z93" s="3"/>
      <c r="AF93" s="3"/>
      <c r="AJ93" s="3"/>
    </row>
    <row r="94" spans="1:36">
      <c r="A94" s="3"/>
      <c r="B94" s="3"/>
      <c r="C94" s="3"/>
      <c r="D94" s="3"/>
      <c r="E94" s="3"/>
      <c r="F94" s="4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T94" s="3"/>
      <c r="U94" s="3"/>
      <c r="Z94" s="3"/>
      <c r="AF94" s="3"/>
      <c r="AJ94" s="3"/>
    </row>
    <row r="95" spans="1:36">
      <c r="A95" s="3"/>
      <c r="B95" s="3"/>
      <c r="C95" s="3"/>
      <c r="D95" s="3"/>
      <c r="E95" s="3"/>
      <c r="F95" s="4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T95" s="3"/>
      <c r="U95" s="3"/>
      <c r="Z95" s="3"/>
      <c r="AF95" s="3"/>
      <c r="AJ95" s="3"/>
    </row>
    <row r="96" spans="1:36">
      <c r="A96" s="3"/>
      <c r="B96" s="3"/>
      <c r="C96" s="3"/>
      <c r="D96" s="3"/>
      <c r="E96" s="3"/>
      <c r="F96" s="4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T96" s="3"/>
      <c r="U96" s="3"/>
      <c r="Z96" s="3"/>
      <c r="AF96" s="3"/>
      <c r="AJ96" s="3"/>
    </row>
    <row r="97" spans="1:36">
      <c r="A97" s="3"/>
      <c r="B97" s="3"/>
      <c r="C97" s="3"/>
      <c r="D97" s="3"/>
      <c r="E97" s="3"/>
      <c r="F97" s="4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T97" s="3"/>
      <c r="U97" s="3"/>
      <c r="Z97" s="3"/>
      <c r="AF97" s="3"/>
      <c r="AJ97" s="3"/>
    </row>
    <row r="98" spans="1:36">
      <c r="A98" s="3"/>
      <c r="B98" s="3"/>
      <c r="C98" s="3"/>
      <c r="D98" s="3"/>
      <c r="E98" s="3"/>
      <c r="F98" s="4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T98" s="3"/>
      <c r="U98" s="3"/>
      <c r="Z98" s="3"/>
      <c r="AF98" s="3"/>
      <c r="AJ98" s="3"/>
    </row>
    <row r="99" spans="1:36">
      <c r="A99" s="3"/>
      <c r="B99" s="3"/>
      <c r="C99" s="3"/>
      <c r="D99" s="3"/>
      <c r="E99" s="3"/>
      <c r="F99" s="4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T99" s="3"/>
      <c r="U99" s="3"/>
      <c r="Z99" s="3"/>
      <c r="AF99" s="3"/>
      <c r="AJ99" s="3"/>
    </row>
    <row r="100" spans="1:36">
      <c r="A100" s="3"/>
      <c r="B100" s="3"/>
      <c r="C100" s="3"/>
      <c r="D100" s="3"/>
      <c r="E100" s="3"/>
      <c r="F100" s="4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T100" s="3"/>
      <c r="U100" s="3"/>
      <c r="Z100" s="3"/>
      <c r="AF100" s="3"/>
      <c r="AJ100" s="3"/>
    </row>
    <row r="101" spans="1:36">
      <c r="A101" s="3"/>
      <c r="B101" s="3"/>
      <c r="C101" s="3"/>
      <c r="D101" s="3"/>
      <c r="E101" s="3"/>
      <c r="F101" s="4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T101" s="3"/>
      <c r="U101" s="3"/>
      <c r="Z101" s="3"/>
      <c r="AF101" s="3"/>
      <c r="AJ101" s="3"/>
    </row>
    <row r="102" spans="1:36">
      <c r="A102" s="3"/>
      <c r="B102" s="3"/>
      <c r="C102" s="3"/>
      <c r="D102" s="3"/>
      <c r="E102" s="3"/>
      <c r="F102" s="4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T102" s="3"/>
      <c r="U102" s="3"/>
      <c r="Z102" s="3"/>
      <c r="AF102" s="3"/>
      <c r="AJ102" s="3"/>
    </row>
    <row r="103" spans="1:36">
      <c r="A103" s="3"/>
      <c r="B103" s="3"/>
      <c r="C103" s="3"/>
      <c r="D103" s="3"/>
      <c r="E103" s="3"/>
      <c r="F103" s="4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T103" s="3"/>
      <c r="U103" s="3"/>
      <c r="Z103" s="3"/>
      <c r="AF103" s="3"/>
      <c r="AJ103" s="3"/>
    </row>
  </sheetData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I5"/>
  <sheetViews>
    <sheetView workbookViewId="0">
      <selection activeCell="P35" sqref="P35"/>
    </sheetView>
  </sheetViews>
  <sheetFormatPr defaultRowHeight="14.25"/>
  <cols>
    <col min="6" max="6" width="17" customWidth="1"/>
    <col min="7" max="7" width="13" customWidth="1"/>
    <col min="21" max="21" width="9.5" bestFit="1" customWidth="1"/>
  </cols>
  <sheetData>
    <row r="1" spans="1:35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33</v>
      </c>
      <c r="I1" t="s">
        <v>354</v>
      </c>
      <c r="J1" t="s">
        <v>355</v>
      </c>
      <c r="K1" t="s">
        <v>356</v>
      </c>
      <c r="L1" t="s">
        <v>357</v>
      </c>
      <c r="M1" t="s">
        <v>358</v>
      </c>
      <c r="N1" t="s">
        <v>45</v>
      </c>
      <c r="O1" t="s">
        <v>359</v>
      </c>
      <c r="P1" t="s">
        <v>360</v>
      </c>
      <c r="Q1" t="s">
        <v>361</v>
      </c>
      <c r="R1" t="s">
        <v>329</v>
      </c>
      <c r="S1" t="s">
        <v>362</v>
      </c>
      <c r="T1" t="s">
        <v>363</v>
      </c>
      <c r="U1" t="s">
        <v>364</v>
      </c>
      <c r="V1" t="s">
        <v>365</v>
      </c>
      <c r="W1" t="s">
        <v>366</v>
      </c>
      <c r="X1" t="s">
        <v>367</v>
      </c>
      <c r="Y1" t="s">
        <v>368</v>
      </c>
      <c r="Z1" t="s">
        <v>369</v>
      </c>
      <c r="AA1" t="s">
        <v>370</v>
      </c>
      <c r="AB1" t="s">
        <v>371</v>
      </c>
      <c r="AC1" t="s">
        <v>372</v>
      </c>
      <c r="AD1" t="s">
        <v>328</v>
      </c>
      <c r="AE1" t="s">
        <v>373</v>
      </c>
      <c r="AF1" t="s">
        <v>374</v>
      </c>
      <c r="AG1" t="s">
        <v>375</v>
      </c>
      <c r="AH1" s="1" t="s">
        <v>17</v>
      </c>
      <c r="AI1" t="s">
        <v>376</v>
      </c>
    </row>
    <row r="2" spans="1:35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10</v>
      </c>
      <c r="J2" t="s">
        <v>10</v>
      </c>
      <c r="K2" t="s">
        <v>377</v>
      </c>
      <c r="L2" t="s">
        <v>13</v>
      </c>
      <c r="M2" t="s">
        <v>39</v>
      </c>
      <c r="N2" t="s">
        <v>46</v>
      </c>
      <c r="O2" t="s">
        <v>117</v>
      </c>
      <c r="P2" t="s">
        <v>378</v>
      </c>
      <c r="Q2" t="s">
        <v>10</v>
      </c>
      <c r="R2" t="s">
        <v>10</v>
      </c>
      <c r="S2" t="s">
        <v>10</v>
      </c>
      <c r="T2" t="s">
        <v>13</v>
      </c>
      <c r="U2" t="s">
        <v>117</v>
      </c>
      <c r="V2" t="s">
        <v>10</v>
      </c>
      <c r="W2" t="s">
        <v>50</v>
      </c>
      <c r="X2" t="s">
        <v>13</v>
      </c>
      <c r="Y2" t="s">
        <v>117</v>
      </c>
      <c r="Z2" t="s">
        <v>117</v>
      </c>
      <c r="AA2" t="s">
        <v>10</v>
      </c>
      <c r="AB2" t="s">
        <v>378</v>
      </c>
      <c r="AC2" t="s">
        <v>378</v>
      </c>
      <c r="AD2" t="s">
        <v>10</v>
      </c>
      <c r="AE2" t="s">
        <v>50</v>
      </c>
      <c r="AF2" t="s">
        <v>41</v>
      </c>
      <c r="AG2" t="s">
        <v>41</v>
      </c>
      <c r="AH2" t="s">
        <v>10</v>
      </c>
      <c r="AI2" t="s">
        <v>379</v>
      </c>
    </row>
    <row r="3" spans="1:35">
      <c r="A3" s="2" t="s">
        <v>332</v>
      </c>
      <c r="B3" s="2" t="s">
        <v>333</v>
      </c>
      <c r="C3" s="2" t="s">
        <v>311</v>
      </c>
      <c r="D3" s="2" t="s">
        <v>334</v>
      </c>
      <c r="E3" s="2" t="s">
        <v>335</v>
      </c>
      <c r="F3" s="2" t="s">
        <v>336</v>
      </c>
      <c r="G3" s="2" t="s">
        <v>337</v>
      </c>
      <c r="H3" s="3" t="s">
        <v>380</v>
      </c>
      <c r="I3" s="3" t="s">
        <v>381</v>
      </c>
      <c r="J3" s="3" t="s">
        <v>382</v>
      </c>
      <c r="K3" s="3" t="s">
        <v>383</v>
      </c>
      <c r="L3" s="3" t="s">
        <v>384</v>
      </c>
      <c r="M3" s="3" t="s">
        <v>385</v>
      </c>
      <c r="N3" s="3" t="s">
        <v>386</v>
      </c>
      <c r="O3" s="3" t="s">
        <v>387</v>
      </c>
      <c r="P3" s="3" t="s">
        <v>388</v>
      </c>
      <c r="Q3" s="3" t="s">
        <v>389</v>
      </c>
      <c r="R3" s="3" t="s">
        <v>390</v>
      </c>
      <c r="S3" s="3" t="s">
        <v>391</v>
      </c>
      <c r="T3" s="3" t="s">
        <v>392</v>
      </c>
      <c r="U3" s="3" t="s">
        <v>393</v>
      </c>
      <c r="V3" s="3" t="s">
        <v>394</v>
      </c>
      <c r="W3" s="3" t="s">
        <v>395</v>
      </c>
      <c r="X3" s="3" t="s">
        <v>396</v>
      </c>
      <c r="Y3" s="3" t="s">
        <v>397</v>
      </c>
      <c r="Z3" s="3" t="s">
        <v>398</v>
      </c>
      <c r="AA3" s="3" t="s">
        <v>399</v>
      </c>
      <c r="AB3" s="3" t="s">
        <v>400</v>
      </c>
      <c r="AC3" s="3" t="s">
        <v>401</v>
      </c>
      <c r="AD3" s="3" t="s">
        <v>402</v>
      </c>
      <c r="AE3" s="3" t="s">
        <v>403</v>
      </c>
      <c r="AF3" s="3" t="s">
        <v>404</v>
      </c>
      <c r="AG3" s="3" t="s">
        <v>405</v>
      </c>
      <c r="AH3" s="2" t="s">
        <v>319</v>
      </c>
      <c r="AI3" s="7" t="s">
        <v>406</v>
      </c>
    </row>
    <row r="4" spans="1:35">
      <c r="A4" s="3" t="s">
        <v>343</v>
      </c>
      <c r="B4" s="3" t="s">
        <v>344</v>
      </c>
      <c r="C4" s="3" t="s">
        <v>407</v>
      </c>
      <c r="D4" s="3"/>
      <c r="E4" s="3" t="s">
        <v>408</v>
      </c>
      <c r="F4" s="4">
        <f ca="1">NOW()</f>
        <v>44033.681508333335</v>
      </c>
      <c r="G4" s="3" t="s">
        <v>409</v>
      </c>
      <c r="H4" s="3" t="s">
        <v>348</v>
      </c>
      <c r="I4" s="3" t="s">
        <v>351</v>
      </c>
      <c r="J4" s="3" t="s">
        <v>410</v>
      </c>
      <c r="K4" s="3" t="s">
        <v>411</v>
      </c>
      <c r="L4" s="3" t="s">
        <v>351</v>
      </c>
      <c r="M4" s="3" t="s">
        <v>412</v>
      </c>
      <c r="N4" s="3" t="s">
        <v>352</v>
      </c>
      <c r="O4" s="3" t="s">
        <v>413</v>
      </c>
      <c r="P4" s="3" t="s">
        <v>414</v>
      </c>
      <c r="Q4" t="s">
        <v>415</v>
      </c>
      <c r="R4" t="s">
        <v>416</v>
      </c>
      <c r="S4" t="s">
        <v>352</v>
      </c>
      <c r="T4" s="3" t="s">
        <v>417</v>
      </c>
      <c r="U4" s="3" t="s">
        <v>418</v>
      </c>
      <c r="V4" s="3" t="s">
        <v>417</v>
      </c>
      <c r="W4" s="3" t="s">
        <v>419</v>
      </c>
      <c r="X4" s="3" t="s">
        <v>420</v>
      </c>
      <c r="Y4" s="3" t="s">
        <v>418</v>
      </c>
      <c r="Z4" s="3" t="s">
        <v>418</v>
      </c>
      <c r="AA4" s="3" t="s">
        <v>421</v>
      </c>
      <c r="AB4" s="3" t="s">
        <v>421</v>
      </c>
      <c r="AC4" s="3" t="s">
        <v>421</v>
      </c>
      <c r="AD4" t="s">
        <v>422</v>
      </c>
      <c r="AE4" s="3" t="s">
        <v>423</v>
      </c>
      <c r="AF4" s="3" t="s">
        <v>424</v>
      </c>
      <c r="AG4" s="3" t="s">
        <v>421</v>
      </c>
      <c r="AH4" s="3" t="s">
        <v>353</v>
      </c>
      <c r="AI4" s="3" t="s">
        <v>425</v>
      </c>
    </row>
    <row r="5" spans="1:35">
      <c r="J5" s="3"/>
      <c r="N5" s="3"/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Q4"/>
  <sheetViews>
    <sheetView workbookViewId="0">
      <selection activeCell="P8" sqref="P8"/>
    </sheetView>
  </sheetViews>
  <sheetFormatPr defaultRowHeight="14.25"/>
  <sheetData>
    <row r="1" spans="1:17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121</v>
      </c>
      <c r="I1" t="s">
        <v>32</v>
      </c>
      <c r="J1" t="s">
        <v>288</v>
      </c>
      <c r="K1" t="s">
        <v>224</v>
      </c>
      <c r="L1" t="s">
        <v>289</v>
      </c>
      <c r="M1" t="s">
        <v>230</v>
      </c>
      <c r="N1" t="s">
        <v>33</v>
      </c>
      <c r="O1" t="s">
        <v>45</v>
      </c>
      <c r="P1" t="s">
        <v>15</v>
      </c>
      <c r="Q1" t="s">
        <v>16</v>
      </c>
    </row>
    <row r="2" spans="1:17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13</v>
      </c>
      <c r="L2" t="s">
        <v>13</v>
      </c>
      <c r="M2" t="s">
        <v>13</v>
      </c>
      <c r="N2" t="s">
        <v>10</v>
      </c>
      <c r="O2" t="s">
        <v>46</v>
      </c>
      <c r="P2" t="s">
        <v>13</v>
      </c>
      <c r="Q2" t="s">
        <v>13</v>
      </c>
    </row>
    <row r="3" spans="1:17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2" t="s">
        <v>133</v>
      </c>
      <c r="I3" s="3" t="s">
        <v>29</v>
      </c>
      <c r="J3" s="3" t="s">
        <v>298</v>
      </c>
      <c r="K3" s="3" t="s">
        <v>297</v>
      </c>
      <c r="L3" s="3" t="s">
        <v>296</v>
      </c>
      <c r="M3" s="3" t="s">
        <v>295</v>
      </c>
      <c r="N3" s="3" t="s">
        <v>291</v>
      </c>
      <c r="O3" s="3" t="s">
        <v>292</v>
      </c>
      <c r="P3" s="3" t="s">
        <v>293</v>
      </c>
      <c r="Q3" s="3" t="s">
        <v>294</v>
      </c>
    </row>
    <row r="4" spans="1:17">
      <c r="A4" s="3" t="s">
        <v>26</v>
      </c>
      <c r="B4" s="3" t="s">
        <v>27</v>
      </c>
      <c r="C4" s="3" t="s">
        <v>299</v>
      </c>
      <c r="D4" s="3"/>
      <c r="E4" s="3" t="s">
        <v>28</v>
      </c>
      <c r="F4" s="4">
        <f ca="1">NOW()</f>
        <v>44033.681508333335</v>
      </c>
      <c r="G4" s="3" t="s">
        <v>31</v>
      </c>
      <c r="H4" s="3" t="s">
        <v>267</v>
      </c>
      <c r="I4" s="3" t="s">
        <v>31</v>
      </c>
      <c r="J4" s="3" t="s">
        <v>29</v>
      </c>
      <c r="K4" s="3" t="s">
        <v>29</v>
      </c>
      <c r="L4" s="3" t="s">
        <v>277</v>
      </c>
      <c r="M4" s="3" t="s">
        <v>300</v>
      </c>
      <c r="N4" t="s">
        <v>283</v>
      </c>
      <c r="O4" t="s">
        <v>290</v>
      </c>
      <c r="P4" s="3" t="s">
        <v>62</v>
      </c>
      <c r="Q4" s="3" t="s">
        <v>62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N11"/>
  <sheetViews>
    <sheetView workbookViewId="0">
      <selection activeCell="L15" sqref="L15"/>
    </sheetView>
  </sheetViews>
  <sheetFormatPr defaultRowHeight="14.25"/>
  <sheetData>
    <row r="1" spans="1:14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121</v>
      </c>
      <c r="I1" t="s">
        <v>206</v>
      </c>
      <c r="J1" t="s">
        <v>207</v>
      </c>
      <c r="K1" t="s">
        <v>208</v>
      </c>
      <c r="L1" t="s">
        <v>158</v>
      </c>
      <c r="M1" s="1" t="s">
        <v>17</v>
      </c>
      <c r="N1" t="s">
        <v>426</v>
      </c>
    </row>
    <row r="2" spans="1:14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8</v>
      </c>
      <c r="L2" t="s">
        <v>10</v>
      </c>
      <c r="M2" t="s">
        <v>10</v>
      </c>
      <c r="N2" t="s">
        <v>427</v>
      </c>
    </row>
    <row r="3" spans="1:14">
      <c r="A3" s="2" t="s">
        <v>428</v>
      </c>
      <c r="B3" s="2" t="s">
        <v>429</v>
      </c>
      <c r="C3" s="2" t="s">
        <v>311</v>
      </c>
      <c r="D3" s="2" t="s">
        <v>334</v>
      </c>
      <c r="E3" s="2" t="s">
        <v>335</v>
      </c>
      <c r="F3" s="2" t="s">
        <v>336</v>
      </c>
      <c r="G3" s="2" t="s">
        <v>337</v>
      </c>
      <c r="H3" s="2" t="s">
        <v>430</v>
      </c>
      <c r="I3" s="2" t="s">
        <v>431</v>
      </c>
      <c r="J3" s="3" t="s">
        <v>432</v>
      </c>
      <c r="K3" s="2" t="s">
        <v>433</v>
      </c>
      <c r="L3" s="3" t="s">
        <v>434</v>
      </c>
      <c r="M3" s="2" t="s">
        <v>319</v>
      </c>
      <c r="N3" s="7" t="s">
        <v>406</v>
      </c>
    </row>
    <row r="4" spans="1:14">
      <c r="A4" s="3" t="s">
        <v>343</v>
      </c>
      <c r="B4" s="3" t="s">
        <v>344</v>
      </c>
      <c r="C4" s="3" t="s">
        <v>435</v>
      </c>
      <c r="D4" s="3" t="s">
        <v>436</v>
      </c>
      <c r="E4" s="3" t="s">
        <v>408</v>
      </c>
      <c r="F4" s="4">
        <f t="shared" ref="F4:F10" ca="1" si="0">NOW()</f>
        <v>44033.681508333335</v>
      </c>
      <c r="G4" s="3" t="s">
        <v>437</v>
      </c>
      <c r="H4" s="3" t="s">
        <v>436</v>
      </c>
      <c r="I4" s="3" t="s">
        <v>438</v>
      </c>
      <c r="J4" t="s">
        <v>575</v>
      </c>
      <c r="K4" s="3" t="s">
        <v>277</v>
      </c>
      <c r="M4" s="3" t="s">
        <v>353</v>
      </c>
      <c r="N4" s="3" t="s">
        <v>439</v>
      </c>
    </row>
    <row r="5" spans="1:14">
      <c r="A5" s="3" t="s">
        <v>142</v>
      </c>
      <c r="B5" s="3" t="s">
        <v>143</v>
      </c>
      <c r="C5" s="3" t="s">
        <v>217</v>
      </c>
      <c r="D5" s="3" t="s">
        <v>169</v>
      </c>
      <c r="E5" s="3" t="s">
        <v>145</v>
      </c>
      <c r="F5" s="4">
        <f t="shared" ca="1" si="0"/>
        <v>44033.681508333335</v>
      </c>
      <c r="G5" s="3" t="s">
        <v>146</v>
      </c>
      <c r="H5" s="3" t="s">
        <v>169</v>
      </c>
      <c r="I5" s="3" t="s">
        <v>200</v>
      </c>
      <c r="J5" t="s">
        <v>575</v>
      </c>
      <c r="K5" s="3" t="s">
        <v>538</v>
      </c>
      <c r="M5" s="3" t="s">
        <v>152</v>
      </c>
      <c r="N5" s="3" t="s">
        <v>439</v>
      </c>
    </row>
    <row r="6" spans="1:14">
      <c r="A6" s="3" t="s">
        <v>142</v>
      </c>
      <c r="B6" s="3" t="s">
        <v>143</v>
      </c>
      <c r="C6" s="3" t="s">
        <v>217</v>
      </c>
      <c r="D6" s="3" t="s">
        <v>169</v>
      </c>
      <c r="E6" s="3" t="s">
        <v>145</v>
      </c>
      <c r="F6" s="4">
        <f t="shared" ca="1" si="0"/>
        <v>44033.681508333335</v>
      </c>
      <c r="G6" s="3" t="s">
        <v>146</v>
      </c>
      <c r="H6" s="3" t="s">
        <v>169</v>
      </c>
      <c r="I6" s="3" t="s">
        <v>200</v>
      </c>
      <c r="J6" t="s">
        <v>575</v>
      </c>
      <c r="K6" s="3" t="s">
        <v>538</v>
      </c>
      <c r="M6" s="3" t="s">
        <v>152</v>
      </c>
      <c r="N6" s="3" t="s">
        <v>439</v>
      </c>
    </row>
    <row r="7" spans="1:14">
      <c r="A7" s="3" t="s">
        <v>142</v>
      </c>
      <c r="B7" s="3" t="s">
        <v>143</v>
      </c>
      <c r="C7" s="3" t="s">
        <v>217</v>
      </c>
      <c r="D7" s="3" t="s">
        <v>169</v>
      </c>
      <c r="E7" s="3" t="s">
        <v>145</v>
      </c>
      <c r="F7" s="4">
        <f t="shared" ca="1" si="0"/>
        <v>44033.681508333335</v>
      </c>
      <c r="G7" s="3" t="s">
        <v>146</v>
      </c>
      <c r="H7" s="3" t="s">
        <v>169</v>
      </c>
      <c r="I7" s="3" t="s">
        <v>200</v>
      </c>
      <c r="J7" t="s">
        <v>575</v>
      </c>
      <c r="K7" s="3" t="s">
        <v>538</v>
      </c>
      <c r="M7" s="3" t="s">
        <v>152</v>
      </c>
      <c r="N7" s="3" t="s">
        <v>439</v>
      </c>
    </row>
    <row r="8" spans="1:14">
      <c r="A8" s="3" t="s">
        <v>142</v>
      </c>
      <c r="B8" s="3" t="s">
        <v>143</v>
      </c>
      <c r="C8" s="3" t="s">
        <v>217</v>
      </c>
      <c r="D8" s="3" t="s">
        <v>169</v>
      </c>
      <c r="E8" s="3" t="s">
        <v>145</v>
      </c>
      <c r="F8" s="4">
        <f t="shared" ca="1" si="0"/>
        <v>44033.681508333335</v>
      </c>
      <c r="G8" s="3" t="s">
        <v>146</v>
      </c>
      <c r="H8" s="3" t="s">
        <v>169</v>
      </c>
      <c r="I8" s="3" t="s">
        <v>200</v>
      </c>
      <c r="J8" t="s">
        <v>575</v>
      </c>
      <c r="K8" s="3" t="s">
        <v>277</v>
      </c>
      <c r="M8" s="3" t="s">
        <v>152</v>
      </c>
      <c r="N8" s="3" t="s">
        <v>439</v>
      </c>
    </row>
    <row r="9" spans="1:14">
      <c r="A9" s="3" t="s">
        <v>142</v>
      </c>
      <c r="B9" s="3" t="s">
        <v>143</v>
      </c>
      <c r="C9" s="3" t="s">
        <v>217</v>
      </c>
      <c r="D9" s="3" t="s">
        <v>169</v>
      </c>
      <c r="E9" s="3" t="s">
        <v>145</v>
      </c>
      <c r="F9" s="4">
        <f t="shared" ca="1" si="0"/>
        <v>44033.681508333335</v>
      </c>
      <c r="G9" s="3" t="s">
        <v>146</v>
      </c>
      <c r="H9" s="3" t="s">
        <v>169</v>
      </c>
      <c r="I9" s="3" t="s">
        <v>200</v>
      </c>
      <c r="J9" t="s">
        <v>575</v>
      </c>
      <c r="K9" s="3" t="s">
        <v>538</v>
      </c>
      <c r="M9" s="3" t="s">
        <v>152</v>
      </c>
      <c r="N9" s="3" t="s">
        <v>439</v>
      </c>
    </row>
    <row r="10" spans="1:14">
      <c r="A10" s="3" t="s">
        <v>142</v>
      </c>
      <c r="B10" s="3" t="s">
        <v>143</v>
      </c>
      <c r="C10" s="3" t="s">
        <v>217</v>
      </c>
      <c r="D10" s="3" t="s">
        <v>169</v>
      </c>
      <c r="E10" s="3" t="s">
        <v>145</v>
      </c>
      <c r="F10" s="4">
        <f t="shared" ca="1" si="0"/>
        <v>44033.681508333335</v>
      </c>
      <c r="G10" s="3" t="s">
        <v>146</v>
      </c>
      <c r="H10" s="3" t="s">
        <v>169</v>
      </c>
      <c r="I10" s="3" t="s">
        <v>200</v>
      </c>
      <c r="J10" t="s">
        <v>575</v>
      </c>
      <c r="K10" s="3" t="s">
        <v>538</v>
      </c>
      <c r="M10" s="3" t="s">
        <v>152</v>
      </c>
      <c r="N10" s="3" t="s">
        <v>439</v>
      </c>
    </row>
    <row r="11" spans="1:14">
      <c r="A11" s="3"/>
      <c r="B11" s="3"/>
      <c r="C11" s="3"/>
      <c r="D11" s="3"/>
      <c r="E11" s="3"/>
      <c r="F11" s="4"/>
      <c r="G11" s="3"/>
      <c r="H11" s="3"/>
      <c r="I11" s="3"/>
      <c r="K11" s="3"/>
      <c r="M11" s="3"/>
      <c r="N11" s="3"/>
    </row>
  </sheetData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P4"/>
  <sheetViews>
    <sheetView workbookViewId="0">
      <selection activeCell="N25" sqref="N25"/>
    </sheetView>
  </sheetViews>
  <sheetFormatPr defaultRowHeight="14.25"/>
  <cols>
    <col min="6" max="6" width="16.5" bestFit="1" customWidth="1"/>
  </cols>
  <sheetData>
    <row r="1" spans="1:16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  <c r="M1" t="s">
        <v>15</v>
      </c>
      <c r="N1" t="s">
        <v>16</v>
      </c>
      <c r="O1" s="1" t="s">
        <v>17</v>
      </c>
      <c r="P1" t="s">
        <v>126</v>
      </c>
    </row>
    <row r="2" spans="1:16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13</v>
      </c>
      <c r="K2" t="s">
        <v>13</v>
      </c>
      <c r="L2" t="s">
        <v>14</v>
      </c>
      <c r="M2" t="s">
        <v>13</v>
      </c>
      <c r="N2" t="s">
        <v>13</v>
      </c>
      <c r="O2" t="s">
        <v>10</v>
      </c>
      <c r="P2" t="s">
        <v>127</v>
      </c>
    </row>
    <row r="3" spans="1:16" s="7" customFormat="1">
      <c r="A3" s="2" t="s">
        <v>18</v>
      </c>
      <c r="B3" s="2" t="s">
        <v>19</v>
      </c>
      <c r="C3" s="2" t="s">
        <v>128</v>
      </c>
      <c r="D3" s="2" t="s">
        <v>129</v>
      </c>
      <c r="E3" s="2" t="s">
        <v>130</v>
      </c>
      <c r="F3" s="2" t="s">
        <v>131</v>
      </c>
      <c r="G3" s="2" t="s">
        <v>132</v>
      </c>
      <c r="H3" s="2" t="s">
        <v>133</v>
      </c>
      <c r="I3" s="2" t="s">
        <v>134</v>
      </c>
      <c r="J3" s="2" t="s">
        <v>135</v>
      </c>
      <c r="K3" s="2" t="s">
        <v>136</v>
      </c>
      <c r="L3" s="2" t="s">
        <v>137</v>
      </c>
      <c r="M3" s="2" t="s">
        <v>138</v>
      </c>
      <c r="N3" s="2" t="s">
        <v>139</v>
      </c>
      <c r="O3" s="2" t="s">
        <v>140</v>
      </c>
      <c r="P3" s="7" t="s">
        <v>141</v>
      </c>
    </row>
    <row r="4" spans="1:16">
      <c r="A4" s="3" t="s">
        <v>142</v>
      </c>
      <c r="B4" s="3" t="s">
        <v>143</v>
      </c>
      <c r="C4" s="3" t="s">
        <v>144</v>
      </c>
      <c r="D4" s="3" t="s">
        <v>29</v>
      </c>
      <c r="E4" s="3" t="s">
        <v>145</v>
      </c>
      <c r="F4" s="4">
        <f ca="1">NOW()</f>
        <v>44033.681508333335</v>
      </c>
      <c r="G4" s="3" t="s">
        <v>146</v>
      </c>
      <c r="H4" s="3" t="s">
        <v>29</v>
      </c>
      <c r="I4" s="3" t="s">
        <v>147</v>
      </c>
      <c r="J4" s="3" t="s">
        <v>62</v>
      </c>
      <c r="K4" s="3" t="s">
        <v>148</v>
      </c>
      <c r="L4" t="s">
        <v>149</v>
      </c>
      <c r="M4" s="3" t="s">
        <v>150</v>
      </c>
      <c r="N4" s="3" t="s">
        <v>151</v>
      </c>
      <c r="O4" s="3" t="s">
        <v>152</v>
      </c>
      <c r="P4" s="3" t="s">
        <v>153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N5"/>
  <sheetViews>
    <sheetView workbookViewId="0">
      <selection activeCell="K9" sqref="K9"/>
    </sheetView>
  </sheetViews>
  <sheetFormatPr defaultRowHeight="14.25"/>
  <cols>
    <col min="6" max="6" width="15.5" customWidth="1"/>
  </cols>
  <sheetData>
    <row r="1" spans="1:14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121</v>
      </c>
      <c r="I1" t="s">
        <v>206</v>
      </c>
      <c r="J1" t="s">
        <v>207</v>
      </c>
      <c r="K1" t="s">
        <v>210</v>
      </c>
      <c r="L1" t="s">
        <v>158</v>
      </c>
      <c r="M1" s="1" t="s">
        <v>17</v>
      </c>
      <c r="N1" t="s">
        <v>510</v>
      </c>
    </row>
    <row r="2" spans="1:14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8</v>
      </c>
      <c r="L2" t="s">
        <v>10</v>
      </c>
      <c r="M2" t="s">
        <v>10</v>
      </c>
      <c r="N2" t="s">
        <v>525</v>
      </c>
    </row>
    <row r="3" spans="1:14">
      <c r="A3" s="2" t="s">
        <v>524</v>
      </c>
      <c r="B3" s="2" t="s">
        <v>523</v>
      </c>
      <c r="C3" s="2" t="s">
        <v>522</v>
      </c>
      <c r="D3" s="2" t="s">
        <v>521</v>
      </c>
      <c r="E3" s="2" t="s">
        <v>520</v>
      </c>
      <c r="F3" s="2" t="s">
        <v>519</v>
      </c>
      <c r="G3" s="2" t="s">
        <v>518</v>
      </c>
      <c r="H3" s="2" t="s">
        <v>517</v>
      </c>
      <c r="I3" s="2" t="s">
        <v>516</v>
      </c>
      <c r="J3" s="3" t="s">
        <v>515</v>
      </c>
      <c r="K3" s="2" t="s">
        <v>514</v>
      </c>
      <c r="L3" s="3" t="s">
        <v>513</v>
      </c>
      <c r="M3" s="2" t="s">
        <v>512</v>
      </c>
      <c r="N3" s="7" t="s">
        <v>511</v>
      </c>
    </row>
    <row r="4" spans="1:14">
      <c r="A4" s="3" t="s">
        <v>509</v>
      </c>
      <c r="B4" s="3" t="s">
        <v>508</v>
      </c>
      <c r="C4" s="3" t="s">
        <v>507</v>
      </c>
      <c r="D4" s="3" t="s">
        <v>506</v>
      </c>
      <c r="E4" s="3" t="s">
        <v>505</v>
      </c>
      <c r="F4" s="4">
        <f ca="1">NOW()</f>
        <v>44033.681508333335</v>
      </c>
      <c r="G4" s="3" t="s">
        <v>504</v>
      </c>
      <c r="H4" s="3" t="s">
        <v>503</v>
      </c>
      <c r="I4" s="3" t="s">
        <v>526</v>
      </c>
      <c r="J4" t="s">
        <v>453</v>
      </c>
      <c r="K4" s="3" t="s">
        <v>202</v>
      </c>
      <c r="M4" s="3" t="s">
        <v>502</v>
      </c>
      <c r="N4" s="3" t="s">
        <v>501</v>
      </c>
    </row>
    <row r="5" spans="1:14">
      <c r="A5" s="3" t="s">
        <v>142</v>
      </c>
      <c r="B5" s="3" t="s">
        <v>143</v>
      </c>
      <c r="C5" s="3" t="s">
        <v>211</v>
      </c>
      <c r="D5" s="3" t="s">
        <v>169</v>
      </c>
      <c r="E5" s="3" t="s">
        <v>145</v>
      </c>
      <c r="F5" s="4">
        <f ca="1">NOW()</f>
        <v>44033.681508333335</v>
      </c>
      <c r="G5" s="3" t="s">
        <v>146</v>
      </c>
      <c r="H5" s="3" t="s">
        <v>169</v>
      </c>
      <c r="I5" s="3" t="s">
        <v>526</v>
      </c>
      <c r="J5" t="s">
        <v>453</v>
      </c>
      <c r="K5" s="3" t="s">
        <v>558</v>
      </c>
      <c r="M5" s="3" t="s">
        <v>152</v>
      </c>
      <c r="N5" s="3" t="s">
        <v>212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req</vt:lpstr>
      <vt:lpstr>rtn</vt:lpstr>
      <vt:lpstr>流程</vt:lpstr>
      <vt:lpstr>NewOrderSingle</vt:lpstr>
      <vt:lpstr>OrderCancelRequest</vt:lpstr>
      <vt:lpstr>OrderCancelReplaceRequest</vt:lpstr>
      <vt:lpstr>ExecutionReport</vt:lpstr>
      <vt:lpstr>OrderCancelReject</vt:lpstr>
      <vt:lpstr>MassQuote</vt:lpstr>
      <vt:lpstr>MassQuoteAcknowledgement</vt:lpstr>
      <vt:lpstr>OrderStatusRequest</vt:lpstr>
      <vt:lpstr>SecurityDefinitionRequest</vt:lpstr>
      <vt:lpstr>SecurityDefinition</vt:lpstr>
      <vt:lpstr>QuoteCancel</vt:lpstr>
      <vt:lpstr>Reject</vt:lpstr>
      <vt:lpstr>OnRspUserLogin</vt:lpstr>
      <vt:lpstr>BusinessMessageReject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邵长江</dc:creator>
  <cp:lastModifiedBy>邵长江</cp:lastModifiedBy>
  <dcterms:created xsi:type="dcterms:W3CDTF">2015-06-05T18:19:34Z</dcterms:created>
  <dcterms:modified xsi:type="dcterms:W3CDTF">2020-07-21T08:21:33Z</dcterms:modified>
</cp:coreProperties>
</file>