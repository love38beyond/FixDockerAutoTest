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460" tabRatio="895" activeTab="7"/>
  </bookViews>
  <sheets>
    <sheet name="req" sheetId="4" r:id="rId1"/>
    <sheet name="rtn" sheetId="6" r:id="rId2"/>
    <sheet name="casedescription" sheetId="21" r:id="rId3"/>
    <sheet name="SecurityDefinitionRequest" sheetId="16" r:id="rId4"/>
    <sheet name="OrderStatusRequest" sheetId="18" r:id="rId5"/>
    <sheet name="OnRspUserLogin" sheetId="8" r:id="rId6"/>
    <sheet name="ExecutionReport" sheetId="10" r:id="rId7"/>
    <sheet name="SecurityDefinition" sheetId="17" r:id="rId8"/>
  </sheets>
  <definedNames>
    <definedName name="OLE_LINK1" localSheetId="7">SecurityDefinition!$AK$1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7" l="1"/>
  <c r="B4" i="21"/>
  <c r="B5" i="21"/>
  <c r="D4" i="21"/>
  <c r="D5" i="21"/>
  <c r="B18" i="6"/>
  <c r="D18" i="6"/>
  <c r="D5" i="4"/>
  <c r="B5" i="4"/>
  <c r="F5" i="16"/>
  <c r="D17" i="6"/>
  <c r="B17" i="6" s="1"/>
  <c r="D3" i="4"/>
  <c r="D4" i="4"/>
  <c r="B4" i="4" s="1"/>
  <c r="F5" i="18"/>
  <c r="G17" i="10"/>
  <c r="G16" i="10"/>
  <c r="G15" i="10"/>
  <c r="G14" i="10"/>
  <c r="G13" i="10"/>
  <c r="G12" i="10"/>
  <c r="G11" i="10"/>
  <c r="G10" i="10"/>
  <c r="G9" i="10"/>
  <c r="G8" i="10"/>
  <c r="G7" i="10"/>
  <c r="D5" i="6"/>
  <c r="D6" i="6"/>
  <c r="D7" i="6"/>
  <c r="D8" i="6"/>
  <c r="D9" i="6"/>
  <c r="D10" i="6"/>
  <c r="D11" i="6"/>
  <c r="D12" i="6"/>
  <c r="D13" i="6"/>
  <c r="D14" i="6"/>
  <c r="D15" i="6"/>
  <c r="B15" i="6" s="1"/>
  <c r="D16" i="6"/>
  <c r="B16" i="6" s="1"/>
  <c r="B5" i="6"/>
  <c r="B6" i="6"/>
  <c r="B7" i="6"/>
  <c r="B8" i="6"/>
  <c r="B9" i="6"/>
  <c r="B10" i="6"/>
  <c r="B11" i="6"/>
  <c r="B12" i="6"/>
  <c r="B13" i="6"/>
  <c r="B14" i="6"/>
  <c r="G5" i="10" l="1"/>
  <c r="G6" i="10" l="1"/>
  <c r="D2" i="4"/>
  <c r="D2" i="21"/>
  <c r="D3" i="21" l="1"/>
  <c r="D2" i="6"/>
  <c r="B3" i="21" l="1"/>
  <c r="B2" i="21"/>
  <c r="B2" i="4"/>
  <c r="G4" i="10"/>
  <c r="F4" i="18"/>
  <c r="F4" i="17"/>
  <c r="F4" i="16"/>
  <c r="B4" i="6"/>
  <c r="B2" i="6"/>
  <c r="D3" i="6"/>
  <c r="B3" i="6" s="1"/>
  <c r="D4" i="6"/>
  <c r="B3" i="4"/>
  <c r="F4" i="8"/>
</calcChain>
</file>

<file path=xl/sharedStrings.xml><?xml version="1.0" encoding="utf-8"?>
<sst xmlns="http://schemas.openxmlformats.org/spreadsheetml/2006/main" count="990" uniqueCount="334">
  <si>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</si>
  <si>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</si>
  <si>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</si>
  <si>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</si>
  <si>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</si>
  <si>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</si>
  <si>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</si>
  <si>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</si>
  <si>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</si>
  <si>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</si>
  <si>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</si>
  <si>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</si>
  <si>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</si>
  <si>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</si>
  <si>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</si>
  <si>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</si>
  <si>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</si>
  <si>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</si>
  <si>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</si>
  <si>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</si>
  <si>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</si>
  <si>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</si>
  <si>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</si>
  <si>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</si>
  <si>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</si>
  <si>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</si>
  <si>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</si>
  <si>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</si>
  <si>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</si>
  <si>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</si>
  <si>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</si>
  <si>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</si>
  <si>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</si>
  <si>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</si>
  <si>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</si>
  <si>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</si>
  <si>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</si>
  <si>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</si>
  <si>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</si>
  <si>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</si>
  <si>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</si>
  <si>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</si>
  <si>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</si>
  <si>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</si>
  <si>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</si>
  <si>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</si>
  <si>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</si>
  <si>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</si>
  <si>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</si>
  <si>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</si>
  <si>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</si>
  <si>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</si>
  <si>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</si>
  <si>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</si>
  <si>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</si>
  <si>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</si>
  <si>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</si>
  <si>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</si>
  <si>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</si>
  <si>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2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</si>
  <si>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</si>
  <si>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</si>
  <si>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</si>
  <si>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55</t>
    <phoneticPr fontId="2" type="noConversion"/>
  </si>
  <si>
    <t>110</t>
    <phoneticPr fontId="2" type="noConversion"/>
  </si>
  <si>
    <t>207</t>
    <phoneticPr fontId="2" type="noConversion"/>
  </si>
  <si>
    <t>0</t>
    <phoneticPr fontId="2" type="noConversion"/>
  </si>
  <si>
    <t>OrderID</t>
  </si>
  <si>
    <t>55</t>
    <phoneticPr fontId="2" type="noConversion"/>
  </si>
  <si>
    <t>ExpireDate</t>
  </si>
  <si>
    <t>LocalMktDate</t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</si>
  <si>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</si>
  <si>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</si>
  <si>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</si>
  <si>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</si>
  <si>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</si>
  <si>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</si>
  <si>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</si>
  <si>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</si>
  <si>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</si>
  <si>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</si>
  <si>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</si>
  <si>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</si>
  <si>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</si>
  <si>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</si>
  <si>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</si>
  <si>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</si>
  <si>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</si>
  <si>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</si>
  <si>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</si>
  <si>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</si>
  <si>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</si>
  <si>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</si>
  <si>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</si>
  <si>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</si>
  <si>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</si>
  <si>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</si>
  <si>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</si>
  <si>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</si>
  <si>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</si>
  <si>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</si>
  <si>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</si>
  <si>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</si>
  <si>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</si>
  <si>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</si>
  <si>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</si>
  <si>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</si>
  <si>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</si>
  <si>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</si>
  <si>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</si>
  <si>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</si>
  <si>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</si>
  <si>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</si>
  <si>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</si>
  <si>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</si>
  <si>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</si>
  <si>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</si>
  <si>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</si>
  <si>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</si>
  <si>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</si>
  <si>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</si>
  <si>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</si>
  <si>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</si>
  <si>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</si>
  <si>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</si>
  <si>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</si>
  <si>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</si>
  <si>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</si>
  <si>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</si>
  <si>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</si>
  <si>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</si>
  <si>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</si>
  <si>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</si>
  <si>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</si>
  <si>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</si>
  <si>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</si>
  <si>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</si>
  <si>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</si>
  <si>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</si>
  <si>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</si>
  <si>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</si>
  <si>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</si>
  <si>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</si>
  <si>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</si>
  <si>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</si>
  <si>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SHFE</t>
    <phoneticPr fontId="2" type="noConversion"/>
  </si>
  <si>
    <t>OnRspUserLogin</t>
  </si>
  <si>
    <t>ExecutionReport</t>
  </si>
  <si>
    <t>FunctionName</t>
    <phoneticPr fontId="2" type="noConversion"/>
  </si>
  <si>
    <t>00010</t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</si>
  <si>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</si>
  <si>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</si>
  <si>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</si>
  <si>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</si>
  <si>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rb1204</t>
  </si>
  <si>
    <t>c</t>
    <phoneticPr fontId="2" type="noConversion"/>
  </si>
  <si>
    <t>SecurityReqID</t>
  </si>
  <si>
    <t>60</t>
    <phoneticPr fontId="2" type="noConversion"/>
  </si>
  <si>
    <t>320</t>
    <phoneticPr fontId="2" type="noConversion"/>
  </si>
  <si>
    <t>SecurityRequestType</t>
  </si>
  <si>
    <t>321</t>
    <phoneticPr fontId="2" type="noConversion"/>
  </si>
  <si>
    <t>d</t>
    <phoneticPr fontId="2" type="noConversion"/>
  </si>
  <si>
    <t>107</t>
    <phoneticPr fontId="2" type="noConversion"/>
  </si>
  <si>
    <t>rb1204</t>
    <phoneticPr fontId="2" type="noConversion"/>
  </si>
  <si>
    <t>SecurityDesc</t>
  </si>
  <si>
    <t>1151</t>
    <phoneticPr fontId="2" type="noConversion"/>
  </si>
  <si>
    <t>167</t>
    <phoneticPr fontId="2" type="noConversion"/>
  </si>
  <si>
    <t>SecurityGroup</t>
  </si>
  <si>
    <t>SecurityType</t>
  </si>
  <si>
    <t>rb</t>
  </si>
  <si>
    <t>FUT</t>
  </si>
  <si>
    <t>MaturityMonthYear</t>
  </si>
  <si>
    <t>MonthYear</t>
  </si>
  <si>
    <t>200</t>
    <phoneticPr fontId="2" type="noConversion"/>
  </si>
  <si>
    <t>231</t>
    <phoneticPr fontId="2" type="noConversion"/>
  </si>
  <si>
    <t>ContractMultiplier</t>
  </si>
  <si>
    <t>float</t>
  </si>
  <si>
    <t>MinPriceIncrement</t>
  </si>
  <si>
    <t>32814</t>
    <phoneticPr fontId="2" type="noConversion"/>
  </si>
  <si>
    <t>IssueDate</t>
  </si>
  <si>
    <t>225</t>
    <phoneticPr fontId="2" type="noConversion"/>
  </si>
  <si>
    <t>10</t>
    <phoneticPr fontId="2" type="noConversion"/>
  </si>
  <si>
    <t>UnderlyingSymbol</t>
  </si>
  <si>
    <t>rb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</si>
  <si>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</si>
  <si>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</si>
  <si>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</si>
  <si>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</si>
  <si>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</si>
  <si>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</si>
  <si>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</si>
  <si>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NoMarketSegments</t>
  </si>
  <si>
    <t>MaxTradeVol</t>
  </si>
  <si>
    <t>MinTradeVol</t>
  </si>
  <si>
    <t>969</t>
    <phoneticPr fontId="2" type="noConversion"/>
  </si>
  <si>
    <t>DatedDate</t>
  </si>
  <si>
    <t>873</t>
    <phoneticPr fontId="2" type="noConversion"/>
  </si>
  <si>
    <t>541</t>
    <phoneticPr fontId="2" type="noConversion"/>
  </si>
  <si>
    <t>864</t>
    <phoneticPr fontId="2" type="noConversion"/>
  </si>
  <si>
    <t>8661</t>
    <phoneticPr fontId="2" type="noConversion"/>
  </si>
  <si>
    <t>865</t>
    <phoneticPr fontId="2" type="noConversion"/>
  </si>
  <si>
    <t>866</t>
    <phoneticPr fontId="2" type="noConversion"/>
  </si>
  <si>
    <t>NoEvents</t>
  </si>
  <si>
    <t>EventType</t>
  </si>
  <si>
    <t>8651</t>
    <phoneticPr fontId="2" type="noConversion"/>
  </si>
  <si>
    <t>EventDate</t>
  </si>
  <si>
    <t>965</t>
    <phoneticPr fontId="2" type="noConversion"/>
  </si>
  <si>
    <t>202</t>
    <phoneticPr fontId="2" type="noConversion"/>
  </si>
  <si>
    <t>201</t>
    <phoneticPr fontId="2" type="noConversion"/>
  </si>
  <si>
    <t>967</t>
    <phoneticPr fontId="2" type="noConversion"/>
  </si>
  <si>
    <t>SecurityStatus</t>
  </si>
  <si>
    <t>StrikePrice</t>
  </si>
  <si>
    <t>PutOrCall</t>
  </si>
  <si>
    <t>StrikeMultiplier</t>
  </si>
  <si>
    <t>762</t>
    <phoneticPr fontId="2" type="noConversion"/>
  </si>
  <si>
    <t>320</t>
    <phoneticPr fontId="2" type="noConversion"/>
  </si>
  <si>
    <t>322</t>
    <phoneticPr fontId="2" type="noConversion"/>
  </si>
  <si>
    <t>SecurityResponseID</t>
  </si>
  <si>
    <t>006</t>
    <phoneticPr fontId="2" type="noConversion"/>
  </si>
  <si>
    <t>11401</t>
    <phoneticPr fontId="2" type="noConversion"/>
  </si>
  <si>
    <t>5621</t>
    <phoneticPr fontId="2" type="noConversion"/>
  </si>
  <si>
    <t>int</t>
    <phoneticPr fontId="2" type="noConversion"/>
  </si>
  <si>
    <t>20120416</t>
  </si>
  <si>
    <t>2</t>
    <phoneticPr fontId="2" type="noConversion"/>
  </si>
  <si>
    <t>13</t>
    <phoneticPr fontId="2" type="noConversion"/>
  </si>
  <si>
    <t>20120417</t>
  </si>
  <si>
    <t>20120423</t>
  </si>
  <si>
    <t>1</t>
    <phoneticPr fontId="2" type="noConversion"/>
  </si>
  <si>
    <t>1</t>
    <phoneticPr fontId="2" type="noConversion"/>
  </si>
  <si>
    <t>30</t>
    <phoneticPr fontId="2" type="noConversion"/>
  </si>
  <si>
    <t>500</t>
    <phoneticPr fontId="2" type="noConversion"/>
  </si>
  <si>
    <t>1</t>
    <phoneticPr fontId="2" type="noConversion"/>
  </si>
  <si>
    <t>20110331</t>
  </si>
  <si>
    <t>20110418</t>
  </si>
  <si>
    <t>207</t>
    <phoneticPr fontId="2" type="noConversion"/>
  </si>
  <si>
    <t>1151</t>
    <phoneticPr fontId="2" type="noConversion"/>
  </si>
  <si>
    <t>MaturityDate</t>
    <phoneticPr fontId="2" type="noConversion"/>
  </si>
  <si>
    <t>SecuritySubType</t>
    <phoneticPr fontId="2" type="noConversion"/>
  </si>
  <si>
    <t>H</t>
    <phoneticPr fontId="2" type="noConversion"/>
  </si>
  <si>
    <t>37</t>
    <phoneticPr fontId="2" type="noConversion"/>
  </si>
  <si>
    <t>I</t>
    <phoneticPr fontId="2" type="noConversion"/>
  </si>
  <si>
    <t>OrderStatusRequest</t>
  </si>
  <si>
    <t>CaseNo</t>
    <phoneticPr fontId="2" type="noConversion"/>
  </si>
  <si>
    <t>SheetName</t>
    <phoneticPr fontId="2" type="noConversion"/>
  </si>
  <si>
    <t>RowNum</t>
    <phoneticPr fontId="2" type="noConversion"/>
  </si>
  <si>
    <t>rb1204</t>
    <phoneticPr fontId="2" type="noConversion"/>
  </si>
  <si>
    <r>
      <rPr>
        <sz val="10"/>
        <color theme="1"/>
        <rFont val="等线"/>
        <family val="2"/>
      </rPr>
      <t>用例背景：请先跑</t>
    </r>
    <r>
      <rPr>
        <sz val="10"/>
        <color theme="1"/>
        <rFont val="TimesNewRoman"/>
        <family val="1"/>
      </rPr>
      <t>Position</t>
    </r>
    <r>
      <rPr>
        <sz val="10"/>
        <color theme="1"/>
        <rFont val="等线"/>
        <family val="2"/>
      </rPr>
      <t>用例制造报单。</t>
    </r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</si>
  <si>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</si>
  <si>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</si>
  <si>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</si>
  <si>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fu1205p4800</t>
    <phoneticPr fontId="2" type="noConversion"/>
  </si>
  <si>
    <t>fu1205p4800</t>
    <phoneticPr fontId="2" type="noConversion"/>
  </si>
  <si>
    <t xml:space="preserve">CTP:全部成交
</t>
    <phoneticPr fontId="2" type="noConversion"/>
  </si>
  <si>
    <t>1</t>
    <phoneticPr fontId="2" type="noConversion"/>
  </si>
  <si>
    <t>150</t>
    <phoneticPr fontId="2" type="noConversion"/>
  </si>
  <si>
    <t>150</t>
    <phoneticPr fontId="2" type="noConversion"/>
  </si>
  <si>
    <t>对应的报单</t>
    <phoneticPr fontId="2" type="noConversion"/>
  </si>
  <si>
    <t>期权成交</t>
    <phoneticPr fontId="2" type="noConversion"/>
  </si>
  <si>
    <t>101</t>
    <phoneticPr fontId="2" type="noConversion"/>
  </si>
  <si>
    <t>100</t>
    <phoneticPr fontId="2" type="noConversion"/>
  </si>
  <si>
    <t>条件单未触发时撤销撤销</t>
    <phoneticPr fontId="2" type="noConversion"/>
  </si>
  <si>
    <t>111</t>
    <phoneticPr fontId="2" type="noConversion"/>
  </si>
  <si>
    <t>4</t>
    <phoneticPr fontId="2" type="noConversion"/>
  </si>
  <si>
    <t>5000</t>
    <phoneticPr fontId="2" type="noConversion"/>
  </si>
  <si>
    <t>2</t>
    <phoneticPr fontId="2" type="noConversion"/>
  </si>
  <si>
    <t>fu1205</t>
    <phoneticPr fontId="2" type="noConversion"/>
  </si>
  <si>
    <t>5100</t>
    <phoneticPr fontId="2" type="noConversion"/>
  </si>
  <si>
    <t>0</t>
    <phoneticPr fontId="2" type="noConversion"/>
  </si>
  <si>
    <t>条件单未触发</t>
    <phoneticPr fontId="2" type="noConversion"/>
  </si>
  <si>
    <t>n</t>
    <phoneticPr fontId="2" type="noConversion"/>
  </si>
  <si>
    <t>1</t>
    <phoneticPr fontId="2" type="noConversion"/>
  </si>
  <si>
    <t>错单，59=1</t>
    <phoneticPr fontId="2" type="noConversion"/>
  </si>
  <si>
    <t>109</t>
    <phoneticPr fontId="2" type="noConversion"/>
  </si>
  <si>
    <t>8</t>
    <phoneticPr fontId="2" type="noConversion"/>
  </si>
  <si>
    <t>fu1205</t>
    <phoneticPr fontId="2" type="noConversion"/>
  </si>
  <si>
    <t>CTP:已撤单报单被拒绝SHFE:不被支持的报单类型</t>
    <phoneticPr fontId="2" type="noConversion"/>
  </si>
  <si>
    <t>1</t>
    <phoneticPr fontId="2" type="noConversion"/>
  </si>
  <si>
    <t>108</t>
    <phoneticPr fontId="2" type="noConversion"/>
  </si>
  <si>
    <t>3</t>
    <phoneticPr fontId="2" type="noConversion"/>
  </si>
  <si>
    <t xml:space="preserve">CTP:已撤单报单已提交 </t>
    <phoneticPr fontId="2" type="noConversion"/>
  </si>
  <si>
    <t>FAK单，59=3，未成交被撤单</t>
    <phoneticPr fontId="2" type="noConversion"/>
  </si>
  <si>
    <t>2</t>
    <phoneticPr fontId="2" type="noConversion"/>
  </si>
  <si>
    <t>0</t>
    <phoneticPr fontId="2" type="noConversion"/>
  </si>
  <si>
    <t>4</t>
    <phoneticPr fontId="2" type="noConversion"/>
  </si>
  <si>
    <t>5100</t>
    <phoneticPr fontId="2" type="noConversion"/>
  </si>
  <si>
    <t>2</t>
    <phoneticPr fontId="2" type="noConversion"/>
  </si>
  <si>
    <t>106</t>
    <phoneticPr fontId="2" type="noConversion"/>
  </si>
  <si>
    <t>5000</t>
    <phoneticPr fontId="2" type="noConversion"/>
  </si>
  <si>
    <t>CTP:已撤单</t>
    <phoneticPr fontId="2" type="noConversion"/>
  </si>
  <si>
    <t>CTP:未成交</t>
    <phoneticPr fontId="2" type="noConversion"/>
  </si>
  <si>
    <t>改单后未成交</t>
    <phoneticPr fontId="2" type="noConversion"/>
  </si>
  <si>
    <t>期货未成交</t>
    <phoneticPr fontId="2" type="noConversion"/>
  </si>
  <si>
    <t>105</t>
    <phoneticPr fontId="2" type="noConversion"/>
  </si>
  <si>
    <t>撤单</t>
    <phoneticPr fontId="2" type="noConversion"/>
  </si>
  <si>
    <t>改单，前报单被撤销</t>
    <phoneticPr fontId="2" type="noConversion"/>
  </si>
  <si>
    <t>104</t>
    <phoneticPr fontId="2" type="noConversion"/>
  </si>
  <si>
    <t>0</t>
    <phoneticPr fontId="2" type="noConversion"/>
  </si>
  <si>
    <t>CTP:未成交</t>
    <phoneticPr fontId="2" type="noConversion"/>
  </si>
  <si>
    <t>期货成交</t>
    <phoneticPr fontId="2" type="noConversion"/>
  </si>
  <si>
    <t>103</t>
    <phoneticPr fontId="2" type="noConversion"/>
  </si>
  <si>
    <t>1</t>
    <phoneticPr fontId="2" type="noConversion"/>
  </si>
  <si>
    <t>102</t>
    <phoneticPr fontId="2" type="noConversion"/>
  </si>
  <si>
    <t>CTP:全部成交报单已提交</t>
    <phoneticPr fontId="2" type="noConversion"/>
  </si>
  <si>
    <t>1</t>
    <phoneticPr fontId="2" type="noConversion"/>
  </si>
  <si>
    <t>['35','14','40','54','77','44','38','39','150','151','207','20001','59','55','1','56']</t>
    <phoneticPr fontId="2" type="noConversion"/>
  </si>
  <si>
    <t>['35','14','40','54','77','44','38','39','150','151','207','20001','59','55','1','56']</t>
    <phoneticPr fontId="2" type="noConversion"/>
  </si>
  <si>
    <t>['35','14','40','54','77','44','38','39','99','150','151','207','20001','59','55','1','56']</t>
    <phoneticPr fontId="2" type="noConversion"/>
  </si>
  <si>
    <t>['35','14','40','54','77','44','38','39','99','150','151','207','20001','59','55','1','56']</t>
    <phoneticPr fontId="2" type="noConversion"/>
  </si>
  <si>
    <t>['35','14','40','54','77','44','38','39','150','151','207','20001','59','55','1','56']</t>
    <phoneticPr fontId="2" type="noConversion"/>
  </si>
  <si>
    <t>['35','14','40','54','77','44','38','39','150','151','207','20001','59','55','1','56']</t>
    <phoneticPr fontId="2" type="noConversion"/>
  </si>
  <si>
    <t>TotalNumSecurities</t>
    <phoneticPr fontId="2" type="noConversion"/>
  </si>
  <si>
    <t>0</t>
    <phoneticPr fontId="2" type="noConversion"/>
  </si>
  <si>
    <t>SecurityDefinitionRequest</t>
    <phoneticPr fontId="2" type="noConversion"/>
  </si>
  <si>
    <t>SecurityDefinition</t>
    <phoneticPr fontId="2" type="noConversion"/>
  </si>
  <si>
    <t>201204</t>
    <phoneticPr fontId="2" type="noConversion"/>
  </si>
  <si>
    <t>fu1205p4800</t>
    <phoneticPr fontId="2" type="noConversion"/>
  </si>
  <si>
    <t>查询期权fu1205p4800报单</t>
    <phoneticPr fontId="2" type="noConversion"/>
  </si>
  <si>
    <t>查询期货fu1205报单</t>
    <phoneticPr fontId="2" type="noConversion"/>
  </si>
  <si>
    <t>查询合约rb1204</t>
    <phoneticPr fontId="2" type="noConversion"/>
  </si>
  <si>
    <t>查询合约fu1205p4800</t>
    <phoneticPr fontId="2" type="noConversion"/>
  </si>
  <si>
    <t>fu1205p4800</t>
    <phoneticPr fontId="2" type="noConversion"/>
  </si>
  <si>
    <t>['35','49','56','55','1151','167','200','207','231','969','311','225','873','541','965']</t>
    <phoneticPr fontId="2" type="noConversion"/>
  </si>
  <si>
    <t>燃料油期权</t>
    <phoneticPr fontId="2" type="noConversion"/>
  </si>
  <si>
    <t>fu_o</t>
    <phoneticPr fontId="2" type="noConversion"/>
  </si>
  <si>
    <t>OPT</t>
    <phoneticPr fontId="2" type="noConversion"/>
  </si>
  <si>
    <t>201205</t>
    <phoneticPr fontId="2" type="noConversion"/>
  </si>
  <si>
    <t>50</t>
    <phoneticPr fontId="2" type="noConversion"/>
  </si>
  <si>
    <t>20110401</t>
    <phoneticPr fontId="2" type="noConversion"/>
  </si>
  <si>
    <t>20110504</t>
    <phoneticPr fontId="2" type="noConversion"/>
  </si>
  <si>
    <t>20120125</t>
    <phoneticPr fontId="2" type="noConversion"/>
  </si>
  <si>
    <t>20120125</t>
    <phoneticPr fontId="2" type="noConversion"/>
  </si>
  <si>
    <t>20120125</t>
    <phoneticPr fontId="2" type="noConversion"/>
  </si>
  <si>
    <t>0</t>
    <phoneticPr fontId="2" type="noConversion"/>
  </si>
  <si>
    <t>['35','49','56','55','1151','167','200','207','231','969','311','225','873','541','965','762']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</si>
</sst>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10"/>
      <color theme="1"/>
      <name val="等线"/>
      <family val="2"/>
    </font>
    <font>
      <sz val="10"/>
      <color theme="1"/>
      <name val="TimesNew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5" sqref="B5"/>
    </sheetView>
  </sheetViews>
  <sheetFormatPr defaultRowHeight="14"/>
  <cols>
    <col min="2" max="2" width="28.08203125" customWidth="1"/>
    <col min="3" max="3" width="26.08203125" customWidth="1"/>
    <col min="7" max="7" width="17.4140625" customWidth="1"/>
    <col min="8" max="8" width="14.25" customWidth="1"/>
  </cols>
  <sheetData>
    <row r="1" spans="1:7">
      <c r="A1" t="s">
        <v>62</v>
      </c>
      <c r="B1" s="5" t="s">
        <v>60</v>
      </c>
      <c r="C1" s="5" t="s">
        <v>148</v>
      </c>
      <c r="D1" s="5" t="s">
        <v>61</v>
      </c>
      <c r="G1" s="6"/>
    </row>
    <row r="2" spans="1:7">
      <c r="A2">
        <v>1</v>
      </c>
      <c r="B2" s="6" t="str">
        <f t="shared" ref="B2" si="0">HYPERLINK("#"&amp;C2&amp;"!A"&amp;(D2+3),C2)</f>
        <v>OrderStatusRequest</v>
      </c>
      <c r="C2" t="s">
        <v>241</v>
      </c>
      <c r="D2">
        <f>COUNTIF(C$2:C2,C2)</f>
        <v>1</v>
      </c>
      <c r="G2" s="6"/>
    </row>
    <row r="3" spans="1:7">
      <c r="A3">
        <v>2</v>
      </c>
      <c r="B3" s="6" t="str">
        <f>HYPERLINK("#"&amp;C3&amp;"!A"&amp;(D3+3),C3)</f>
        <v>OrderStatusRequest</v>
      </c>
      <c r="C3" t="s">
        <v>241</v>
      </c>
      <c r="D3">
        <f>COUNTIF(C$2:C3,C3)</f>
        <v>2</v>
      </c>
      <c r="G3" s="6"/>
    </row>
    <row r="4" spans="1:7">
      <c r="A4">
        <v>3</v>
      </c>
      <c r="B4" s="6" t="str">
        <f t="shared" ref="B4" si="1">HYPERLINK("#"&amp;C4&amp;"!A"&amp;(D4+3),C4)</f>
        <v>SecurityDefinitionRequest</v>
      </c>
      <c r="C4" t="s">
        <v>312</v>
      </c>
      <c r="D4">
        <f>COUNTIF(C$2:C4,C4)</f>
        <v>1</v>
      </c>
    </row>
    <row r="5" spans="1:7">
      <c r="A5">
        <v>4</v>
      </c>
      <c r="B5" s="6" t="str">
        <f t="shared" ref="B5" si="2">HYPERLINK("#"&amp;C5&amp;"!A"&amp;(D5+3),C5)</f>
        <v>SecurityDefinitionRequest</v>
      </c>
      <c r="C5" t="s">
        <v>312</v>
      </c>
      <c r="D5">
        <f>COUNTIF(C$2:C5,C5)</f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7" workbookViewId="0">
      <selection activeCell="B21" sqref="B21"/>
    </sheetView>
  </sheetViews>
  <sheetFormatPr defaultRowHeight="14"/>
  <cols>
    <col min="2" max="2" width="16.6640625" customWidth="1"/>
    <col min="3" max="3" width="14.9140625" customWidth="1"/>
    <col min="7" max="7" width="15.4140625" customWidth="1"/>
    <col min="8" max="8" width="17.25" customWidth="1"/>
  </cols>
  <sheetData>
    <row r="1" spans="1:7">
      <c r="A1" t="s">
        <v>62</v>
      </c>
      <c r="B1" s="5" t="s">
        <v>60</v>
      </c>
      <c r="C1" s="5" t="s">
        <v>148</v>
      </c>
      <c r="D1" s="5" t="s">
        <v>61</v>
      </c>
    </row>
    <row r="2" spans="1:7">
      <c r="A2">
        <v>0</v>
      </c>
      <c r="B2" s="6" t="str">
        <f>HYPERLINK("#"&amp;C2&amp;"!A"&amp;(D2+3),C2)</f>
        <v>OnRspUserLogin</v>
      </c>
      <c r="C2" t="s">
        <v>146</v>
      </c>
      <c r="D2">
        <f>COUNTIF(C$2:C2,C2)</f>
        <v>1</v>
      </c>
    </row>
    <row r="3" spans="1:7" ht="18.75" customHeight="1">
      <c r="A3">
        <v>1</v>
      </c>
      <c r="B3" s="6" t="str">
        <f t="shared" ref="B3:B16" si="0">HYPERLINK("#"&amp;C3&amp;"!A"&amp;(D3+3),C3)</f>
        <v>ExecutionReport</v>
      </c>
      <c r="C3" t="s">
        <v>147</v>
      </c>
      <c r="D3">
        <f>COUNTIF(C$2:C3,C3)</f>
        <v>1</v>
      </c>
    </row>
    <row r="4" spans="1:7">
      <c r="A4">
        <v>1</v>
      </c>
      <c r="B4" s="6" t="str">
        <f t="shared" si="0"/>
        <v>ExecutionReport</v>
      </c>
      <c r="C4" t="s">
        <v>147</v>
      </c>
      <c r="D4">
        <f>COUNTIF(C$2:C4,C4)</f>
        <v>2</v>
      </c>
      <c r="G4" s="6"/>
    </row>
    <row r="5" spans="1:7">
      <c r="A5">
        <v>2</v>
      </c>
      <c r="B5" s="6" t="str">
        <f t="shared" si="0"/>
        <v>ExecutionReport</v>
      </c>
      <c r="C5" t="s">
        <v>147</v>
      </c>
      <c r="D5">
        <f>COUNTIF(C$2:C5,C5)</f>
        <v>3</v>
      </c>
    </row>
    <row r="6" spans="1:7">
      <c r="A6">
        <v>2</v>
      </c>
      <c r="B6" s="6" t="str">
        <f t="shared" si="0"/>
        <v>ExecutionReport</v>
      </c>
      <c r="C6" t="s">
        <v>147</v>
      </c>
      <c r="D6">
        <f>COUNTIF(C$2:C6,C6)</f>
        <v>4</v>
      </c>
    </row>
    <row r="7" spans="1:7">
      <c r="A7">
        <v>2</v>
      </c>
      <c r="B7" s="6" t="str">
        <f t="shared" si="0"/>
        <v>ExecutionReport</v>
      </c>
      <c r="C7" t="s">
        <v>147</v>
      </c>
      <c r="D7">
        <f>COUNTIF(C$2:C7,C7)</f>
        <v>5</v>
      </c>
    </row>
    <row r="8" spans="1:7">
      <c r="A8">
        <v>2</v>
      </c>
      <c r="B8" s="6" t="str">
        <f t="shared" si="0"/>
        <v>ExecutionReport</v>
      </c>
      <c r="C8" t="s">
        <v>147</v>
      </c>
      <c r="D8">
        <f>COUNTIF(C$2:C8,C8)</f>
        <v>6</v>
      </c>
    </row>
    <row r="9" spans="1:7">
      <c r="A9">
        <v>2</v>
      </c>
      <c r="B9" s="6" t="str">
        <f t="shared" si="0"/>
        <v>ExecutionReport</v>
      </c>
      <c r="C9" t="s">
        <v>147</v>
      </c>
      <c r="D9">
        <f>COUNTIF(C$2:C9,C9)</f>
        <v>7</v>
      </c>
    </row>
    <row r="10" spans="1:7">
      <c r="A10">
        <v>2</v>
      </c>
      <c r="B10" s="6" t="str">
        <f t="shared" si="0"/>
        <v>ExecutionReport</v>
      </c>
      <c r="C10" t="s">
        <v>147</v>
      </c>
      <c r="D10">
        <f>COUNTIF(C$2:C10,C10)</f>
        <v>8</v>
      </c>
    </row>
    <row r="11" spans="1:7">
      <c r="A11">
        <v>2</v>
      </c>
      <c r="B11" s="6" t="str">
        <f t="shared" si="0"/>
        <v>ExecutionReport</v>
      </c>
      <c r="C11" t="s">
        <v>147</v>
      </c>
      <c r="D11">
        <f>COUNTIF(C$2:C11,C11)</f>
        <v>9</v>
      </c>
    </row>
    <row r="12" spans="1:7">
      <c r="A12">
        <v>2</v>
      </c>
      <c r="B12" s="6" t="str">
        <f t="shared" si="0"/>
        <v>ExecutionReport</v>
      </c>
      <c r="C12" t="s">
        <v>147</v>
      </c>
      <c r="D12">
        <f>COUNTIF(C$2:C12,C12)</f>
        <v>10</v>
      </c>
    </row>
    <row r="13" spans="1:7">
      <c r="A13">
        <v>2</v>
      </c>
      <c r="B13" s="6" t="str">
        <f t="shared" si="0"/>
        <v>ExecutionReport</v>
      </c>
      <c r="C13" t="s">
        <v>147</v>
      </c>
      <c r="D13">
        <f>COUNTIF(C$2:C13,C13)</f>
        <v>11</v>
      </c>
    </row>
    <row r="14" spans="1:7">
      <c r="A14">
        <v>2</v>
      </c>
      <c r="B14" s="6" t="str">
        <f t="shared" si="0"/>
        <v>ExecutionReport</v>
      </c>
      <c r="C14" t="s">
        <v>147</v>
      </c>
      <c r="D14">
        <f>COUNTIF(C$2:C14,C14)</f>
        <v>12</v>
      </c>
    </row>
    <row r="15" spans="1:7">
      <c r="A15">
        <v>2</v>
      </c>
      <c r="B15" s="6" t="str">
        <f t="shared" si="0"/>
        <v>ExecutionReport</v>
      </c>
      <c r="C15" t="s">
        <v>147</v>
      </c>
      <c r="D15">
        <f>COUNTIF(C$2:C15,C15)</f>
        <v>13</v>
      </c>
    </row>
    <row r="16" spans="1:7">
      <c r="A16">
        <v>2</v>
      </c>
      <c r="B16" s="6" t="str">
        <f t="shared" si="0"/>
        <v>ExecutionReport</v>
      </c>
      <c r="C16" t="s">
        <v>147</v>
      </c>
      <c r="D16">
        <f>COUNTIF(C$2:C16,C16)</f>
        <v>14</v>
      </c>
    </row>
    <row r="17" spans="1:4">
      <c r="A17">
        <v>3</v>
      </c>
      <c r="B17" s="6" t="str">
        <f t="shared" ref="B17:B18" si="1">HYPERLINK("#"&amp;C17&amp;"!A"&amp;(D17+3),C17)</f>
        <v>SecurityDefinition</v>
      </c>
      <c r="C17" t="s">
        <v>313</v>
      </c>
      <c r="D17">
        <f>COUNTIF(C$2:C17,C17)</f>
        <v>1</v>
      </c>
    </row>
    <row r="18" spans="1:4">
      <c r="A18">
        <v>4</v>
      </c>
      <c r="B18" s="6" t="str">
        <f t="shared" si="1"/>
        <v>SecurityDefinition</v>
      </c>
      <c r="C18" t="s">
        <v>313</v>
      </c>
      <c r="D18">
        <f>COUNTIF(C$2:C18,C18)</f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1" sqref="F11"/>
    </sheetView>
  </sheetViews>
  <sheetFormatPr defaultRowHeight="14"/>
  <cols>
    <col min="2" max="2" width="20.83203125" customWidth="1"/>
    <col min="3" max="3" width="17.9140625" bestFit="1" customWidth="1"/>
  </cols>
  <sheetData>
    <row r="1" spans="1:6">
      <c r="A1" t="s">
        <v>242</v>
      </c>
      <c r="B1" s="5" t="s">
        <v>243</v>
      </c>
      <c r="C1" s="5" t="s">
        <v>148</v>
      </c>
      <c r="D1" s="5" t="s">
        <v>244</v>
      </c>
      <c r="E1" s="5" t="s">
        <v>246</v>
      </c>
    </row>
    <row r="2" spans="1:6">
      <c r="A2">
        <v>1</v>
      </c>
      <c r="B2" s="6" t="str">
        <f>HYPERLINK("#"&amp;C2&amp;"!A"&amp;(D2+3),C2)</f>
        <v>OrderStatusRequest</v>
      </c>
      <c r="C2" t="s">
        <v>241</v>
      </c>
      <c r="D2">
        <f>COUNTIF(C$2:C2,C2)</f>
        <v>1</v>
      </c>
      <c r="E2" t="s">
        <v>316</v>
      </c>
    </row>
    <row r="3" spans="1:6">
      <c r="A3">
        <v>2</v>
      </c>
      <c r="B3" s="6" t="str">
        <f>HYPERLINK("#"&amp;C3&amp;"!A"&amp;(D3+3),C3)</f>
        <v>OrderStatusRequest</v>
      </c>
      <c r="C3" t="s">
        <v>241</v>
      </c>
      <c r="D3">
        <f>COUNTIF(C$2:C3,C3)</f>
        <v>2</v>
      </c>
      <c r="E3" t="s">
        <v>317</v>
      </c>
      <c r="F3" s="2"/>
    </row>
    <row r="4" spans="1:6">
      <c r="A4">
        <v>3</v>
      </c>
      <c r="B4" s="6" t="str">
        <f>HYPERLINK("#"&amp;C4&amp;"!A"&amp;(D4+3),C4)</f>
        <v>SecurityDefinitionRequest</v>
      </c>
      <c r="C4" t="s">
        <v>312</v>
      </c>
      <c r="D4">
        <f>COUNTIF(C$2:C4,C4)</f>
        <v>1</v>
      </c>
      <c r="E4" t="s">
        <v>318</v>
      </c>
      <c r="F4" s="4"/>
    </row>
    <row r="5" spans="1:6">
      <c r="A5">
        <v>4</v>
      </c>
      <c r="B5" s="6" t="str">
        <f>HYPERLINK("#"&amp;C5&amp;"!A"&amp;(D5+3),C5)</f>
        <v>SecurityDefinitionRequest</v>
      </c>
      <c r="C5" t="s">
        <v>312</v>
      </c>
      <c r="D5">
        <f>COUNTIF(C$2:C5,C5)</f>
        <v>2</v>
      </c>
      <c r="E5" t="s">
        <v>319</v>
      </c>
      <c r="F5" s="4"/>
    </row>
    <row r="6" spans="1:6">
      <c r="B6" s="6"/>
      <c r="F6" s="4"/>
    </row>
    <row r="7" spans="1:6">
      <c r="B7" s="6"/>
      <c r="F7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A5" sqref="A5"/>
    </sheetView>
  </sheetViews>
  <sheetFormatPr defaultRowHeight="14"/>
  <cols>
    <col min="6" max="6" width="17.58203125" customWidth="1"/>
    <col min="13" max="14" width="16.6640625" customWidth="1"/>
    <col min="15" max="15" width="20.25" customWidth="1"/>
  </cols>
  <sheetData>
    <row r="1" spans="1:1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30</v>
      </c>
      <c r="I1" t="s">
        <v>72</v>
      </c>
      <c r="J1" t="s">
        <v>31</v>
      </c>
      <c r="K1" t="s">
        <v>43</v>
      </c>
      <c r="L1" t="s">
        <v>167</v>
      </c>
      <c r="M1" t="s">
        <v>46</v>
      </c>
      <c r="N1" t="s">
        <v>156</v>
      </c>
      <c r="O1" t="s">
        <v>159</v>
      </c>
    </row>
    <row r="2" spans="1:1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44</v>
      </c>
      <c r="L2" t="s">
        <v>10</v>
      </c>
      <c r="M2" t="s">
        <v>12</v>
      </c>
      <c r="N2" t="s">
        <v>10</v>
      </c>
      <c r="O2" t="s">
        <v>13</v>
      </c>
    </row>
    <row r="3" spans="1:15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55</v>
      </c>
      <c r="I3" s="2" t="s">
        <v>84</v>
      </c>
      <c r="J3" s="3" t="s">
        <v>68</v>
      </c>
      <c r="K3" s="2" t="s">
        <v>234</v>
      </c>
      <c r="L3" s="3" t="s">
        <v>235</v>
      </c>
      <c r="M3" s="3" t="s">
        <v>157</v>
      </c>
      <c r="N3" s="2" t="s">
        <v>158</v>
      </c>
      <c r="O3" s="2" t="s">
        <v>160</v>
      </c>
    </row>
    <row r="4" spans="1:15">
      <c r="A4" s="3" t="s">
        <v>25</v>
      </c>
      <c r="B4" s="3" t="s">
        <v>26</v>
      </c>
      <c r="C4" s="3" t="s">
        <v>155</v>
      </c>
      <c r="D4" s="3"/>
      <c r="E4" s="3" t="s">
        <v>152</v>
      </c>
      <c r="F4" s="4">
        <f ca="1">NOW()</f>
        <v>43847.702774189813</v>
      </c>
      <c r="G4" s="3" t="s">
        <v>27</v>
      </c>
      <c r="H4" s="3" t="s">
        <v>151</v>
      </c>
      <c r="I4" s="3" t="s">
        <v>178</v>
      </c>
      <c r="J4" t="s">
        <v>245</v>
      </c>
      <c r="O4" s="3" t="s">
        <v>55</v>
      </c>
    </row>
    <row r="5" spans="1:15">
      <c r="A5" s="3" t="s">
        <v>25</v>
      </c>
      <c r="B5" s="3" t="s">
        <v>26</v>
      </c>
      <c r="C5" s="3" t="s">
        <v>155</v>
      </c>
      <c r="D5" s="3"/>
      <c r="E5" s="3" t="s">
        <v>150</v>
      </c>
      <c r="F5" s="4">
        <f ca="1">NOW()</f>
        <v>43847.702774189813</v>
      </c>
      <c r="G5" s="3" t="s">
        <v>27</v>
      </c>
      <c r="H5" s="3" t="s">
        <v>151</v>
      </c>
      <c r="I5" s="3" t="s">
        <v>178</v>
      </c>
      <c r="J5" t="s">
        <v>315</v>
      </c>
      <c r="O5" s="3" t="s">
        <v>55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A5" sqref="A5"/>
    </sheetView>
  </sheetViews>
  <sheetFormatPr defaultRowHeight="14"/>
  <cols>
    <col min="6" max="6" width="17.58203125" customWidth="1"/>
    <col min="9" max="9" width="16.33203125" customWidth="1"/>
  </cols>
  <sheetData>
    <row r="1" spans="1:12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30</v>
      </c>
      <c r="I1" t="s">
        <v>72</v>
      </c>
      <c r="J1" t="s">
        <v>31</v>
      </c>
      <c r="K1" t="s">
        <v>43</v>
      </c>
      <c r="L1" t="s">
        <v>67</v>
      </c>
    </row>
    <row r="2" spans="1:12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44</v>
      </c>
      <c r="L2" t="s">
        <v>10</v>
      </c>
    </row>
    <row r="3" spans="1:12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28</v>
      </c>
      <c r="I3" s="2" t="s">
        <v>84</v>
      </c>
      <c r="J3" s="3" t="s">
        <v>63</v>
      </c>
      <c r="K3" s="2" t="s">
        <v>65</v>
      </c>
      <c r="L3" s="3" t="s">
        <v>239</v>
      </c>
    </row>
    <row r="4" spans="1:12">
      <c r="A4" s="3" t="s">
        <v>25</v>
      </c>
      <c r="B4" s="3" t="s">
        <v>26</v>
      </c>
      <c r="C4" s="3" t="s">
        <v>238</v>
      </c>
      <c r="D4" s="3"/>
      <c r="E4" s="3" t="s">
        <v>150</v>
      </c>
      <c r="F4" s="4">
        <f ca="1">NOW()</f>
        <v>43847.702774189813</v>
      </c>
      <c r="G4" s="3" t="s">
        <v>27</v>
      </c>
      <c r="H4" s="3" t="s">
        <v>150</v>
      </c>
      <c r="I4" s="3"/>
      <c r="J4" t="s">
        <v>251</v>
      </c>
    </row>
    <row r="5" spans="1:12">
      <c r="A5" s="3" t="s">
        <v>25</v>
      </c>
      <c r="B5" s="3" t="s">
        <v>26</v>
      </c>
      <c r="C5" s="3" t="s">
        <v>238</v>
      </c>
      <c r="D5" s="3"/>
      <c r="E5" s="3" t="s">
        <v>150</v>
      </c>
      <c r="F5" s="4">
        <f ca="1">NOW()</f>
        <v>43847.702774189813</v>
      </c>
      <c r="G5" s="3" t="s">
        <v>27</v>
      </c>
      <c r="H5" s="3" t="s">
        <v>150</v>
      </c>
      <c r="I5" s="3"/>
      <c r="J5" t="s">
        <v>265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A4" sqref="A4"/>
    </sheetView>
  </sheetViews>
  <sheetFormatPr defaultRowHeight="14"/>
  <cols>
    <col min="6" max="6" width="16.4140625" bestFit="1" customWidth="1"/>
  </cols>
  <sheetData>
    <row r="1" spans="1:1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15</v>
      </c>
      <c r="N1" t="s">
        <v>16</v>
      </c>
      <c r="O1" s="1" t="s">
        <v>17</v>
      </c>
      <c r="P1" t="s">
        <v>76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77</v>
      </c>
    </row>
    <row r="3" spans="1:16" s="7" customFormat="1">
      <c r="A3" s="2" t="s">
        <v>18</v>
      </c>
      <c r="B3" s="2" t="s">
        <v>19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7" t="s">
        <v>91</v>
      </c>
    </row>
    <row r="4" spans="1:16">
      <c r="A4" s="3" t="s">
        <v>92</v>
      </c>
      <c r="B4" s="3" t="s">
        <v>93</v>
      </c>
      <c r="C4" s="3" t="s">
        <v>94</v>
      </c>
      <c r="D4" s="3" t="s">
        <v>28</v>
      </c>
      <c r="E4" s="3" t="s">
        <v>95</v>
      </c>
      <c r="F4" s="4">
        <f ca="1">NOW()</f>
        <v>43847.702774189813</v>
      </c>
      <c r="G4" s="3" t="s">
        <v>153</v>
      </c>
      <c r="H4" s="3" t="s">
        <v>28</v>
      </c>
      <c r="I4" s="3" t="s">
        <v>96</v>
      </c>
      <c r="J4" s="3" t="s">
        <v>58</v>
      </c>
      <c r="K4" s="3" t="s">
        <v>97</v>
      </c>
      <c r="L4" t="s">
        <v>98</v>
      </c>
      <c r="M4" s="3" t="s">
        <v>99</v>
      </c>
      <c r="N4" s="3" t="s">
        <v>100</v>
      </c>
      <c r="O4" s="3" t="s">
        <v>101</v>
      </c>
      <c r="P4" s="3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pane xSplit="1" ySplit="3" topLeftCell="M7" activePane="bottomRight" state="frozen"/>
      <selection pane="topRight" activeCell="B1" sqref="B1"/>
      <selection pane="bottomLeft" activeCell="A4" sqref="A4"/>
      <selection pane="bottomRight" activeCell="A17" sqref="A17"/>
    </sheetView>
  </sheetViews>
  <sheetFormatPr defaultRowHeight="14"/>
  <cols>
    <col min="1" max="1" width="14.6640625" customWidth="1"/>
    <col min="7" max="7" width="17.4140625" customWidth="1"/>
    <col min="8" max="8" width="13.4140625" customWidth="1"/>
    <col min="9" max="9" width="12.25" bestFit="1" customWidth="1"/>
    <col min="24" max="24" width="12" customWidth="1"/>
    <col min="25" max="25" width="10.9140625" customWidth="1"/>
    <col min="33" max="33" width="10.58203125" customWidth="1"/>
  </cols>
  <sheetData>
    <row r="1" spans="1:44">
      <c r="A1" t="s">
        <v>256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71</v>
      </c>
      <c r="J1" t="s">
        <v>72</v>
      </c>
      <c r="K1" t="s">
        <v>30</v>
      </c>
      <c r="L1" t="s">
        <v>51</v>
      </c>
      <c r="M1" t="s">
        <v>32</v>
      </c>
      <c r="N1" t="s">
        <v>103</v>
      </c>
      <c r="O1" t="s">
        <v>104</v>
      </c>
      <c r="P1" t="s">
        <v>105</v>
      </c>
      <c r="Q1" t="s">
        <v>50</v>
      </c>
      <c r="R1" t="s">
        <v>67</v>
      </c>
      <c r="S1" t="s">
        <v>38</v>
      </c>
      <c r="T1" t="s">
        <v>106</v>
      </c>
      <c r="U1" t="s">
        <v>33</v>
      </c>
      <c r="V1" t="s">
        <v>37</v>
      </c>
      <c r="W1" t="s">
        <v>35</v>
      </c>
      <c r="X1" t="s">
        <v>31</v>
      </c>
      <c r="Y1" t="s">
        <v>107</v>
      </c>
      <c r="Z1" t="s">
        <v>40</v>
      </c>
      <c r="AA1" t="s">
        <v>46</v>
      </c>
      <c r="AB1" t="s">
        <v>108</v>
      </c>
      <c r="AC1" t="s">
        <v>36</v>
      </c>
      <c r="AD1" t="s">
        <v>42</v>
      </c>
      <c r="AE1" t="s">
        <v>41</v>
      </c>
      <c r="AF1" t="s">
        <v>109</v>
      </c>
      <c r="AG1" t="s">
        <v>110</v>
      </c>
      <c r="AH1" t="s">
        <v>43</v>
      </c>
      <c r="AI1" t="s">
        <v>69</v>
      </c>
      <c r="AJ1" t="s">
        <v>111</v>
      </c>
      <c r="AK1" t="s">
        <v>47</v>
      </c>
      <c r="AL1" t="s">
        <v>52</v>
      </c>
      <c r="AM1" t="s">
        <v>49</v>
      </c>
      <c r="AN1" t="s">
        <v>15</v>
      </c>
      <c r="AO1" t="s">
        <v>16</v>
      </c>
      <c r="AP1" t="s">
        <v>54</v>
      </c>
      <c r="AQ1" s="1" t="s">
        <v>17</v>
      </c>
      <c r="AR1" t="s">
        <v>112</v>
      </c>
    </row>
    <row r="2" spans="1:44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10</v>
      </c>
      <c r="L2" t="s">
        <v>37</v>
      </c>
      <c r="M2" t="s">
        <v>13</v>
      </c>
      <c r="N2" t="s">
        <v>39</v>
      </c>
      <c r="O2" t="s">
        <v>104</v>
      </c>
      <c r="P2" t="s">
        <v>10</v>
      </c>
      <c r="Q2" t="s">
        <v>34</v>
      </c>
      <c r="R2" t="s">
        <v>10</v>
      </c>
      <c r="S2" t="s">
        <v>39</v>
      </c>
      <c r="T2" t="s">
        <v>34</v>
      </c>
      <c r="U2" t="s">
        <v>34</v>
      </c>
      <c r="V2" t="s">
        <v>37</v>
      </c>
      <c r="W2" t="s">
        <v>34</v>
      </c>
      <c r="X2" t="s">
        <v>10</v>
      </c>
      <c r="Y2" t="s">
        <v>10</v>
      </c>
      <c r="Z2" t="s">
        <v>34</v>
      </c>
      <c r="AA2" t="s">
        <v>45</v>
      </c>
      <c r="AB2" t="s">
        <v>70</v>
      </c>
      <c r="AC2" t="s">
        <v>34</v>
      </c>
      <c r="AD2" t="s">
        <v>37</v>
      </c>
      <c r="AE2" t="s">
        <v>39</v>
      </c>
      <c r="AF2" t="s">
        <v>34</v>
      </c>
      <c r="AG2" t="s">
        <v>39</v>
      </c>
      <c r="AH2" t="s">
        <v>44</v>
      </c>
      <c r="AI2" t="s">
        <v>70</v>
      </c>
      <c r="AJ2" t="s">
        <v>34</v>
      </c>
      <c r="AK2" t="s">
        <v>48</v>
      </c>
      <c r="AL2" t="s">
        <v>53</v>
      </c>
      <c r="AM2" t="s">
        <v>14</v>
      </c>
      <c r="AN2" t="s">
        <v>13</v>
      </c>
      <c r="AO2" t="s">
        <v>13</v>
      </c>
      <c r="AP2" t="s">
        <v>53</v>
      </c>
      <c r="AQ2" t="s">
        <v>10</v>
      </c>
      <c r="AR2" t="s">
        <v>113</v>
      </c>
    </row>
    <row r="3" spans="1:44">
      <c r="B3" s="2" t="s">
        <v>114</v>
      </c>
      <c r="C3" s="2" t="s">
        <v>115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3" t="s">
        <v>116</v>
      </c>
      <c r="L3" s="3" t="s">
        <v>117</v>
      </c>
      <c r="M3" s="3" t="s">
        <v>118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124</v>
      </c>
      <c r="T3" s="3" t="s">
        <v>125</v>
      </c>
      <c r="U3" s="3" t="s">
        <v>126</v>
      </c>
      <c r="V3" s="3" t="s">
        <v>127</v>
      </c>
      <c r="W3" s="3" t="s">
        <v>128</v>
      </c>
      <c r="X3" s="3" t="s">
        <v>129</v>
      </c>
      <c r="Y3" s="3" t="s">
        <v>130</v>
      </c>
      <c r="Z3" s="3" t="s">
        <v>131</v>
      </c>
      <c r="AA3" s="3" t="s">
        <v>97</v>
      </c>
      <c r="AB3" s="3" t="s">
        <v>132</v>
      </c>
      <c r="AC3" s="3" t="s">
        <v>133</v>
      </c>
      <c r="AD3" s="3" t="s">
        <v>134</v>
      </c>
      <c r="AE3" s="3" t="s">
        <v>135</v>
      </c>
      <c r="AF3" s="3" t="s">
        <v>136</v>
      </c>
      <c r="AG3" s="3" t="s">
        <v>137</v>
      </c>
      <c r="AH3" s="3" t="s">
        <v>138</v>
      </c>
      <c r="AI3" s="3" t="s">
        <v>139</v>
      </c>
      <c r="AJ3" s="3" t="s">
        <v>140</v>
      </c>
      <c r="AK3" s="3" t="s">
        <v>141</v>
      </c>
      <c r="AL3" s="3" t="s">
        <v>142</v>
      </c>
      <c r="AM3" s="3" t="s">
        <v>143</v>
      </c>
      <c r="AN3" s="3" t="s">
        <v>88</v>
      </c>
      <c r="AO3" s="3" t="s">
        <v>89</v>
      </c>
      <c r="AP3" s="3" t="s">
        <v>144</v>
      </c>
      <c r="AQ3" s="2" t="s">
        <v>90</v>
      </c>
      <c r="AR3" s="7" t="s">
        <v>76</v>
      </c>
    </row>
    <row r="4" spans="1:44">
      <c r="A4" t="s">
        <v>257</v>
      </c>
      <c r="B4" s="3" t="s">
        <v>92</v>
      </c>
      <c r="C4" s="3" t="s">
        <v>26</v>
      </c>
      <c r="D4" s="3" t="s">
        <v>18</v>
      </c>
      <c r="E4" s="3" t="s">
        <v>28</v>
      </c>
      <c r="F4" s="3" t="s">
        <v>27</v>
      </c>
      <c r="G4" s="4">
        <f t="shared" ref="G4:G17" ca="1" si="0">NOW()</f>
        <v>43847.702774189813</v>
      </c>
      <c r="H4" s="3" t="s">
        <v>149</v>
      </c>
      <c r="I4" s="3" t="s">
        <v>28</v>
      </c>
      <c r="J4" s="3"/>
      <c r="K4" s="3" t="s">
        <v>149</v>
      </c>
      <c r="L4" s="3" t="s">
        <v>66</v>
      </c>
      <c r="M4" s="3" t="s">
        <v>258</v>
      </c>
      <c r="N4" s="3" t="s">
        <v>247</v>
      </c>
      <c r="P4" s="3" t="s">
        <v>66</v>
      </c>
      <c r="Q4" s="3" t="s">
        <v>66</v>
      </c>
      <c r="R4" s="3" t="s">
        <v>66</v>
      </c>
      <c r="S4" s="3" t="s">
        <v>248</v>
      </c>
      <c r="T4" s="3" t="s">
        <v>249</v>
      </c>
      <c r="U4" s="3" t="s">
        <v>59</v>
      </c>
      <c r="V4" s="3" t="s">
        <v>254</v>
      </c>
      <c r="W4" s="3" t="s">
        <v>247</v>
      </c>
      <c r="X4" t="s">
        <v>250</v>
      </c>
      <c r="Y4" s="8" t="s">
        <v>252</v>
      </c>
      <c r="Z4" s="3" t="s">
        <v>66</v>
      </c>
      <c r="AC4" t="s">
        <v>56</v>
      </c>
      <c r="AF4" s="3" t="s">
        <v>240</v>
      </c>
      <c r="AG4" s="3" t="s">
        <v>66</v>
      </c>
      <c r="AH4" t="s">
        <v>57</v>
      </c>
      <c r="AJ4" s="3" t="s">
        <v>28</v>
      </c>
      <c r="AL4" s="3" t="s">
        <v>253</v>
      </c>
      <c r="AN4" s="3" t="s">
        <v>99</v>
      </c>
      <c r="AQ4" s="3" t="s">
        <v>29</v>
      </c>
      <c r="AR4" s="3" t="s">
        <v>304</v>
      </c>
    </row>
    <row r="5" spans="1:44">
      <c r="A5" t="s">
        <v>257</v>
      </c>
      <c r="B5" s="3" t="s">
        <v>92</v>
      </c>
      <c r="C5" s="3" t="s">
        <v>26</v>
      </c>
      <c r="D5" s="3" t="s">
        <v>18</v>
      </c>
      <c r="E5" s="3" t="s">
        <v>28</v>
      </c>
      <c r="F5" s="3" t="s">
        <v>27</v>
      </c>
      <c r="G5" s="4">
        <f t="shared" ca="1" si="0"/>
        <v>43847.702774189813</v>
      </c>
      <c r="H5" s="3" t="s">
        <v>149</v>
      </c>
      <c r="I5" s="3" t="s">
        <v>28</v>
      </c>
      <c r="J5" s="3"/>
      <c r="K5" s="3" t="s">
        <v>149</v>
      </c>
      <c r="L5" s="3" t="s">
        <v>66</v>
      </c>
      <c r="M5" s="3" t="s">
        <v>259</v>
      </c>
      <c r="N5" s="3" t="s">
        <v>247</v>
      </c>
      <c r="P5" s="3" t="s">
        <v>66</v>
      </c>
      <c r="Q5" s="3" t="s">
        <v>66</v>
      </c>
      <c r="R5" s="3" t="s">
        <v>66</v>
      </c>
      <c r="S5" s="3" t="s">
        <v>248</v>
      </c>
      <c r="T5" s="3" t="s">
        <v>249</v>
      </c>
      <c r="U5" s="3" t="s">
        <v>59</v>
      </c>
      <c r="V5" s="3" t="s">
        <v>255</v>
      </c>
      <c r="W5" s="3" t="s">
        <v>55</v>
      </c>
      <c r="X5" t="s">
        <v>250</v>
      </c>
      <c r="Y5" s="8" t="s">
        <v>252</v>
      </c>
      <c r="Z5" s="3" t="s">
        <v>66</v>
      </c>
      <c r="AC5" t="s">
        <v>56</v>
      </c>
      <c r="AF5" s="3" t="s">
        <v>240</v>
      </c>
      <c r="AG5" s="3" t="s">
        <v>66</v>
      </c>
      <c r="AH5" t="s">
        <v>57</v>
      </c>
      <c r="AJ5" s="3" t="s">
        <v>28</v>
      </c>
      <c r="AL5" s="3" t="s">
        <v>253</v>
      </c>
      <c r="AN5" s="3" t="s">
        <v>99</v>
      </c>
      <c r="AQ5" s="3" t="s">
        <v>29</v>
      </c>
      <c r="AR5" s="3" t="s">
        <v>305</v>
      </c>
    </row>
    <row r="6" spans="1:44">
      <c r="A6" t="s">
        <v>260</v>
      </c>
      <c r="B6" s="3" t="s">
        <v>92</v>
      </c>
      <c r="C6" s="3" t="s">
        <v>26</v>
      </c>
      <c r="D6" s="3" t="s">
        <v>18</v>
      </c>
      <c r="E6" s="3" t="s">
        <v>28</v>
      </c>
      <c r="F6" s="3" t="s">
        <v>27</v>
      </c>
      <c r="G6" s="4">
        <f t="shared" ca="1" si="0"/>
        <v>43847.702774189813</v>
      </c>
      <c r="H6" s="3" t="s">
        <v>149</v>
      </c>
      <c r="I6" s="3" t="s">
        <v>28</v>
      </c>
      <c r="J6" s="3"/>
      <c r="K6" s="3" t="s">
        <v>149</v>
      </c>
      <c r="L6" s="3" t="s">
        <v>66</v>
      </c>
      <c r="M6" s="3" t="s">
        <v>261</v>
      </c>
      <c r="N6" s="3" t="s">
        <v>66</v>
      </c>
      <c r="P6" s="3" t="s">
        <v>66</v>
      </c>
      <c r="Q6" s="3" t="s">
        <v>66</v>
      </c>
      <c r="R6" s="3" t="s">
        <v>66</v>
      </c>
      <c r="S6" s="3" t="s">
        <v>28</v>
      </c>
      <c r="T6" s="3" t="s">
        <v>262</v>
      </c>
      <c r="U6" s="3" t="s">
        <v>59</v>
      </c>
      <c r="V6" s="3" t="s">
        <v>263</v>
      </c>
      <c r="W6" s="3" t="s">
        <v>264</v>
      </c>
      <c r="X6" t="s">
        <v>265</v>
      </c>
      <c r="Z6" s="3" t="s">
        <v>66</v>
      </c>
      <c r="AC6" t="s">
        <v>56</v>
      </c>
      <c r="AD6" s="3" t="s">
        <v>266</v>
      </c>
      <c r="AF6" s="3" t="s">
        <v>240</v>
      </c>
      <c r="AG6" s="3" t="s">
        <v>267</v>
      </c>
      <c r="AH6" t="s">
        <v>57</v>
      </c>
      <c r="AJ6" s="3" t="s">
        <v>28</v>
      </c>
      <c r="AL6" s="3" t="s">
        <v>28</v>
      </c>
      <c r="AN6" s="3" t="s">
        <v>99</v>
      </c>
      <c r="AQ6" s="3" t="s">
        <v>29</v>
      </c>
      <c r="AR6" s="3" t="s">
        <v>306</v>
      </c>
    </row>
    <row r="7" spans="1:44">
      <c r="A7" t="s">
        <v>268</v>
      </c>
      <c r="B7" s="3" t="s">
        <v>92</v>
      </c>
      <c r="C7" s="3" t="s">
        <v>26</v>
      </c>
      <c r="D7" s="3" t="s">
        <v>18</v>
      </c>
      <c r="E7" s="3" t="s">
        <v>28</v>
      </c>
      <c r="F7" s="3" t="s">
        <v>27</v>
      </c>
      <c r="G7" s="4">
        <f t="shared" ca="1" si="0"/>
        <v>43847.702774189813</v>
      </c>
      <c r="H7" s="3" t="s">
        <v>149</v>
      </c>
      <c r="I7" s="3" t="s">
        <v>28</v>
      </c>
      <c r="J7" s="3"/>
      <c r="K7" s="3" t="s">
        <v>149</v>
      </c>
      <c r="L7" s="3" t="s">
        <v>66</v>
      </c>
      <c r="M7" s="3" t="s">
        <v>64</v>
      </c>
      <c r="N7" s="3" t="s">
        <v>66</v>
      </c>
      <c r="P7" s="3" t="s">
        <v>66</v>
      </c>
      <c r="Q7" s="3" t="s">
        <v>66</v>
      </c>
      <c r="R7" s="3" t="s">
        <v>66</v>
      </c>
      <c r="S7" s="3" t="s">
        <v>28</v>
      </c>
      <c r="T7" s="3" t="s">
        <v>269</v>
      </c>
      <c r="U7" s="3" t="s">
        <v>59</v>
      </c>
      <c r="V7" s="3" t="s">
        <v>263</v>
      </c>
      <c r="W7" s="3" t="s">
        <v>264</v>
      </c>
      <c r="X7" t="s">
        <v>265</v>
      </c>
      <c r="Z7" s="3" t="s">
        <v>66</v>
      </c>
      <c r="AC7" t="s">
        <v>56</v>
      </c>
      <c r="AD7" s="3" t="s">
        <v>266</v>
      </c>
      <c r="AF7" s="3" t="s">
        <v>240</v>
      </c>
      <c r="AG7" s="3" t="s">
        <v>270</v>
      </c>
      <c r="AH7" t="s">
        <v>57</v>
      </c>
      <c r="AJ7" s="3" t="s">
        <v>28</v>
      </c>
      <c r="AL7" s="3" t="s">
        <v>28</v>
      </c>
      <c r="AN7" s="3" t="s">
        <v>99</v>
      </c>
      <c r="AQ7" s="3" t="s">
        <v>29</v>
      </c>
      <c r="AR7" s="3" t="s">
        <v>307</v>
      </c>
    </row>
    <row r="8" spans="1:44">
      <c r="A8" t="s">
        <v>271</v>
      </c>
      <c r="B8" s="3" t="s">
        <v>92</v>
      </c>
      <c r="C8" s="3" t="s">
        <v>26</v>
      </c>
      <c r="D8" s="3" t="s">
        <v>18</v>
      </c>
      <c r="E8" s="3" t="s">
        <v>28</v>
      </c>
      <c r="F8" s="3" t="s">
        <v>27</v>
      </c>
      <c r="G8" s="4">
        <f t="shared" ca="1" si="0"/>
        <v>43847.702774189813</v>
      </c>
      <c r="H8" s="3" t="s">
        <v>149</v>
      </c>
      <c r="I8" s="3" t="s">
        <v>28</v>
      </c>
      <c r="J8" s="3"/>
      <c r="K8" s="3" t="s">
        <v>149</v>
      </c>
      <c r="L8" s="3" t="s">
        <v>66</v>
      </c>
      <c r="M8" s="3" t="s">
        <v>272</v>
      </c>
      <c r="N8" s="3" t="s">
        <v>66</v>
      </c>
      <c r="P8" s="3" t="s">
        <v>66</v>
      </c>
      <c r="Q8" s="3" t="s">
        <v>66</v>
      </c>
      <c r="R8" s="3" t="s">
        <v>66</v>
      </c>
      <c r="S8" s="3" t="s">
        <v>55</v>
      </c>
      <c r="T8" s="3" t="s">
        <v>273</v>
      </c>
      <c r="U8" s="3" t="s">
        <v>59</v>
      </c>
      <c r="V8" s="3" t="s">
        <v>263</v>
      </c>
      <c r="W8" s="3" t="s">
        <v>59</v>
      </c>
      <c r="X8" t="s">
        <v>274</v>
      </c>
      <c r="Y8" s="8" t="s">
        <v>275</v>
      </c>
      <c r="Z8" s="3" t="s">
        <v>276</v>
      </c>
      <c r="AC8" t="s">
        <v>56</v>
      </c>
      <c r="AF8" s="3" t="s">
        <v>240</v>
      </c>
      <c r="AG8" s="3" t="s">
        <v>66</v>
      </c>
      <c r="AH8" t="s">
        <v>57</v>
      </c>
      <c r="AJ8" s="3" t="s">
        <v>28</v>
      </c>
      <c r="AL8" s="3" t="s">
        <v>253</v>
      </c>
      <c r="AN8" s="3" t="s">
        <v>99</v>
      </c>
      <c r="AQ8" s="3" t="s">
        <v>29</v>
      </c>
      <c r="AR8" s="3" t="s">
        <v>305</v>
      </c>
    </row>
    <row r="9" spans="1:44">
      <c r="A9" t="s">
        <v>280</v>
      </c>
      <c r="B9" s="3" t="s">
        <v>92</v>
      </c>
      <c r="C9" s="3" t="s">
        <v>26</v>
      </c>
      <c r="D9" s="3" t="s">
        <v>18</v>
      </c>
      <c r="E9" s="3" t="s">
        <v>28</v>
      </c>
      <c r="F9" s="3" t="s">
        <v>27</v>
      </c>
      <c r="G9" s="4">
        <f t="shared" ca="1" si="0"/>
        <v>43847.702774189813</v>
      </c>
      <c r="H9" s="3" t="s">
        <v>149</v>
      </c>
      <c r="I9" s="3" t="s">
        <v>28</v>
      </c>
      <c r="J9" s="3"/>
      <c r="K9" s="3" t="s">
        <v>149</v>
      </c>
      <c r="L9" s="3" t="s">
        <v>66</v>
      </c>
      <c r="M9" s="3" t="s">
        <v>277</v>
      </c>
      <c r="N9" s="3" t="s">
        <v>66</v>
      </c>
      <c r="P9" s="3" t="s">
        <v>66</v>
      </c>
      <c r="Q9" s="3" t="s">
        <v>66</v>
      </c>
      <c r="R9" s="3" t="s">
        <v>66</v>
      </c>
      <c r="S9" s="3" t="s">
        <v>55</v>
      </c>
      <c r="T9" s="3" t="s">
        <v>283</v>
      </c>
      <c r="U9" s="3" t="s">
        <v>59</v>
      </c>
      <c r="V9" s="3" t="s">
        <v>263</v>
      </c>
      <c r="W9" s="3" t="s">
        <v>59</v>
      </c>
      <c r="X9" t="s">
        <v>274</v>
      </c>
      <c r="Y9" s="8" t="s">
        <v>279</v>
      </c>
      <c r="Z9" s="3" t="s">
        <v>278</v>
      </c>
      <c r="AC9" t="s">
        <v>56</v>
      </c>
      <c r="AF9" s="3" t="s">
        <v>240</v>
      </c>
      <c r="AG9" s="3" t="s">
        <v>66</v>
      </c>
      <c r="AH9" t="s">
        <v>57</v>
      </c>
      <c r="AJ9" s="3" t="s">
        <v>28</v>
      </c>
      <c r="AL9" s="3" t="s">
        <v>253</v>
      </c>
      <c r="AN9" s="3" t="s">
        <v>99</v>
      </c>
      <c r="AQ9" s="3" t="s">
        <v>29</v>
      </c>
      <c r="AR9" s="3" t="s">
        <v>305</v>
      </c>
    </row>
    <row r="10" spans="1:44">
      <c r="A10" t="s">
        <v>290</v>
      </c>
      <c r="B10" s="3" t="s">
        <v>92</v>
      </c>
      <c r="C10" s="3" t="s">
        <v>26</v>
      </c>
      <c r="D10" s="3" t="s">
        <v>18</v>
      </c>
      <c r="E10" s="3" t="s">
        <v>28</v>
      </c>
      <c r="F10" s="3" t="s">
        <v>27</v>
      </c>
      <c r="G10" s="4">
        <f t="shared" ca="1" si="0"/>
        <v>43847.702774189813</v>
      </c>
      <c r="H10" s="3" t="s">
        <v>149</v>
      </c>
      <c r="I10" s="3" t="s">
        <v>28</v>
      </c>
      <c r="J10" s="3"/>
      <c r="K10" s="3" t="s">
        <v>149</v>
      </c>
      <c r="L10" s="3" t="s">
        <v>66</v>
      </c>
      <c r="M10" s="3" t="s">
        <v>162</v>
      </c>
      <c r="N10" s="3" t="s">
        <v>66</v>
      </c>
      <c r="P10" s="3" t="s">
        <v>66</v>
      </c>
      <c r="Q10" s="3" t="s">
        <v>66</v>
      </c>
      <c r="R10" s="3" t="s">
        <v>66</v>
      </c>
      <c r="S10" s="3" t="s">
        <v>281</v>
      </c>
      <c r="T10" s="3" t="s">
        <v>282</v>
      </c>
      <c r="U10" s="3" t="s">
        <v>59</v>
      </c>
      <c r="V10" s="3" t="s">
        <v>284</v>
      </c>
      <c r="W10" s="3" t="s">
        <v>59</v>
      </c>
      <c r="X10" t="s">
        <v>274</v>
      </c>
      <c r="Y10" s="8" t="s">
        <v>289</v>
      </c>
      <c r="Z10" s="3" t="s">
        <v>66</v>
      </c>
      <c r="AC10" t="s">
        <v>56</v>
      </c>
      <c r="AF10" s="3" t="s">
        <v>240</v>
      </c>
      <c r="AG10" s="3" t="s">
        <v>285</v>
      </c>
      <c r="AH10" t="s">
        <v>57</v>
      </c>
      <c r="AJ10" s="3" t="s">
        <v>28</v>
      </c>
      <c r="AL10" s="3" t="s">
        <v>253</v>
      </c>
      <c r="AN10" s="3" t="s">
        <v>99</v>
      </c>
      <c r="AQ10" s="3" t="s">
        <v>29</v>
      </c>
      <c r="AR10" s="3" t="s">
        <v>304</v>
      </c>
    </row>
    <row r="11" spans="1:44">
      <c r="A11" t="s">
        <v>294</v>
      </c>
      <c r="B11" s="3" t="s">
        <v>92</v>
      </c>
      <c r="C11" s="3" t="s">
        <v>26</v>
      </c>
      <c r="D11" s="3" t="s">
        <v>18</v>
      </c>
      <c r="E11" s="3" t="s">
        <v>28</v>
      </c>
      <c r="F11" s="3" t="s">
        <v>27</v>
      </c>
      <c r="G11" s="4">
        <f t="shared" ca="1" si="0"/>
        <v>43847.702774189813</v>
      </c>
      <c r="H11" s="3" t="s">
        <v>149</v>
      </c>
      <c r="I11" s="3" t="s">
        <v>28</v>
      </c>
      <c r="J11" s="3"/>
      <c r="K11" s="3" t="s">
        <v>149</v>
      </c>
      <c r="L11" s="3" t="s">
        <v>66</v>
      </c>
      <c r="M11" s="3" t="s">
        <v>286</v>
      </c>
      <c r="N11" s="3" t="s">
        <v>66</v>
      </c>
      <c r="P11" s="3" t="s">
        <v>66</v>
      </c>
      <c r="Q11" s="3" t="s">
        <v>66</v>
      </c>
      <c r="R11" s="3" t="s">
        <v>66</v>
      </c>
      <c r="S11" s="3" t="s">
        <v>55</v>
      </c>
      <c r="T11" s="3" t="s">
        <v>283</v>
      </c>
      <c r="U11" s="3" t="s">
        <v>59</v>
      </c>
      <c r="V11" s="3" t="s">
        <v>287</v>
      </c>
      <c r="W11" s="3" t="s">
        <v>59</v>
      </c>
      <c r="X11" t="s">
        <v>274</v>
      </c>
      <c r="Y11" s="8" t="s">
        <v>288</v>
      </c>
      <c r="Z11" s="3" t="s">
        <v>66</v>
      </c>
      <c r="AC11" t="s">
        <v>56</v>
      </c>
      <c r="AF11" s="3" t="s">
        <v>240</v>
      </c>
      <c r="AG11" s="3" t="s">
        <v>66</v>
      </c>
      <c r="AH11" t="s">
        <v>57</v>
      </c>
      <c r="AJ11" s="3" t="s">
        <v>28</v>
      </c>
      <c r="AL11" s="3" t="s">
        <v>253</v>
      </c>
      <c r="AN11" s="3" t="s">
        <v>99</v>
      </c>
      <c r="AQ11" s="3" t="s">
        <v>29</v>
      </c>
      <c r="AR11" s="3" t="s">
        <v>304</v>
      </c>
    </row>
    <row r="12" spans="1:44">
      <c r="A12" t="s">
        <v>293</v>
      </c>
      <c r="B12" s="3" t="s">
        <v>92</v>
      </c>
      <c r="C12" s="3" t="s">
        <v>26</v>
      </c>
      <c r="D12" s="3" t="s">
        <v>18</v>
      </c>
      <c r="E12" s="3" t="s">
        <v>28</v>
      </c>
      <c r="F12" s="3" t="s">
        <v>27</v>
      </c>
      <c r="G12" s="4">
        <f t="shared" ca="1" si="0"/>
        <v>43847.702774189813</v>
      </c>
      <c r="H12" s="3" t="s">
        <v>149</v>
      </c>
      <c r="I12" s="3" t="s">
        <v>28</v>
      </c>
      <c r="J12" s="3"/>
      <c r="K12" s="3" t="s">
        <v>149</v>
      </c>
      <c r="L12" s="3" t="s">
        <v>66</v>
      </c>
      <c r="M12" s="3" t="s">
        <v>292</v>
      </c>
      <c r="N12" s="3" t="s">
        <v>66</v>
      </c>
      <c r="P12" s="3" t="s">
        <v>66</v>
      </c>
      <c r="Q12" s="3" t="s">
        <v>66</v>
      </c>
      <c r="R12" s="3" t="s">
        <v>66</v>
      </c>
      <c r="S12" s="3" t="s">
        <v>55</v>
      </c>
      <c r="T12" s="3" t="s">
        <v>283</v>
      </c>
      <c r="U12" s="3" t="s">
        <v>59</v>
      </c>
      <c r="V12" s="3" t="s">
        <v>287</v>
      </c>
      <c r="W12" s="3" t="s">
        <v>59</v>
      </c>
      <c r="X12" t="s">
        <v>274</v>
      </c>
      <c r="Y12" s="8" t="s">
        <v>288</v>
      </c>
      <c r="Z12" s="3" t="s">
        <v>66</v>
      </c>
      <c r="AC12" t="s">
        <v>56</v>
      </c>
      <c r="AF12" s="3" t="s">
        <v>240</v>
      </c>
      <c r="AG12" s="3" t="s">
        <v>66</v>
      </c>
      <c r="AH12" t="s">
        <v>57</v>
      </c>
      <c r="AJ12" s="3" t="s">
        <v>28</v>
      </c>
      <c r="AL12" s="3" t="s">
        <v>253</v>
      </c>
      <c r="AN12" s="3" t="s">
        <v>99</v>
      </c>
      <c r="AQ12" s="3" t="s">
        <v>29</v>
      </c>
      <c r="AR12" s="3" t="s">
        <v>304</v>
      </c>
    </row>
    <row r="13" spans="1:44">
      <c r="A13" t="s">
        <v>291</v>
      </c>
      <c r="B13" s="3" t="s">
        <v>92</v>
      </c>
      <c r="C13" s="3" t="s">
        <v>26</v>
      </c>
      <c r="D13" s="3" t="s">
        <v>18</v>
      </c>
      <c r="E13" s="3" t="s">
        <v>28</v>
      </c>
      <c r="F13" s="3" t="s">
        <v>27</v>
      </c>
      <c r="G13" s="4">
        <f t="shared" ca="1" si="0"/>
        <v>43847.702774189813</v>
      </c>
      <c r="H13" s="3" t="s">
        <v>149</v>
      </c>
      <c r="I13" s="3" t="s">
        <v>28</v>
      </c>
      <c r="J13" s="3"/>
      <c r="K13" s="3" t="s">
        <v>149</v>
      </c>
      <c r="L13" s="3" t="s">
        <v>66</v>
      </c>
      <c r="M13" s="3" t="s">
        <v>295</v>
      </c>
      <c r="N13" s="3" t="s">
        <v>66</v>
      </c>
      <c r="P13" s="3" t="s">
        <v>66</v>
      </c>
      <c r="Q13" s="3" t="s">
        <v>66</v>
      </c>
      <c r="R13" s="3" t="s">
        <v>66</v>
      </c>
      <c r="S13" s="3" t="s">
        <v>55</v>
      </c>
      <c r="T13" s="3" t="s">
        <v>296</v>
      </c>
      <c r="U13" s="3" t="s">
        <v>59</v>
      </c>
      <c r="V13" s="3" t="s">
        <v>287</v>
      </c>
      <c r="W13" s="3" t="s">
        <v>59</v>
      </c>
      <c r="X13" t="s">
        <v>274</v>
      </c>
      <c r="Y13" s="8" t="s">
        <v>297</v>
      </c>
      <c r="Z13" s="3" t="s">
        <v>66</v>
      </c>
      <c r="AC13" t="s">
        <v>56</v>
      </c>
      <c r="AF13" s="3" t="s">
        <v>240</v>
      </c>
      <c r="AG13" s="3" t="s">
        <v>55</v>
      </c>
      <c r="AH13" t="s">
        <v>57</v>
      </c>
      <c r="AJ13" s="3" t="s">
        <v>28</v>
      </c>
      <c r="AL13" s="3" t="s">
        <v>253</v>
      </c>
      <c r="AN13" s="3" t="s">
        <v>99</v>
      </c>
      <c r="AQ13" s="3" t="s">
        <v>29</v>
      </c>
      <c r="AR13" s="3" t="s">
        <v>308</v>
      </c>
    </row>
    <row r="14" spans="1:44">
      <c r="A14" t="s">
        <v>298</v>
      </c>
      <c r="B14" s="3" t="s">
        <v>92</v>
      </c>
      <c r="C14" s="3" t="s">
        <v>26</v>
      </c>
      <c r="D14" s="3" t="s">
        <v>18</v>
      </c>
      <c r="E14" s="3" t="s">
        <v>28</v>
      </c>
      <c r="F14" s="3" t="s">
        <v>27</v>
      </c>
      <c r="G14" s="4">
        <f t="shared" ca="1" si="0"/>
        <v>43847.702774189813</v>
      </c>
      <c r="H14" s="3" t="s">
        <v>149</v>
      </c>
      <c r="I14" s="3" t="s">
        <v>28</v>
      </c>
      <c r="J14" s="3"/>
      <c r="K14" s="3" t="s">
        <v>149</v>
      </c>
      <c r="L14" s="3" t="s">
        <v>66</v>
      </c>
      <c r="M14" s="3" t="s">
        <v>299</v>
      </c>
      <c r="N14" s="3" t="s">
        <v>55</v>
      </c>
      <c r="P14" s="3" t="s">
        <v>66</v>
      </c>
      <c r="Q14" s="3" t="s">
        <v>66</v>
      </c>
      <c r="R14" s="3" t="s">
        <v>66</v>
      </c>
      <c r="S14" s="3" t="s">
        <v>55</v>
      </c>
      <c r="T14" s="3" t="s">
        <v>281</v>
      </c>
      <c r="U14" s="3" t="s">
        <v>59</v>
      </c>
      <c r="V14" s="3" t="s">
        <v>287</v>
      </c>
      <c r="W14" s="3" t="s">
        <v>300</v>
      </c>
      <c r="X14" t="s">
        <v>274</v>
      </c>
      <c r="Y14" s="8" t="s">
        <v>302</v>
      </c>
      <c r="Z14" s="3" t="s">
        <v>66</v>
      </c>
      <c r="AC14" t="s">
        <v>56</v>
      </c>
      <c r="AF14" s="3" t="s">
        <v>240</v>
      </c>
      <c r="AG14" s="3" t="s">
        <v>66</v>
      </c>
      <c r="AH14" t="s">
        <v>57</v>
      </c>
      <c r="AJ14" s="3" t="s">
        <v>28</v>
      </c>
      <c r="AL14" s="3" t="s">
        <v>253</v>
      </c>
      <c r="AN14" s="3" t="s">
        <v>99</v>
      </c>
      <c r="AQ14" s="3" t="s">
        <v>29</v>
      </c>
      <c r="AR14" s="3" t="s">
        <v>305</v>
      </c>
    </row>
    <row r="15" spans="1:44">
      <c r="A15" t="s">
        <v>298</v>
      </c>
      <c r="B15" s="3" t="s">
        <v>92</v>
      </c>
      <c r="C15" s="3" t="s">
        <v>26</v>
      </c>
      <c r="D15" s="3" t="s">
        <v>18</v>
      </c>
      <c r="E15" s="3" t="s">
        <v>28</v>
      </c>
      <c r="F15" s="3" t="s">
        <v>27</v>
      </c>
      <c r="G15" s="4">
        <f t="shared" ca="1" si="0"/>
        <v>43847.702774189813</v>
      </c>
      <c r="H15" s="3" t="s">
        <v>149</v>
      </c>
      <c r="I15" s="3" t="s">
        <v>28</v>
      </c>
      <c r="J15" s="3"/>
      <c r="K15" s="3" t="s">
        <v>149</v>
      </c>
      <c r="L15" s="3" t="s">
        <v>66</v>
      </c>
      <c r="M15" s="3" t="s">
        <v>301</v>
      </c>
      <c r="N15" s="3" t="s">
        <v>303</v>
      </c>
      <c r="P15" s="3" t="s">
        <v>66</v>
      </c>
      <c r="Q15" s="3" t="s">
        <v>66</v>
      </c>
      <c r="R15" s="3" t="s">
        <v>66</v>
      </c>
      <c r="S15" s="3" t="s">
        <v>55</v>
      </c>
      <c r="T15" s="3" t="s">
        <v>59</v>
      </c>
      <c r="U15" s="3" t="s">
        <v>59</v>
      </c>
      <c r="V15" s="3" t="s">
        <v>287</v>
      </c>
      <c r="W15" s="3" t="s">
        <v>59</v>
      </c>
      <c r="X15" t="s">
        <v>274</v>
      </c>
      <c r="Y15" s="8" t="s">
        <v>302</v>
      </c>
      <c r="Z15" s="3" t="s">
        <v>66</v>
      </c>
      <c r="AC15" t="s">
        <v>56</v>
      </c>
      <c r="AF15" s="3" t="s">
        <v>240</v>
      </c>
      <c r="AG15" s="3" t="s">
        <v>66</v>
      </c>
      <c r="AH15" t="s">
        <v>57</v>
      </c>
      <c r="AJ15" s="3" t="s">
        <v>28</v>
      </c>
      <c r="AL15" s="3" t="s">
        <v>253</v>
      </c>
      <c r="AN15" s="3" t="s">
        <v>99</v>
      </c>
      <c r="AQ15" s="3" t="s">
        <v>29</v>
      </c>
      <c r="AR15" s="3" t="s">
        <v>304</v>
      </c>
    </row>
    <row r="16" spans="1:44">
      <c r="A16" t="s">
        <v>257</v>
      </c>
      <c r="B16" s="3" t="s">
        <v>92</v>
      </c>
      <c r="C16" s="3" t="s">
        <v>26</v>
      </c>
      <c r="D16" s="3" t="s">
        <v>18</v>
      </c>
      <c r="E16" s="3" t="s">
        <v>28</v>
      </c>
      <c r="F16" s="3" t="s">
        <v>27</v>
      </c>
      <c r="G16" s="4">
        <f t="shared" ca="1" si="0"/>
        <v>43847.702774189813</v>
      </c>
      <c r="H16" s="3" t="s">
        <v>149</v>
      </c>
      <c r="I16" s="3" t="s">
        <v>28</v>
      </c>
      <c r="J16" s="3"/>
      <c r="K16" s="3" t="s">
        <v>149</v>
      </c>
      <c r="L16" s="3" t="s">
        <v>66</v>
      </c>
      <c r="M16" s="3" t="s">
        <v>258</v>
      </c>
      <c r="N16" s="3" t="s">
        <v>247</v>
      </c>
      <c r="P16" s="3" t="s">
        <v>66</v>
      </c>
      <c r="Q16" s="3" t="s">
        <v>66</v>
      </c>
      <c r="R16" s="3" t="s">
        <v>66</v>
      </c>
      <c r="S16" s="3" t="s">
        <v>248</v>
      </c>
      <c r="T16" s="3" t="s">
        <v>249</v>
      </c>
      <c r="U16" s="3" t="s">
        <v>59</v>
      </c>
      <c r="V16" s="3" t="s">
        <v>254</v>
      </c>
      <c r="W16" s="3" t="s">
        <v>247</v>
      </c>
      <c r="X16" t="s">
        <v>250</v>
      </c>
      <c r="Y16" s="8" t="s">
        <v>252</v>
      </c>
      <c r="Z16" s="3" t="s">
        <v>66</v>
      </c>
      <c r="AC16" t="s">
        <v>56</v>
      </c>
      <c r="AF16" s="3" t="s">
        <v>240</v>
      </c>
      <c r="AG16" s="3" t="s">
        <v>66</v>
      </c>
      <c r="AH16" t="s">
        <v>57</v>
      </c>
      <c r="AJ16" s="3" t="s">
        <v>28</v>
      </c>
      <c r="AL16" s="3" t="s">
        <v>253</v>
      </c>
      <c r="AN16" s="3" t="s">
        <v>99</v>
      </c>
      <c r="AQ16" s="3" t="s">
        <v>29</v>
      </c>
      <c r="AR16" s="3" t="s">
        <v>304</v>
      </c>
    </row>
    <row r="17" spans="1:44">
      <c r="A17" t="s">
        <v>257</v>
      </c>
      <c r="B17" s="3" t="s">
        <v>92</v>
      </c>
      <c r="C17" s="3" t="s">
        <v>26</v>
      </c>
      <c r="D17" s="3" t="s">
        <v>18</v>
      </c>
      <c r="E17" s="3" t="s">
        <v>28</v>
      </c>
      <c r="F17" s="3" t="s">
        <v>27</v>
      </c>
      <c r="G17" s="4">
        <f t="shared" ca="1" si="0"/>
        <v>43847.702774189813</v>
      </c>
      <c r="H17" s="3" t="s">
        <v>149</v>
      </c>
      <c r="I17" s="3" t="s">
        <v>28</v>
      </c>
      <c r="J17" s="3"/>
      <c r="K17" s="3" t="s">
        <v>149</v>
      </c>
      <c r="L17" s="3" t="s">
        <v>66</v>
      </c>
      <c r="M17" s="3" t="s">
        <v>259</v>
      </c>
      <c r="N17" s="3" t="s">
        <v>247</v>
      </c>
      <c r="P17" s="3" t="s">
        <v>66</v>
      </c>
      <c r="Q17" s="3" t="s">
        <v>66</v>
      </c>
      <c r="R17" s="3" t="s">
        <v>66</v>
      </c>
      <c r="S17" s="3" t="s">
        <v>248</v>
      </c>
      <c r="T17" s="3" t="s">
        <v>249</v>
      </c>
      <c r="U17" s="3" t="s">
        <v>59</v>
      </c>
      <c r="V17" s="3" t="s">
        <v>255</v>
      </c>
      <c r="W17" s="3" t="s">
        <v>55</v>
      </c>
      <c r="X17" t="s">
        <v>250</v>
      </c>
      <c r="Y17" s="8" t="s">
        <v>252</v>
      </c>
      <c r="Z17" s="3" t="s">
        <v>66</v>
      </c>
      <c r="AC17" t="s">
        <v>56</v>
      </c>
      <c r="AF17" s="3" t="s">
        <v>240</v>
      </c>
      <c r="AG17" s="3" t="s">
        <v>66</v>
      </c>
      <c r="AH17" t="s">
        <v>57</v>
      </c>
      <c r="AJ17" s="3" t="s">
        <v>28</v>
      </c>
      <c r="AL17" s="3" t="s">
        <v>253</v>
      </c>
      <c r="AN17" s="3" t="s">
        <v>99</v>
      </c>
      <c r="AQ17" s="3" t="s">
        <v>29</v>
      </c>
      <c r="AR17" s="3" t="s">
        <v>309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tabSelected="1" workbookViewId="0">
      <selection activeCell="H10" sqref="H10"/>
    </sheetView>
  </sheetViews>
  <sheetFormatPr defaultRowHeight="14"/>
  <cols>
    <col min="6" max="6" width="17.4140625" customWidth="1"/>
    <col min="7" max="7" width="13.4140625" customWidth="1"/>
    <col min="8" max="8" width="12.25" bestFit="1" customWidth="1"/>
    <col min="23" max="23" width="11.58203125" customWidth="1"/>
  </cols>
  <sheetData>
    <row r="1" spans="1:43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71</v>
      </c>
      <c r="I1" t="s">
        <v>31</v>
      </c>
      <c r="J1" t="s">
        <v>164</v>
      </c>
      <c r="K1" t="s">
        <v>167</v>
      </c>
      <c r="L1" t="s">
        <v>168</v>
      </c>
      <c r="M1" t="s">
        <v>171</v>
      </c>
      <c r="N1" t="s">
        <v>43</v>
      </c>
      <c r="O1" t="s">
        <v>175</v>
      </c>
      <c r="P1" t="s">
        <v>177</v>
      </c>
      <c r="Q1" t="s">
        <v>182</v>
      </c>
      <c r="R1" t="s">
        <v>156</v>
      </c>
      <c r="S1" t="s">
        <v>217</v>
      </c>
      <c r="T1" t="s">
        <v>310</v>
      </c>
      <c r="U1" t="s">
        <v>179</v>
      </c>
      <c r="V1" t="s">
        <v>195</v>
      </c>
      <c r="W1" t="s">
        <v>236</v>
      </c>
      <c r="X1" t="s">
        <v>202</v>
      </c>
      <c r="Y1" t="s">
        <v>203</v>
      </c>
      <c r="Z1" t="s">
        <v>205</v>
      </c>
      <c r="AA1" t="s">
        <v>203</v>
      </c>
      <c r="AB1" t="s">
        <v>205</v>
      </c>
      <c r="AC1" t="s">
        <v>210</v>
      </c>
      <c r="AD1" t="s">
        <v>211</v>
      </c>
      <c r="AE1" t="s">
        <v>212</v>
      </c>
      <c r="AF1" t="s">
        <v>213</v>
      </c>
      <c r="AG1" t="s">
        <v>237</v>
      </c>
      <c r="AH1" t="s">
        <v>156</v>
      </c>
      <c r="AI1" t="s">
        <v>217</v>
      </c>
      <c r="AK1" t="s">
        <v>191</v>
      </c>
      <c r="AL1" t="s">
        <v>192</v>
      </c>
      <c r="AM1" t="s">
        <v>193</v>
      </c>
      <c r="AN1" t="s">
        <v>192</v>
      </c>
      <c r="AO1" t="s">
        <v>193</v>
      </c>
      <c r="AP1" s="1" t="s">
        <v>17</v>
      </c>
      <c r="AQ1" t="s">
        <v>76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10</v>
      </c>
      <c r="M2" t="s">
        <v>172</v>
      </c>
      <c r="N2" t="s">
        <v>44</v>
      </c>
      <c r="O2" t="s">
        <v>176</v>
      </c>
      <c r="P2" t="s">
        <v>176</v>
      </c>
      <c r="Q2" t="s">
        <v>10</v>
      </c>
      <c r="R2" t="s">
        <v>10</v>
      </c>
      <c r="S2" t="s">
        <v>10</v>
      </c>
      <c r="T2" t="s">
        <v>221</v>
      </c>
      <c r="V2" t="s">
        <v>70</v>
      </c>
      <c r="W2" t="s">
        <v>70</v>
      </c>
      <c r="X2" t="s">
        <v>48</v>
      </c>
      <c r="Y2" t="s">
        <v>13</v>
      </c>
      <c r="Z2" t="s">
        <v>70</v>
      </c>
      <c r="AA2" t="s">
        <v>13</v>
      </c>
      <c r="AB2" t="s">
        <v>70</v>
      </c>
      <c r="AC2" t="s">
        <v>10</v>
      </c>
      <c r="AD2" t="s">
        <v>37</v>
      </c>
      <c r="AE2" t="s">
        <v>13</v>
      </c>
      <c r="AF2" t="s">
        <v>176</v>
      </c>
      <c r="AG2" t="s">
        <v>10</v>
      </c>
      <c r="AH2" t="s">
        <v>10</v>
      </c>
      <c r="AI2" t="s">
        <v>10</v>
      </c>
      <c r="AJ2" t="s">
        <v>13</v>
      </c>
      <c r="AK2" t="s">
        <v>48</v>
      </c>
      <c r="AL2" t="s">
        <v>39</v>
      </c>
      <c r="AM2" t="s">
        <v>39</v>
      </c>
      <c r="AN2" t="s">
        <v>39</v>
      </c>
      <c r="AO2" t="s">
        <v>39</v>
      </c>
      <c r="AP2" t="s">
        <v>10</v>
      </c>
      <c r="AQ2" t="s">
        <v>113</v>
      </c>
    </row>
    <row r="3" spans="1:43">
      <c r="A3" s="2" t="s">
        <v>18</v>
      </c>
      <c r="B3" s="2" t="s">
        <v>19</v>
      </c>
      <c r="C3" s="2" t="s">
        <v>20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3" t="s">
        <v>129</v>
      </c>
      <c r="J3" s="3" t="s">
        <v>162</v>
      </c>
      <c r="K3" s="3" t="s">
        <v>165</v>
      </c>
      <c r="L3" s="3" t="s">
        <v>166</v>
      </c>
      <c r="M3" s="3" t="s">
        <v>173</v>
      </c>
      <c r="N3" s="3" t="s">
        <v>138</v>
      </c>
      <c r="O3" s="3" t="s">
        <v>174</v>
      </c>
      <c r="P3" s="3" t="s">
        <v>194</v>
      </c>
      <c r="Q3" s="3" t="s">
        <v>184</v>
      </c>
      <c r="R3" s="3" t="s">
        <v>185</v>
      </c>
      <c r="S3" s="3" t="s">
        <v>186</v>
      </c>
      <c r="T3" s="3" t="s">
        <v>187</v>
      </c>
      <c r="U3" s="3" t="s">
        <v>180</v>
      </c>
      <c r="V3" s="3" t="s">
        <v>196</v>
      </c>
      <c r="W3" s="3" t="s">
        <v>197</v>
      </c>
      <c r="X3" s="3" t="s">
        <v>198</v>
      </c>
      <c r="Y3" s="3" t="s">
        <v>200</v>
      </c>
      <c r="Z3" s="3" t="s">
        <v>201</v>
      </c>
      <c r="AA3" s="3" t="s">
        <v>204</v>
      </c>
      <c r="AB3" s="3" t="s">
        <v>199</v>
      </c>
      <c r="AC3" s="3" t="s">
        <v>206</v>
      </c>
      <c r="AD3" s="3" t="s">
        <v>207</v>
      </c>
      <c r="AE3" s="3" t="s">
        <v>208</v>
      </c>
      <c r="AF3" s="3" t="s">
        <v>209</v>
      </c>
      <c r="AG3" s="3" t="s">
        <v>214</v>
      </c>
      <c r="AH3" s="3" t="s">
        <v>215</v>
      </c>
      <c r="AI3" s="3" t="s">
        <v>216</v>
      </c>
      <c r="AJ3" s="3" t="s">
        <v>187</v>
      </c>
      <c r="AK3" s="3" t="s">
        <v>188</v>
      </c>
      <c r="AL3" s="3" t="s">
        <v>189</v>
      </c>
      <c r="AM3" s="3" t="s">
        <v>190</v>
      </c>
      <c r="AN3" s="3" t="s">
        <v>219</v>
      </c>
      <c r="AO3" s="3" t="s">
        <v>220</v>
      </c>
      <c r="AP3" s="2" t="s">
        <v>90</v>
      </c>
      <c r="AQ3" s="7" t="s">
        <v>76</v>
      </c>
    </row>
    <row r="4" spans="1:43">
      <c r="A4" s="3" t="s">
        <v>92</v>
      </c>
      <c r="B4" s="3" t="s">
        <v>93</v>
      </c>
      <c r="C4" s="2" t="s">
        <v>161</v>
      </c>
      <c r="D4" s="3" t="s">
        <v>116</v>
      </c>
      <c r="E4" s="3" t="s">
        <v>95</v>
      </c>
      <c r="F4" s="4">
        <f t="shared" ref="F4:F5" ca="1" si="0">NOW()</f>
        <v>43847.702774189813</v>
      </c>
      <c r="G4" s="3" t="s">
        <v>149</v>
      </c>
      <c r="H4" s="3"/>
      <c r="I4" t="s">
        <v>154</v>
      </c>
      <c r="J4" t="s">
        <v>163</v>
      </c>
      <c r="K4" t="s">
        <v>169</v>
      </c>
      <c r="L4" t="s">
        <v>170</v>
      </c>
      <c r="M4" s="2" t="s">
        <v>314</v>
      </c>
      <c r="N4" t="s">
        <v>145</v>
      </c>
      <c r="O4" s="7" t="s">
        <v>181</v>
      </c>
      <c r="P4" s="7" t="s">
        <v>55</v>
      </c>
      <c r="Q4" s="7" t="s">
        <v>183</v>
      </c>
      <c r="R4" s="2"/>
      <c r="S4" s="7"/>
      <c r="T4" s="2" t="s">
        <v>311</v>
      </c>
      <c r="U4" s="7" t="s">
        <v>232</v>
      </c>
      <c r="V4" s="7" t="s">
        <v>233</v>
      </c>
      <c r="W4" s="7" t="s">
        <v>222</v>
      </c>
      <c r="X4" s="7" t="s">
        <v>223</v>
      </c>
      <c r="Y4" s="7" t="s">
        <v>224</v>
      </c>
      <c r="Z4" s="7" t="s">
        <v>225</v>
      </c>
      <c r="AA4" s="7" t="s">
        <v>119</v>
      </c>
      <c r="AB4" s="7" t="s">
        <v>226</v>
      </c>
      <c r="AC4" s="7" t="s">
        <v>227</v>
      </c>
      <c r="AD4" s="7"/>
      <c r="AE4" s="7"/>
      <c r="AF4" s="7" t="s">
        <v>228</v>
      </c>
      <c r="AG4" s="7"/>
      <c r="AH4" s="7"/>
      <c r="AI4" s="7"/>
      <c r="AJ4" s="7"/>
      <c r="AK4" s="7" t="s">
        <v>59</v>
      </c>
      <c r="AL4" s="7" t="s">
        <v>229</v>
      </c>
      <c r="AM4" s="7" t="s">
        <v>55</v>
      </c>
      <c r="AN4" s="7" t="s">
        <v>230</v>
      </c>
      <c r="AO4" s="7" t="s">
        <v>231</v>
      </c>
      <c r="AP4" s="3" t="s">
        <v>218</v>
      </c>
      <c r="AQ4" s="3" t="s">
        <v>321</v>
      </c>
    </row>
    <row r="5" spans="1:43">
      <c r="A5" s="3" t="s">
        <v>92</v>
      </c>
      <c r="B5" s="3" t="s">
        <v>93</v>
      </c>
      <c r="C5" s="2" t="s">
        <v>161</v>
      </c>
      <c r="D5" s="3" t="s">
        <v>116</v>
      </c>
      <c r="E5" s="3" t="s">
        <v>95</v>
      </c>
      <c r="F5" s="4">
        <f t="shared" ca="1" si="0"/>
        <v>43847.702774189813</v>
      </c>
      <c r="G5" s="3" t="s">
        <v>149</v>
      </c>
      <c r="H5" s="3"/>
      <c r="I5" t="s">
        <v>320</v>
      </c>
      <c r="J5" t="s">
        <v>322</v>
      </c>
      <c r="K5" t="s">
        <v>323</v>
      </c>
      <c r="L5" t="s">
        <v>324</v>
      </c>
      <c r="M5" s="2" t="s">
        <v>325</v>
      </c>
      <c r="N5" t="s">
        <v>57</v>
      </c>
      <c r="O5" s="7" t="s">
        <v>326</v>
      </c>
      <c r="P5" s="7" t="s">
        <v>55</v>
      </c>
      <c r="Q5" s="7" t="s">
        <v>274</v>
      </c>
      <c r="R5" s="2"/>
      <c r="S5" s="7"/>
      <c r="T5" s="2" t="s">
        <v>311</v>
      </c>
      <c r="U5" s="7" t="s">
        <v>327</v>
      </c>
      <c r="V5" s="7" t="s">
        <v>328</v>
      </c>
      <c r="W5" s="7" t="s">
        <v>329</v>
      </c>
      <c r="X5" s="7" t="s">
        <v>223</v>
      </c>
      <c r="Y5" s="7" t="s">
        <v>224</v>
      </c>
      <c r="Z5" s="7" t="s">
        <v>330</v>
      </c>
      <c r="AA5" s="7" t="s">
        <v>119</v>
      </c>
      <c r="AB5" s="7" t="s">
        <v>331</v>
      </c>
      <c r="AC5" s="7" t="s">
        <v>227</v>
      </c>
      <c r="AD5" s="7"/>
      <c r="AE5" s="7"/>
      <c r="AF5" s="7" t="s">
        <v>228</v>
      </c>
      <c r="AG5" s="2" t="s">
        <v>332</v>
      </c>
      <c r="AH5" s="7"/>
      <c r="AI5" s="7"/>
      <c r="AJ5" s="7"/>
      <c r="AK5" s="7" t="s">
        <v>59</v>
      </c>
      <c r="AL5" s="7" t="s">
        <v>229</v>
      </c>
      <c r="AM5" s="7" t="s">
        <v>55</v>
      </c>
      <c r="AN5" s="7" t="s">
        <v>230</v>
      </c>
      <c r="AO5" s="7" t="s">
        <v>231</v>
      </c>
      <c r="AP5" s="3" t="s">
        <v>218</v>
      </c>
      <c r="AQ5" s="3" t="s">
        <v>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req</vt:lpstr>
      <vt:lpstr>rtn</vt:lpstr>
      <vt:lpstr>casedescription</vt:lpstr>
      <vt:lpstr>SecurityDefinitionRequest</vt:lpstr>
      <vt:lpstr>OrderStatusRequest</vt:lpstr>
      <vt:lpstr>OnRspUserLogin</vt:lpstr>
      <vt:lpstr>ExecutionReport</vt:lpstr>
      <vt:lpstr>SecurityDefinition</vt:lpstr>
      <vt:lpstr>SecurityDefinition!OLE_LINK1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2020-01-17T08:52:26Z</dcterms:modified>
</cp:coreProperties>
</file>