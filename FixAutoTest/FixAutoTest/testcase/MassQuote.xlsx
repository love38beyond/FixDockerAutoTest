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0" windowHeight="0" tabRatio="888"/>
  </bookViews>
  <sheets>
    <sheet name="req" sheetId="4" r:id="rId1"/>
    <sheet name="rtn" sheetId="6" r:id="rId2"/>
    <sheet name="reqbak" sheetId="24" r:id="rId3"/>
    <sheet name="NewOrderSingle" sheetId="2" r:id="rId4"/>
    <sheet name="OrderCancelRequest" sheetId="3" r:id="rId5"/>
    <sheet name="ExecutionReport" sheetId="10" r:id="rId6"/>
    <sheet name="MassQuote" sheetId="14" r:id="rId7"/>
    <sheet name="MassQuoteAcknowledgement" sheetId="16" r:id="rId8"/>
    <sheet name="QuoteCancel" sheetId="17" r:id="rId9"/>
    <sheet name="Reject" sheetId="21" r:id="rId10"/>
    <sheet name="BusinessMessageReject" sheetId="12" r:id="rId11"/>
    <sheet name="OnRspUserLogin" sheetId="8" r:id="rId1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10" l="1"/>
  <c r="F24" i="10"/>
  <c r="F23" i="10"/>
  <c r="F22" i="10"/>
  <c r="F16" i="16"/>
  <c r="F15" i="16"/>
  <c r="F14" i="16"/>
  <c r="F21" i="10"/>
  <c r="F20" i="10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F9" i="14"/>
  <c r="D10" i="4"/>
  <c r="B10" i="4"/>
  <c r="D29" i="6"/>
  <c r="B29" i="6"/>
  <c r="D28" i="6"/>
  <c r="B28" i="6"/>
  <c r="D9" i="4"/>
  <c r="B9" i="4"/>
  <c r="D27" i="6"/>
  <c r="B27" i="6"/>
  <c r="F13" i="16"/>
  <c r="F5" i="17"/>
  <c r="D8" i="4"/>
  <c r="B8" i="4"/>
  <c r="F12" i="16"/>
  <c r="F11" i="16"/>
  <c r="F17" i="10"/>
  <c r="F16" i="10"/>
  <c r="F15" i="10"/>
  <c r="F14" i="10"/>
  <c r="D26" i="6"/>
  <c r="B26" i="6"/>
  <c r="D25" i="6"/>
  <c r="B25" i="6"/>
  <c r="D24" i="6"/>
  <c r="B24" i="6"/>
  <c r="D23" i="6"/>
  <c r="B23" i="6"/>
  <c r="D22" i="6"/>
  <c r="B22" i="6"/>
  <c r="D21" i="6"/>
  <c r="B21" i="6"/>
  <c r="D14" i="6"/>
  <c r="D15" i="6"/>
  <c r="D16" i="6"/>
  <c r="D17" i="6"/>
  <c r="D18" i="6"/>
  <c r="D19" i="6"/>
  <c r="D20" i="6"/>
  <c r="B14" i="6"/>
  <c r="D4" i="6"/>
  <c r="D5" i="6"/>
  <c r="D6" i="6"/>
  <c r="D7" i="6"/>
  <c r="D8" i="6"/>
  <c r="D9" i="6"/>
  <c r="D10" i="6"/>
  <c r="D11" i="6"/>
  <c r="D12" i="6"/>
  <c r="D13" i="6"/>
  <c r="F8" i="14"/>
  <c r="D7" i="4"/>
  <c r="B7" i="4"/>
  <c r="F10" i="16"/>
  <c r="F9" i="16"/>
  <c r="F13" i="10"/>
  <c r="F12" i="10"/>
  <c r="F11" i="10"/>
  <c r="F10" i="10"/>
  <c r="B20" i="6"/>
  <c r="B19" i="6"/>
  <c r="B18" i="6"/>
  <c r="B17" i="6"/>
  <c r="B16" i="6"/>
  <c r="B15" i="6"/>
  <c r="F7" i="14"/>
  <c r="D6" i="4"/>
  <c r="B6" i="4"/>
  <c r="F8" i="16"/>
  <c r="F6" i="14"/>
  <c r="B13" i="6"/>
  <c r="F5" i="14"/>
  <c r="D3" i="4"/>
  <c r="D4" i="4"/>
  <c r="D5" i="4"/>
  <c r="D2" i="4"/>
  <c r="B5" i="4"/>
  <c r="B4" i="4"/>
  <c r="D9" i="24"/>
  <c r="B9" i="24"/>
  <c r="D8" i="24"/>
  <c r="B8" i="24"/>
  <c r="D7" i="24"/>
  <c r="B7" i="24"/>
  <c r="D6" i="24"/>
  <c r="B6" i="24"/>
  <c r="D5" i="24"/>
  <c r="B5" i="24"/>
  <c r="D4" i="24"/>
  <c r="B4" i="24"/>
  <c r="D3" i="24"/>
  <c r="B3" i="24"/>
  <c r="D2" i="24"/>
  <c r="B2" i="24"/>
  <c r="F4" i="21"/>
  <c r="F28" i="10"/>
  <c r="F27" i="10"/>
  <c r="B12" i="6"/>
  <c r="B11" i="6"/>
  <c r="B10" i="6"/>
  <c r="B9" i="6"/>
  <c r="F7" i="16"/>
  <c r="F6" i="16"/>
  <c r="F4" i="17"/>
  <c r="B3" i="4"/>
  <c r="F26" i="10"/>
  <c r="B7" i="6"/>
  <c r="B6" i="6"/>
  <c r="F5" i="16"/>
  <c r="B8" i="6"/>
  <c r="B4" i="6"/>
  <c r="D3" i="6"/>
  <c r="B3" i="6"/>
  <c r="B5" i="6"/>
  <c r="F4" i="16"/>
  <c r="F4" i="14"/>
  <c r="F7" i="2"/>
  <c r="B2" i="4"/>
  <c r="F19" i="10"/>
  <c r="F18" i="10"/>
  <c r="F9" i="10"/>
  <c r="F8" i="10"/>
  <c r="F7" i="10"/>
  <c r="F6" i="10"/>
  <c r="F5" i="10"/>
  <c r="F4" i="10"/>
  <c r="F6" i="2"/>
  <c r="D2" i="6"/>
  <c r="B2" i="6"/>
  <c r="F4" i="12"/>
  <c r="F4" i="8"/>
  <c r="F5" i="3"/>
  <c r="F4" i="3"/>
  <c r="F5" i="2"/>
  <c r="F4" i="2"/>
</calcChain>
</file>

<file path=xl/comments1.xml><?xml version="1.0" encoding="utf-8"?>
<comments xmlns="http://schemas.openxmlformats.org/spreadsheetml/2006/main">
  <authors>
    <author>作者</author>
  </authors>
  <commentList>
    <comment ref="AD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E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N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O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Q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R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第二组别名</t>
        </r>
      </text>
    </comment>
    <comment ref="AC3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python字典key值重复时默认取最后一次的值，现在消息里面会有两个77和20001，所以判断后面的77和20001</t>
        </r>
      </text>
    </comment>
  </commentList>
</comments>
</file>

<file path=xl/sharedStrings.xml><?xml version="1.0" encoding="utf-8"?>
<sst xmlns="http://schemas.openxmlformats.org/spreadsheetml/2006/main" count="2402" uniqueCount="418">
  <si>
    <t>BeginString</t>
  </si>
  <si>
    <t xml:space="preserve">String </t>
  </si>
  <si>
    <t>BodyLength</t>
  </si>
  <si>
    <t>Length</t>
  </si>
  <si>
    <t>MsgType</t>
  </si>
  <si>
    <t>SenderCompID</t>
  </si>
  <si>
    <t>TargetCompID</t>
  </si>
  <si>
    <t>MsgSeqNum</t>
  </si>
  <si>
    <t xml:space="preserve">Int </t>
  </si>
  <si>
    <t>Int</t>
  </si>
  <si>
    <t>String</t>
  </si>
  <si>
    <t>SendingTime</t>
  </si>
  <si>
    <t>UTCTimestamp</t>
  </si>
  <si>
    <t>int</t>
  </si>
  <si>
    <t>Boolean</t>
  </si>
  <si>
    <t>FrontID</t>
  </si>
  <si>
    <t>SessionID</t>
  </si>
  <si>
    <t>CheckSum</t>
  </si>
  <si>
    <t>8</t>
    <phoneticPr fontId="2" type="noConversion"/>
  </si>
  <si>
    <t>9</t>
    <phoneticPr fontId="2" type="noConversion"/>
  </si>
  <si>
    <t>35</t>
    <phoneticPr fontId="2" type="noConversion"/>
  </si>
  <si>
    <t>49</t>
    <phoneticPr fontId="2" type="noConversion"/>
  </si>
  <si>
    <t>56</t>
    <phoneticPr fontId="2" type="noConversion"/>
  </si>
  <si>
    <t>34</t>
    <phoneticPr fontId="2" type="noConversion"/>
  </si>
  <si>
    <t>52</t>
    <phoneticPr fontId="2" type="noConversion"/>
  </si>
  <si>
    <t>10</t>
    <phoneticPr fontId="2" type="noConversion"/>
  </si>
  <si>
    <t>FIX.4.2</t>
    <phoneticPr fontId="2" type="noConversion"/>
  </si>
  <si>
    <t>111</t>
    <phoneticPr fontId="2" type="noConversion"/>
  </si>
  <si>
    <t>4444</t>
    <phoneticPr fontId="2" type="noConversion"/>
  </si>
  <si>
    <t>1</t>
    <phoneticPr fontId="2" type="noConversion"/>
  </si>
  <si>
    <t>135</t>
    <phoneticPr fontId="2" type="noConversion"/>
  </si>
  <si>
    <t>00001</t>
    <phoneticPr fontId="2" type="noConversion"/>
  </si>
  <si>
    <t>Account</t>
  </si>
  <si>
    <t>Symbol</t>
  </si>
  <si>
    <t>ClOrdID</t>
  </si>
  <si>
    <t>OrdType</t>
  </si>
  <si>
    <t>char</t>
  </si>
  <si>
    <t>Side</t>
  </si>
  <si>
    <t>OpenClose</t>
  </si>
  <si>
    <t>Price</t>
  </si>
  <si>
    <t>OrderQty</t>
  </si>
  <si>
    <t>Qty</t>
  </si>
  <si>
    <t>TimeInForce</t>
  </si>
  <si>
    <t>MinQty</t>
  </si>
  <si>
    <t>StopPx</t>
  </si>
  <si>
    <t>SecurityExchange</t>
  </si>
  <si>
    <t>Exchange</t>
  </si>
  <si>
    <t xml:space="preserve">UTCTimestamp </t>
  </si>
  <si>
    <t>TransactTime</t>
  </si>
  <si>
    <t>NoPartyIDs</t>
  </si>
  <si>
    <t>NumInGroup</t>
  </si>
  <si>
    <t>PartyID</t>
  </si>
  <si>
    <t>PartyRole</t>
  </si>
  <si>
    <t>IsSwapOrder</t>
  </si>
  <si>
    <t>ExecTransType</t>
  </si>
  <si>
    <t>AvgPx</t>
  </si>
  <si>
    <t>HedgeFlag</t>
  </si>
  <si>
    <t>Char</t>
  </si>
  <si>
    <t>ContingentCondition</t>
  </si>
  <si>
    <t>1</t>
    <phoneticPr fontId="2" type="noConversion"/>
  </si>
  <si>
    <t>64000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</si>
  <si>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</si>
  <si>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</si>
  <si>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</si>
  <si>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0</t>
    <phoneticPr fontId="2" type="noConversion"/>
  </si>
  <si>
    <t>1</t>
    <phoneticPr fontId="2" type="noConversion"/>
  </si>
  <si>
    <t>2</t>
    <phoneticPr fontId="2" type="noConversion"/>
  </si>
  <si>
    <t>1</t>
    <phoneticPr fontId="2" type="noConversion"/>
  </si>
  <si>
    <t>SheetName</t>
    <phoneticPr fontId="2" type="noConversion"/>
  </si>
  <si>
    <t>RowNum</t>
    <phoneticPr fontId="2" type="noConversion"/>
  </si>
  <si>
    <t>CaseNo</t>
    <phoneticPr fontId="2" type="noConversion"/>
  </si>
  <si>
    <t>6</t>
    <phoneticPr fontId="2" type="noConversion"/>
  </si>
  <si>
    <t>11</t>
    <phoneticPr fontId="2" type="noConversion"/>
  </si>
  <si>
    <t>20</t>
    <phoneticPr fontId="2" type="noConversion"/>
  </si>
  <si>
    <t>38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</si>
  <si>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</si>
  <si>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</si>
  <si>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</si>
  <si>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</si>
  <si>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59</t>
    <phoneticPr fontId="2" type="noConversion"/>
  </si>
  <si>
    <t>60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</si>
  <si>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</si>
  <si>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</si>
  <si>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</si>
  <si>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207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</si>
  <si>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</si>
  <si>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</si>
  <si>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</si>
  <si>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</si>
  <si>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D</t>
    <phoneticPr fontId="2" type="noConversion"/>
  </si>
  <si>
    <t>D</t>
    <phoneticPr fontId="2" type="noConversion"/>
  </si>
  <si>
    <t>1</t>
    <phoneticPr fontId="2" type="noConversion"/>
  </si>
  <si>
    <t>2</t>
    <phoneticPr fontId="2" type="noConversion"/>
  </si>
  <si>
    <t>HandlInst</t>
  </si>
  <si>
    <t>21</t>
    <phoneticPr fontId="2" type="noConversion"/>
  </si>
  <si>
    <t>3</t>
    <phoneticPr fontId="2" type="noConversion"/>
  </si>
  <si>
    <t>0</t>
    <phoneticPr fontId="2" type="noConversion"/>
  </si>
  <si>
    <t>64100</t>
    <phoneticPr fontId="2" type="noConversion"/>
  </si>
  <si>
    <t>OrigClOrdID</t>
  </si>
  <si>
    <t>OrderID</t>
  </si>
  <si>
    <t>SHFE</t>
    <phoneticPr fontId="2" type="noConversion"/>
  </si>
  <si>
    <t>F</t>
    <phoneticPr fontId="2" type="noConversion"/>
  </si>
  <si>
    <t>1</t>
    <phoneticPr fontId="2" type="noConversion"/>
  </si>
  <si>
    <t>0</t>
    <phoneticPr fontId="2" type="noConversion"/>
  </si>
  <si>
    <t>cu1202</t>
    <phoneticPr fontId="2" type="noConversion"/>
  </si>
  <si>
    <t>OrderCancelRequest</t>
  </si>
  <si>
    <t>1</t>
    <phoneticPr fontId="2" type="noConversion"/>
  </si>
  <si>
    <t>11</t>
    <phoneticPr fontId="2" type="noConversion"/>
  </si>
  <si>
    <t>37</t>
    <phoneticPr fontId="2" type="noConversion"/>
  </si>
  <si>
    <t>38</t>
    <phoneticPr fontId="2" type="noConversion"/>
  </si>
  <si>
    <t>41</t>
    <phoneticPr fontId="2" type="noConversion"/>
  </si>
  <si>
    <t>54</t>
    <phoneticPr fontId="2" type="noConversion"/>
  </si>
  <si>
    <t>55</t>
    <phoneticPr fontId="2" type="noConversion"/>
  </si>
  <si>
    <t>60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</si>
  <si>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</si>
  <si>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</si>
  <si>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</si>
  <si>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 xml:space="preserve">          14</t>
    <phoneticPr fontId="2" type="noConversion"/>
  </si>
  <si>
    <t xml:space="preserve">          15</t>
    <phoneticPr fontId="2" type="noConversion"/>
  </si>
  <si>
    <t>452</t>
    <phoneticPr fontId="2" type="noConversion"/>
  </si>
  <si>
    <t>448</t>
    <phoneticPr fontId="2" type="noConversion"/>
  </si>
  <si>
    <t>ExpireDate</t>
  </si>
  <si>
    <t>LocalMktDate</t>
  </si>
  <si>
    <t>2</t>
    <phoneticPr fontId="2" type="noConversion"/>
  </si>
  <si>
    <t>TargetSubID</t>
  </si>
  <si>
    <t>OnBehalfOfSubID</t>
  </si>
  <si>
    <t>EncryptMethod</t>
    <phoneticPr fontId="2" type="noConversion"/>
  </si>
  <si>
    <t>HeartBtInt</t>
  </si>
  <si>
    <t>ResetSeqNumFlag</t>
  </si>
  <si>
    <t>keylist</t>
    <phoneticPr fontId="2" type="noConversion"/>
  </si>
  <si>
    <t>String</t>
    <phoneticPr fontId="2" type="noConversion"/>
  </si>
  <si>
    <t>35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</si>
  <si>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</si>
  <si>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</si>
  <si>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</si>
  <si>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</si>
  <si>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57</t>
    <phoneticPr fontId="2" type="noConversion"/>
  </si>
  <si>
    <t>116</t>
    <phoneticPr fontId="2" type="noConversion"/>
  </si>
  <si>
    <t>98</t>
    <phoneticPr fontId="2" type="noConversion"/>
  </si>
  <si>
    <t>108</t>
    <phoneticPr fontId="2" type="noConversion"/>
  </si>
  <si>
    <t>141</t>
    <phoneticPr fontId="2" type="noConversion"/>
  </si>
  <si>
    <t>20004</t>
    <phoneticPr fontId="2" type="noConversion"/>
  </si>
  <si>
    <t>20005</t>
    <phoneticPr fontId="2" type="noConversion"/>
  </si>
  <si>
    <t>10</t>
    <phoneticPr fontId="2" type="noConversion"/>
  </si>
  <si>
    <t>keylist</t>
    <phoneticPr fontId="2" type="noConversion"/>
  </si>
  <si>
    <t>FIX.4.2</t>
    <phoneticPr fontId="2" type="noConversion"/>
  </si>
  <si>
    <t>111</t>
    <phoneticPr fontId="2" type="noConversion"/>
  </si>
  <si>
    <t>A</t>
    <phoneticPr fontId="2" type="noConversion"/>
  </si>
  <si>
    <t>4444</t>
    <phoneticPr fontId="2" type="noConversion"/>
  </si>
  <si>
    <t>00001</t>
    <phoneticPr fontId="2" type="noConversion"/>
  </si>
  <si>
    <t>12289</t>
    <phoneticPr fontId="2" type="noConversion"/>
  </si>
  <si>
    <t>60</t>
    <phoneticPr fontId="2" type="noConversion"/>
  </si>
  <si>
    <t>N</t>
    <phoneticPr fontId="2" type="noConversion"/>
  </si>
  <si>
    <t>100</t>
    <phoneticPr fontId="2" type="noConversion"/>
  </si>
  <si>
    <t>22222</t>
    <phoneticPr fontId="2" type="noConversion"/>
  </si>
  <si>
    <t>135</t>
    <phoneticPr fontId="2" type="noConversion"/>
  </si>
  <si>
    <t>['35','116','56']</t>
    <phoneticPr fontId="2" type="noConversion"/>
  </si>
  <si>
    <t>CumQty</t>
  </si>
  <si>
    <t>Currency</t>
  </si>
  <si>
    <t>ExecID</t>
  </si>
  <si>
    <t>OrdStatus</t>
  </si>
  <si>
    <t>Text</t>
  </si>
  <si>
    <t>TradeDate</t>
  </si>
  <si>
    <t>ExecType</t>
  </si>
  <si>
    <t>LeavesQty</t>
  </si>
  <si>
    <t>EffectiveTime</t>
  </si>
  <si>
    <t>SecondaryOrderID</t>
  </si>
  <si>
    <t>MultiLegReportingType</t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</si>
  <si>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</si>
  <si>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</si>
  <si>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</si>
  <si>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</si>
  <si>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</si>
  <si>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</si>
  <si>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11</t>
    <phoneticPr fontId="2" type="noConversion"/>
  </si>
  <si>
    <t>14</t>
    <phoneticPr fontId="2" type="noConversion"/>
  </si>
  <si>
    <t>15</t>
    <phoneticPr fontId="2" type="noConversion"/>
  </si>
  <si>
    <t>17</t>
    <phoneticPr fontId="2" type="noConversion"/>
  </si>
  <si>
    <t>20</t>
    <phoneticPr fontId="2" type="noConversion"/>
  </si>
  <si>
    <t>37</t>
    <phoneticPr fontId="2" type="noConversion"/>
  </si>
  <si>
    <t>38</t>
    <phoneticPr fontId="2" type="noConversion"/>
  </si>
  <si>
    <t>39</t>
    <phoneticPr fontId="2" type="noConversion"/>
  </si>
  <si>
    <t>40</t>
    <phoneticPr fontId="2" type="noConversion"/>
  </si>
  <si>
    <t>44</t>
    <phoneticPr fontId="2" type="noConversion"/>
  </si>
  <si>
    <t>54</t>
    <phoneticPr fontId="2" type="noConversion"/>
  </si>
  <si>
    <t>55</t>
    <phoneticPr fontId="2" type="noConversion"/>
  </si>
  <si>
    <t>58</t>
    <phoneticPr fontId="2" type="noConversion"/>
  </si>
  <si>
    <t>59</t>
    <phoneticPr fontId="2" type="noConversion"/>
  </si>
  <si>
    <t>75</t>
    <phoneticPr fontId="2" type="noConversion"/>
  </si>
  <si>
    <t>77</t>
    <phoneticPr fontId="2" type="noConversion"/>
  </si>
  <si>
    <t>99</t>
    <phoneticPr fontId="2" type="noConversion"/>
  </si>
  <si>
    <t>110</t>
    <phoneticPr fontId="2" type="noConversion"/>
  </si>
  <si>
    <t>150</t>
    <phoneticPr fontId="2" type="noConversion"/>
  </si>
  <si>
    <t>151</t>
    <phoneticPr fontId="2" type="noConversion"/>
  </si>
  <si>
    <t>168</t>
    <phoneticPr fontId="2" type="noConversion"/>
  </si>
  <si>
    <t>198</t>
    <phoneticPr fontId="2" type="noConversion"/>
  </si>
  <si>
    <t>207</t>
    <phoneticPr fontId="2" type="noConversion"/>
  </si>
  <si>
    <t>432</t>
    <phoneticPr fontId="2" type="noConversion"/>
  </si>
  <si>
    <t>442</t>
    <phoneticPr fontId="2" type="noConversion"/>
  </si>
  <si>
    <t>453</t>
    <phoneticPr fontId="2" type="noConversion"/>
  </si>
  <si>
    <t>20001</t>
    <phoneticPr fontId="2" type="noConversion"/>
  </si>
  <si>
    <t>20002</t>
    <phoneticPr fontId="2" type="noConversion"/>
  </si>
  <si>
    <t>20006</t>
    <phoneticPr fontId="2" type="noConversion"/>
  </si>
  <si>
    <t>00001</t>
    <phoneticPr fontId="2" type="noConversion"/>
  </si>
  <si>
    <t>61441</t>
    <phoneticPr fontId="2" type="noConversion"/>
  </si>
  <si>
    <t>00001</t>
    <phoneticPr fontId="2" type="noConversion"/>
  </si>
  <si>
    <t>0</t>
    <phoneticPr fontId="2" type="noConversion"/>
  </si>
  <si>
    <t>2</t>
    <phoneticPr fontId="2" type="noConversion"/>
  </si>
  <si>
    <t>cu1202</t>
    <phoneticPr fontId="2" type="noConversion"/>
  </si>
  <si>
    <t>O</t>
    <phoneticPr fontId="2" type="noConversion"/>
  </si>
  <si>
    <t>SHFE</t>
    <phoneticPr fontId="2" type="noConversion"/>
  </si>
  <si>
    <t>['35','40','54','77','44','38','39','150','20001','59','55','1','56','116']</t>
    <phoneticPr fontId="2" type="noConversion"/>
  </si>
  <si>
    <t>4</t>
    <phoneticPr fontId="2" type="noConversion"/>
  </si>
  <si>
    <t>6</t>
    <phoneticPr fontId="2" type="noConversion"/>
  </si>
  <si>
    <t>RefSeqNum</t>
  </si>
  <si>
    <t>RefMsgType</t>
  </si>
  <si>
    <t>SessionRejectReason</t>
  </si>
  <si>
    <t>45</t>
    <phoneticPr fontId="2" type="noConversion"/>
  </si>
  <si>
    <t>372</t>
    <phoneticPr fontId="2" type="noConversion"/>
  </si>
  <si>
    <t>3</t>
    <phoneticPr fontId="2" type="noConversion"/>
  </si>
  <si>
    <t>1</t>
    <phoneticPr fontId="2" type="noConversion"/>
  </si>
  <si>
    <t>BusinessRejectReason</t>
  </si>
  <si>
    <t>380</t>
    <phoneticPr fontId="2" type="noConversion"/>
  </si>
  <si>
    <t>j</t>
    <phoneticPr fontId="2" type="noConversion"/>
  </si>
  <si>
    <t>['35','372','380']</t>
    <phoneticPr fontId="2" type="noConversion"/>
  </si>
  <si>
    <t>OnRspUserLogin</t>
  </si>
  <si>
    <t>ExecutionReport</t>
  </si>
  <si>
    <t>FunctionName</t>
    <phoneticPr fontId="2" type="noConversion"/>
  </si>
  <si>
    <t>NewOrderSingle</t>
  </si>
  <si>
    <t>OrderCancelReplaceRequest</t>
  </si>
  <si>
    <t>2</t>
    <phoneticPr fontId="2" type="noConversion"/>
  </si>
  <si>
    <t>116</t>
    <phoneticPr fontId="2" type="noConversion"/>
  </si>
  <si>
    <t>16436</t>
    <phoneticPr fontId="2" type="noConversion"/>
  </si>
  <si>
    <t>2</t>
    <phoneticPr fontId="2" type="noConversion"/>
  </si>
  <si>
    <t>cu1202c63000</t>
    <phoneticPr fontId="2" type="noConversion"/>
  </si>
  <si>
    <t>4481</t>
    <phoneticPr fontId="2" type="noConversion"/>
  </si>
  <si>
    <t>4521</t>
    <phoneticPr fontId="2" type="noConversion"/>
  </si>
  <si>
    <t>15</t>
    <phoneticPr fontId="2" type="noConversion"/>
  </si>
  <si>
    <t>20009</t>
    <phoneticPr fontId="2" type="noConversion"/>
  </si>
  <si>
    <t>OptSelfCloseFlag</t>
  </si>
  <si>
    <t>QuoteID</t>
  </si>
  <si>
    <t>QuoteReqID</t>
  </si>
  <si>
    <t>string</t>
  </si>
  <si>
    <t>NoQuoteSets</t>
  </si>
  <si>
    <t>QuoteSetID</t>
  </si>
  <si>
    <t>TotNoQuoteEntries</t>
  </si>
  <si>
    <t>NoQuoteEntries</t>
  </si>
  <si>
    <t>QuoteEntryID</t>
  </si>
  <si>
    <t>BidPx</t>
  </si>
  <si>
    <t>BidSize</t>
  </si>
  <si>
    <t>117</t>
    <phoneticPr fontId="2" type="noConversion"/>
  </si>
  <si>
    <t>131</t>
    <phoneticPr fontId="2" type="noConversion"/>
  </si>
  <si>
    <t>296</t>
    <phoneticPr fontId="2" type="noConversion"/>
  </si>
  <si>
    <t>2</t>
    <phoneticPr fontId="2" type="noConversion"/>
  </si>
  <si>
    <t>1</t>
    <phoneticPr fontId="2" type="noConversion"/>
  </si>
  <si>
    <t>302</t>
    <phoneticPr fontId="2" type="noConversion"/>
  </si>
  <si>
    <t>304</t>
    <phoneticPr fontId="2" type="noConversion"/>
  </si>
  <si>
    <t>295</t>
    <phoneticPr fontId="2" type="noConversion"/>
  </si>
  <si>
    <t>299</t>
    <phoneticPr fontId="2" type="noConversion"/>
  </si>
  <si>
    <t>1</t>
    <phoneticPr fontId="2" type="noConversion"/>
  </si>
  <si>
    <t>55</t>
    <phoneticPr fontId="2" type="noConversion"/>
  </si>
  <si>
    <t>207</t>
    <phoneticPr fontId="2" type="noConversion"/>
  </si>
  <si>
    <t>0</t>
    <phoneticPr fontId="2" type="noConversion"/>
  </si>
  <si>
    <t>133</t>
    <phoneticPr fontId="2" type="noConversion"/>
  </si>
  <si>
    <t>135</t>
    <phoneticPr fontId="2" type="noConversion"/>
  </si>
  <si>
    <t>77</t>
    <phoneticPr fontId="2" type="noConversion"/>
  </si>
  <si>
    <t>20001</t>
    <phoneticPr fontId="2" type="noConversion"/>
  </si>
  <si>
    <t>99</t>
    <phoneticPr fontId="2" type="noConversion"/>
  </si>
  <si>
    <t>1</t>
    <phoneticPr fontId="2" type="noConversion"/>
  </si>
  <si>
    <t>0</t>
    <phoneticPr fontId="2" type="noConversion"/>
  </si>
  <si>
    <t>771</t>
    <phoneticPr fontId="2" type="noConversion"/>
  </si>
  <si>
    <t>2991</t>
    <phoneticPr fontId="2" type="noConversion"/>
  </si>
  <si>
    <t>551</t>
    <phoneticPr fontId="2" type="noConversion"/>
  </si>
  <si>
    <t>2071</t>
    <phoneticPr fontId="2" type="noConversion"/>
  </si>
  <si>
    <t>1341</t>
    <phoneticPr fontId="2" type="noConversion"/>
  </si>
  <si>
    <t>1331</t>
    <phoneticPr fontId="2" type="noConversion"/>
  </si>
  <si>
    <t>1351</t>
    <phoneticPr fontId="2" type="noConversion"/>
  </si>
  <si>
    <t>200011</t>
    <phoneticPr fontId="2" type="noConversion"/>
  </si>
  <si>
    <t>O</t>
    <phoneticPr fontId="2" type="noConversion"/>
  </si>
  <si>
    <t>O</t>
    <phoneticPr fontId="2" type="noConversion"/>
  </si>
  <si>
    <t>i</t>
    <phoneticPr fontId="2" type="noConversion"/>
  </si>
  <si>
    <t>MassQuote</t>
    <phoneticPr fontId="2" type="noConversion"/>
  </si>
  <si>
    <t>SHFE</t>
    <phoneticPr fontId="2" type="noConversion"/>
  </si>
  <si>
    <t>1321</t>
    <phoneticPr fontId="2" type="noConversion"/>
  </si>
  <si>
    <t>0</t>
    <phoneticPr fontId="2" type="noConversion"/>
  </si>
  <si>
    <t>61461</t>
    <phoneticPr fontId="2" type="noConversion"/>
  </si>
  <si>
    <t>b</t>
    <phoneticPr fontId="2" type="noConversion"/>
  </si>
  <si>
    <t>132</t>
    <phoneticPr fontId="2" type="noConversion"/>
  </si>
  <si>
    <t>134</t>
    <phoneticPr fontId="2" type="noConversion"/>
  </si>
  <si>
    <t>QuoteAckStatus</t>
  </si>
  <si>
    <t>int</t>
    <phoneticPr fontId="2" type="noConversion"/>
  </si>
  <si>
    <t>297</t>
    <phoneticPr fontId="2" type="noConversion"/>
  </si>
  <si>
    <t>77</t>
    <phoneticPr fontId="2" type="noConversion"/>
  </si>
  <si>
    <t>20001</t>
    <phoneticPr fontId="2" type="noConversion"/>
  </si>
  <si>
    <t>MassQuoteAcknowledgement</t>
    <phoneticPr fontId="2" type="noConversion"/>
  </si>
  <si>
    <t>5</t>
    <phoneticPr fontId="2" type="noConversion"/>
  </si>
  <si>
    <t>2</t>
    <phoneticPr fontId="2" type="noConversion"/>
  </si>
  <si>
    <t>61473</t>
    <phoneticPr fontId="2" type="noConversion"/>
  </si>
  <si>
    <t>7</t>
    <phoneticPr fontId="2" type="noConversion"/>
  </si>
  <si>
    <t>100</t>
    <phoneticPr fontId="2" type="noConversion"/>
  </si>
  <si>
    <t>n</t>
    <phoneticPr fontId="2" type="noConversion"/>
  </si>
  <si>
    <t>ExecResult</t>
  </si>
  <si>
    <t>20010</t>
    <phoneticPr fontId="2" type="noConversion"/>
  </si>
  <si>
    <t>n</t>
    <phoneticPr fontId="2" type="noConversion"/>
  </si>
  <si>
    <t>['35','54','20009','38','39','150','20010','55','1','56','116']</t>
    <phoneticPr fontId="2" type="noConversion"/>
  </si>
  <si>
    <t>['35','297','132','77','133','134','135','20001','55','1','56','116']</t>
    <phoneticPr fontId="2" type="noConversion"/>
  </si>
  <si>
    <t>cu1202c66000</t>
    <phoneticPr fontId="2" type="noConversion"/>
  </si>
  <si>
    <t>100.000000</t>
    <phoneticPr fontId="2" type="noConversion"/>
  </si>
  <si>
    <t>99.000000</t>
    <phoneticPr fontId="2" type="noConversion"/>
  </si>
  <si>
    <t>cu1202c63000</t>
    <phoneticPr fontId="2" type="noConversion"/>
  </si>
  <si>
    <t>OfferPx</t>
  </si>
  <si>
    <t>OfferSize</t>
  </si>
  <si>
    <t>QuoteCancel</t>
    <phoneticPr fontId="2" type="noConversion"/>
  </si>
  <si>
    <t>QuoteMsgID</t>
  </si>
  <si>
    <t>QuoteCancelType</t>
  </si>
  <si>
    <t>SHFE</t>
    <phoneticPr fontId="2" type="noConversion"/>
  </si>
  <si>
    <t>55</t>
    <phoneticPr fontId="2" type="noConversion"/>
  </si>
  <si>
    <t>207</t>
    <phoneticPr fontId="2" type="noConversion"/>
  </si>
  <si>
    <t>20004</t>
    <phoneticPr fontId="2" type="noConversion"/>
  </si>
  <si>
    <t>20005</t>
    <phoneticPr fontId="2" type="noConversion"/>
  </si>
  <si>
    <t>295</t>
    <phoneticPr fontId="2" type="noConversion"/>
  </si>
  <si>
    <t>298</t>
    <phoneticPr fontId="2" type="noConversion"/>
  </si>
  <si>
    <t>117</t>
    <phoneticPr fontId="2" type="noConversion"/>
  </si>
  <si>
    <t>1166</t>
    <phoneticPr fontId="2" type="noConversion"/>
  </si>
  <si>
    <t>Z</t>
    <phoneticPr fontId="2" type="noConversion"/>
  </si>
  <si>
    <t>1</t>
    <phoneticPr fontId="2" type="noConversion"/>
  </si>
  <si>
    <t>1</t>
    <phoneticPr fontId="2" type="noConversion"/>
  </si>
  <si>
    <t>5</t>
    <phoneticPr fontId="2" type="noConversion"/>
  </si>
  <si>
    <t>6</t>
    <phoneticPr fontId="2" type="noConversion"/>
  </si>
  <si>
    <t>6</t>
    <phoneticPr fontId="2" type="noConversion"/>
  </si>
  <si>
    <t>0</t>
    <phoneticPr fontId="2" type="noConversion"/>
  </si>
  <si>
    <t>4</t>
    <phoneticPr fontId="2" type="noConversion"/>
  </si>
  <si>
    <t>22</t>
    <phoneticPr fontId="2" type="noConversion"/>
  </si>
  <si>
    <t>0</t>
  </si>
  <si>
    <t>0</t>
    <phoneticPr fontId="2" type="noConversion"/>
  </si>
  <si>
    <t>0</t>
    <phoneticPr fontId="2" type="noConversion"/>
  </si>
  <si>
    <t>0</t>
    <phoneticPr fontId="2" type="noConversion"/>
  </si>
  <si>
    <t>N</t>
    <phoneticPr fontId="2" type="noConversion"/>
  </si>
  <si>
    <t>35</t>
    <phoneticPr fontId="2" type="noConversion"/>
  </si>
  <si>
    <t>10</t>
    <phoneticPr fontId="2" type="noConversion"/>
  </si>
  <si>
    <t>34</t>
    <phoneticPr fontId="2" type="noConversion"/>
  </si>
  <si>
    <t>49</t>
    <phoneticPr fontId="2" type="noConversion"/>
  </si>
  <si>
    <t>52</t>
    <phoneticPr fontId="2" type="noConversion"/>
  </si>
  <si>
    <t>56</t>
    <phoneticPr fontId="2" type="noConversion"/>
  </si>
  <si>
    <t>FIX.4.2</t>
    <phoneticPr fontId="2" type="noConversion"/>
  </si>
  <si>
    <t>111</t>
    <phoneticPr fontId="2" type="noConversion"/>
  </si>
  <si>
    <t>135</t>
    <phoneticPr fontId="2" type="noConversion"/>
  </si>
  <si>
    <t>keylist</t>
    <phoneticPr fontId="2" type="noConversion"/>
  </si>
  <si>
    <t>4444</t>
    <phoneticPr fontId="2" type="noConversion"/>
  </si>
  <si>
    <t>keylist</t>
    <phoneticPr fontId="2" type="noConversion"/>
  </si>
  <si>
    <t>String</t>
    <phoneticPr fontId="2" type="noConversion"/>
  </si>
  <si>
    <t>8</t>
    <phoneticPr fontId="2" type="noConversion"/>
  </si>
  <si>
    <t>9</t>
    <phoneticPr fontId="2" type="noConversion"/>
  </si>
  <si>
    <t>57</t>
    <phoneticPr fontId="2" type="noConversion"/>
  </si>
  <si>
    <t>45</t>
    <phoneticPr fontId="2" type="noConversion"/>
  </si>
  <si>
    <t>372</t>
    <phoneticPr fontId="2" type="noConversion"/>
  </si>
  <si>
    <t>373</t>
    <phoneticPr fontId="2" type="noConversion"/>
  </si>
  <si>
    <t>58</t>
    <phoneticPr fontId="2" type="noConversion"/>
  </si>
  <si>
    <t>3</t>
    <phoneticPr fontId="2" type="noConversion"/>
  </si>
  <si>
    <t>1</t>
    <phoneticPr fontId="2" type="noConversion"/>
  </si>
  <si>
    <t>00001</t>
    <phoneticPr fontId="2" type="noConversion"/>
  </si>
  <si>
    <t>61441</t>
    <phoneticPr fontId="2" type="noConversion"/>
  </si>
  <si>
    <t>['35','372','373']</t>
    <phoneticPr fontId="2" type="noConversion"/>
  </si>
  <si>
    <t>报价成功</t>
    <phoneticPr fontId="2" type="noConversion"/>
  </si>
  <si>
    <t>报价撤单成功</t>
    <phoneticPr fontId="2" type="noConversion"/>
  </si>
  <si>
    <t>cu1202c66000</t>
  </si>
  <si>
    <t>cu1202c66000</t>
    <phoneticPr fontId="2" type="noConversion"/>
  </si>
  <si>
    <t>报价被FIX拒绝，必填字段没填</t>
    <phoneticPr fontId="2" type="noConversion"/>
  </si>
  <si>
    <t>报价被CTP拒绝，两边数量不一致</t>
    <phoneticPr fontId="2" type="noConversion"/>
  </si>
  <si>
    <t>Reject</t>
    <phoneticPr fontId="2" type="noConversion"/>
  </si>
  <si>
    <t>4</t>
    <phoneticPr fontId="2" type="noConversion"/>
  </si>
  <si>
    <t>1</t>
    <phoneticPr fontId="2" type="noConversion"/>
  </si>
  <si>
    <t>16429</t>
    <phoneticPr fontId="2" type="noConversion"/>
  </si>
  <si>
    <t>4</t>
    <phoneticPr fontId="2" type="noConversion"/>
  </si>
  <si>
    <t>C</t>
    <phoneticPr fontId="2" type="noConversion"/>
  </si>
  <si>
    <t>报价被交易所拒绝，平仓持仓不足</t>
    <phoneticPr fontId="2" type="noConversion"/>
  </si>
  <si>
    <t>10</t>
    <phoneticPr fontId="2" type="noConversion"/>
  </si>
  <si>
    <t>9</t>
    <phoneticPr fontId="2" type="noConversion"/>
  </si>
  <si>
    <t>10</t>
    <phoneticPr fontId="2" type="noConversion"/>
  </si>
  <si>
    <t>10</t>
    <phoneticPr fontId="2" type="noConversion"/>
  </si>
  <si>
    <t>8</t>
    <phoneticPr fontId="2" type="noConversion"/>
  </si>
  <si>
    <t>8</t>
    <phoneticPr fontId="2" type="noConversion"/>
  </si>
  <si>
    <t>0</t>
    <phoneticPr fontId="2" type="noConversion"/>
  </si>
  <si>
    <t>8</t>
    <phoneticPr fontId="2" type="noConversion"/>
  </si>
  <si>
    <t>报价成功</t>
    <phoneticPr fontId="2" type="noConversion"/>
  </si>
  <si>
    <t>5</t>
    <phoneticPr fontId="2" type="noConversion"/>
  </si>
  <si>
    <t>11</t>
    <phoneticPr fontId="2" type="noConversion"/>
  </si>
  <si>
    <t>12</t>
    <phoneticPr fontId="2" type="noConversion"/>
  </si>
  <si>
    <t>O</t>
    <phoneticPr fontId="2" type="noConversion"/>
  </si>
  <si>
    <t>12</t>
    <phoneticPr fontId="2" type="noConversion"/>
  </si>
  <si>
    <t>12</t>
    <phoneticPr fontId="2" type="noConversion"/>
  </si>
  <si>
    <t>11</t>
    <phoneticPr fontId="2" type="noConversion"/>
  </si>
  <si>
    <t>5</t>
    <phoneticPr fontId="2" type="noConversion"/>
  </si>
  <si>
    <t>11</t>
    <phoneticPr fontId="2" type="noConversion"/>
  </si>
  <si>
    <t>报价撤单失败，已撤再撤</t>
    <phoneticPr fontId="2" type="noConversion"/>
  </si>
  <si>
    <t/>
  </si>
  <si>
    <t>1</t>
    <phoneticPr fontId="2" type="noConversion"/>
  </si>
  <si>
    <t>16431</t>
    <phoneticPr fontId="2" type="noConversion"/>
  </si>
  <si>
    <t>['35','297','1','116']</t>
    <phoneticPr fontId="2" type="noConversion"/>
  </si>
  <si>
    <t>撤报价衍生单，被拒绝</t>
    <phoneticPr fontId="2" type="noConversion"/>
  </si>
  <si>
    <t>11</t>
    <phoneticPr fontId="2" type="noConversion"/>
  </si>
  <si>
    <t>9</t>
    <phoneticPr fontId="2" type="noConversion"/>
  </si>
  <si>
    <t>1</t>
    <phoneticPr fontId="2" type="noConversion"/>
  </si>
  <si>
    <t>6</t>
    <phoneticPr fontId="2" type="noConversion"/>
  </si>
  <si>
    <t>['35','54','39','1','56']</t>
    <phoneticPr fontId="2" type="noConversion"/>
  </si>
  <si>
    <t>报价报单全部成交后仍可以撤销，只是没有了报单回报</t>
    <phoneticPr fontId="2" type="noConversion"/>
  </si>
  <si>
    <t>报价成交单边后撤报价，只有单边的报单回报</t>
    <phoneticPr fontId="2" type="noConversion"/>
  </si>
  <si>
    <t>报价成功自动撤销原来同合约未撤销的报价</t>
    <phoneticPr fontId="2" type="noConversion"/>
  </si>
  <si>
    <t>5</t>
    <phoneticPr fontId="2" type="noConversion"/>
  </si>
  <si>
    <t>6</t>
    <phoneticPr fontId="2" type="noConversion"/>
  </si>
  <si>
    <t>13</t>
    <phoneticPr fontId="2" type="noConversion"/>
  </si>
  <si>
    <t>13</t>
    <phoneticPr fontId="2" type="noConversion"/>
  </si>
  <si>
    <t>6</t>
    <phoneticPr fontId="2" type="noConversion"/>
  </si>
  <si>
    <t>13</t>
    <phoneticPr fontId="2" type="noConversion"/>
  </si>
  <si>
    <t>0</t>
    <phoneticPr fontId="2" type="noConversion"/>
  </si>
  <si>
    <t>4</t>
    <phoneticPr fontId="2" type="noConversion"/>
  </si>
  <si>
    <t>4</t>
    <phoneticPr fontId="2" type="noConversion"/>
  </si>
  <si>
    <t>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</si>
</sst>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等线"/>
      <family val="2"/>
      <scheme val="minor"/>
    </font>
    <font>
      <sz val="8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theme="1"/>
      <name val="TimesNewRoman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22" fontId="0" fillId="0" borderId="0" xfId="0" applyNumberFormat="1"/>
    <xf numFmtId="0" fontId="4" fillId="0" borderId="0" xfId="0" applyFont="1" applyAlignment="1"/>
    <xf numFmtId="0" fontId="3" fillId="0" borderId="0" xfId="1"/>
    <xf numFmtId="49" fontId="0" fillId="0" borderId="0" xfId="0" applyNumberFormat="1"/>
    <xf numFmtId="22" fontId="0" fillId="0" borderId="0" xfId="0" quotePrefix="1" applyNumberFormat="1"/>
    <xf numFmtId="0" fontId="0" fillId="0" borderId="0" xfId="0" quotePrefix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workbookViewId="0">
      <selection activeCell="J13" sqref="J13:J14"/>
    </sheetView>
  </sheetViews>
  <sheetFormatPr defaultRowHeight="14"/>
  <cols>
    <col min="2" max="2" width="21.33203125" customWidth="1"/>
    <col min="3" max="3" width="18.08203125" customWidth="1"/>
  </cols>
  <sheetData>
    <row r="1" spans="1:10">
      <c r="A1" t="s">
        <v>70</v>
      </c>
      <c r="B1" s="5" t="s">
        <v>68</v>
      </c>
      <c r="C1" s="5" t="s">
        <v>227</v>
      </c>
      <c r="D1" s="5" t="s">
        <v>69</v>
      </c>
    </row>
    <row r="2" spans="1:10">
      <c r="A2">
        <v>1</v>
      </c>
      <c r="B2" s="6" t="str">
        <f>HYPERLINK("#"&amp;C2&amp;"!A"&amp;(D2+3),C2)</f>
        <v>MassQuote</v>
      </c>
      <c r="C2" t="s">
        <v>281</v>
      </c>
      <c r="D2">
        <f>COUNTIF(C$2:C2,C2)</f>
        <v>1</v>
      </c>
      <c r="E2" t="s">
        <v>363</v>
      </c>
    </row>
    <row r="3" spans="1:10">
      <c r="A3">
        <v>2</v>
      </c>
      <c r="B3" s="6" t="str">
        <f>HYPERLINK("#"&amp;C3&amp;"!A"&amp;(D3+3),C3)</f>
        <v>QuoteCancel</v>
      </c>
      <c r="C3" t="s">
        <v>312</v>
      </c>
      <c r="D3">
        <f>COUNTIF(C$2:C3,C3)</f>
        <v>1</v>
      </c>
      <c r="E3" t="s">
        <v>364</v>
      </c>
    </row>
    <row r="4" spans="1:10">
      <c r="A4">
        <v>3</v>
      </c>
      <c r="B4" s="6" t="str">
        <f>HYPERLINK("#"&amp;C4&amp;"!A"&amp;(D4+3),C4)</f>
        <v>MassQuote</v>
      </c>
      <c r="C4" t="s">
        <v>281</v>
      </c>
      <c r="D4">
        <f>COUNTIF(C$2:C4,C4)</f>
        <v>2</v>
      </c>
      <c r="E4" t="s">
        <v>367</v>
      </c>
    </row>
    <row r="5" spans="1:10">
      <c r="A5">
        <v>4</v>
      </c>
      <c r="B5" s="6" t="str">
        <f>HYPERLINK("#"&amp;C5&amp;"!A"&amp;(D5+3),C5)</f>
        <v>MassQuote</v>
      </c>
      <c r="C5" t="s">
        <v>281</v>
      </c>
      <c r="D5">
        <f>COUNTIF(C$2:C5,C5)</f>
        <v>3</v>
      </c>
      <c r="E5" t="s">
        <v>368</v>
      </c>
    </row>
    <row r="6" spans="1:10">
      <c r="A6">
        <v>5</v>
      </c>
      <c r="B6" s="6" t="str">
        <f>HYPERLINK("#"&amp;C6&amp;"!A"&amp;(D6+3),C6)</f>
        <v>MassQuote</v>
      </c>
      <c r="C6" t="s">
        <v>281</v>
      </c>
      <c r="D6">
        <f>COUNTIF(C$2:C6,C6)</f>
        <v>4</v>
      </c>
      <c r="E6" t="s">
        <v>375</v>
      </c>
    </row>
    <row r="7" spans="1:10">
      <c r="A7">
        <v>6</v>
      </c>
      <c r="B7" s="6" t="str">
        <f>HYPERLINK("#"&amp;C7&amp;"!A"&amp;(D7+3),C7)</f>
        <v>MassQuote</v>
      </c>
      <c r="C7" t="s">
        <v>281</v>
      </c>
      <c r="D7">
        <f>COUNTIF(C$2:C7,C7)</f>
        <v>5</v>
      </c>
      <c r="E7" t="s">
        <v>384</v>
      </c>
    </row>
    <row r="8" spans="1:10">
      <c r="A8">
        <v>7</v>
      </c>
      <c r="B8" s="6" t="str">
        <f>HYPERLINK("#"&amp;C8&amp;"!A"&amp;(D8+3),C8)</f>
        <v>QuoteCancel</v>
      </c>
      <c r="C8" t="s">
        <v>312</v>
      </c>
      <c r="D8">
        <f>COUNTIF(C$2:C8,C8)</f>
        <v>2</v>
      </c>
      <c r="E8" t="s">
        <v>394</v>
      </c>
    </row>
    <row r="9" spans="1:10">
      <c r="A9">
        <v>8</v>
      </c>
      <c r="B9" s="6" t="str">
        <f>HYPERLINK("#"&amp;C9&amp;"!A"&amp;(D9+3),C9)</f>
        <v>OrderCancelRequest</v>
      </c>
      <c r="C9" t="s">
        <v>105</v>
      </c>
      <c r="D9">
        <f>COUNTIF(C$2:C9,C9)</f>
        <v>1</v>
      </c>
      <c r="E9" t="s">
        <v>399</v>
      </c>
      <c r="J9" t="s">
        <v>406</v>
      </c>
    </row>
    <row r="10" spans="1:10">
      <c r="A10">
        <v>9</v>
      </c>
      <c r="B10" s="6" t="str">
        <f>HYPERLINK("#"&amp;C10&amp;"!A"&amp;(D10+3),C10)</f>
        <v>MassQuote</v>
      </c>
      <c r="C10" t="s">
        <v>281</v>
      </c>
      <c r="D10">
        <f>COUNTIF(C$2:C10,C10)</f>
        <v>6</v>
      </c>
      <c r="E10" t="s">
        <v>407</v>
      </c>
      <c r="J10" t="s">
        <v>405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28" workbookViewId="0">
      <selection activeCell="B41" sqref="B41"/>
    </sheetView>
  </sheetViews>
  <sheetFormatPr defaultRowHeight="14"/>
  <cols>
    <col min="2" max="2" width="26.75" customWidth="1"/>
    <col min="3" max="3" width="14.83203125" customWidth="1"/>
  </cols>
  <sheetData>
    <row r="1" spans="1:4">
      <c r="A1" t="s">
        <v>70</v>
      </c>
      <c r="B1" s="5" t="s">
        <v>68</v>
      </c>
      <c r="C1" s="5" t="s">
        <v>227</v>
      </c>
      <c r="D1" s="5" t="s">
        <v>69</v>
      </c>
    </row>
    <row r="2" spans="1:4">
      <c r="A2">
        <v>0</v>
      </c>
      <c r="B2" s="6" t="str">
        <f>HYPERLINK("#"&amp;C2&amp;"!A"&amp;(D2+3),C2)</f>
        <v>OnRspUserLogin</v>
      </c>
      <c r="C2" t="s">
        <v>225</v>
      </c>
      <c r="D2">
        <f>COUNTIF(C$2:C2,C2)</f>
        <v>1</v>
      </c>
    </row>
    <row r="3" spans="1:4">
      <c r="A3">
        <v>1</v>
      </c>
      <c r="B3" s="6" t="str">
        <f>HYPERLINK("#"&amp;C3&amp;"!A"&amp;(D3+3),C3)</f>
        <v>ExecutionReport</v>
      </c>
      <c r="C3" t="s">
        <v>226</v>
      </c>
      <c r="D3">
        <f>COUNTIF(C$2:C3,C3)</f>
        <v>1</v>
      </c>
    </row>
    <row r="4" spans="1:4">
      <c r="A4">
        <v>1</v>
      </c>
      <c r="B4" s="6" t="str">
        <f>HYPERLINK("#"&amp;C4&amp;"!A"&amp;(D4+3),C4)</f>
        <v>ExecutionReport</v>
      </c>
      <c r="C4" t="s">
        <v>226</v>
      </c>
      <c r="D4">
        <f>COUNTIF(C$2:C4,C4)</f>
        <v>2</v>
      </c>
    </row>
    <row r="5" spans="1:4" ht="18.75" customHeight="1">
      <c r="A5">
        <v>1</v>
      </c>
      <c r="B5" s="6" t="str">
        <f t="shared" ref="B5" si="0">HYPERLINK("#"&amp;C5&amp;"!A"&amp;(D5+3),C5)</f>
        <v>MassQuoteAcknowledgement</v>
      </c>
      <c r="C5" t="s">
        <v>294</v>
      </c>
      <c r="D5">
        <f>COUNTIF(C$2:C5,C5)</f>
        <v>1</v>
      </c>
    </row>
    <row r="6" spans="1:4">
      <c r="A6">
        <v>1</v>
      </c>
      <c r="B6" s="6" t="str">
        <f>HYPERLINK("#"&amp;C6&amp;"!A"&amp;(D6+3),C6)</f>
        <v>ExecutionReport</v>
      </c>
      <c r="C6" t="s">
        <v>226</v>
      </c>
      <c r="D6">
        <f>COUNTIF(C$2:C6,C6)</f>
        <v>3</v>
      </c>
    </row>
    <row r="7" spans="1:4">
      <c r="A7">
        <v>1</v>
      </c>
      <c r="B7" s="6" t="str">
        <f>HYPERLINK("#"&amp;C7&amp;"!A"&amp;(D7+3),C7)</f>
        <v>ExecutionReport</v>
      </c>
      <c r="C7" t="s">
        <v>226</v>
      </c>
      <c r="D7">
        <f>COUNTIF(C$2:C7,C7)</f>
        <v>4</v>
      </c>
    </row>
    <row r="8" spans="1:4">
      <c r="A8">
        <v>1</v>
      </c>
      <c r="B8" s="6" t="str">
        <f>HYPERLINK("#"&amp;C8&amp;"!A"&amp;(D8+3),C8)</f>
        <v>MassQuoteAcknowledgement</v>
      </c>
      <c r="C8" t="s">
        <v>294</v>
      </c>
      <c r="D8">
        <f>COUNTIF(C$2:C8,C8)</f>
        <v>2</v>
      </c>
    </row>
    <row r="9" spans="1:4">
      <c r="A9">
        <v>2</v>
      </c>
      <c r="B9" s="6" t="str">
        <f t="shared" ref="B9:B11" si="1">HYPERLINK("#"&amp;C9&amp;"!A"&amp;(D9+3),C9)</f>
        <v>MassQuoteAcknowledgement</v>
      </c>
      <c r="C9" t="s">
        <v>294</v>
      </c>
      <c r="D9">
        <f>COUNTIF(C$2:C9,C9)</f>
        <v>3</v>
      </c>
    </row>
    <row r="10" spans="1:4">
      <c r="A10">
        <v>2</v>
      </c>
      <c r="B10" s="6" t="str">
        <f t="shared" si="1"/>
        <v>ExecutionReport</v>
      </c>
      <c r="C10" t="s">
        <v>226</v>
      </c>
      <c r="D10">
        <f>COUNTIF(C$2:C10,C10)</f>
        <v>5</v>
      </c>
    </row>
    <row r="11" spans="1:4">
      <c r="A11">
        <v>2</v>
      </c>
      <c r="B11" s="6" t="str">
        <f t="shared" si="1"/>
        <v>ExecutionReport</v>
      </c>
      <c r="C11" t="s">
        <v>226</v>
      </c>
      <c r="D11">
        <f>COUNTIF(C$2:C11,C11)</f>
        <v>6</v>
      </c>
    </row>
    <row r="12" spans="1:4">
      <c r="A12">
        <v>2</v>
      </c>
      <c r="B12" s="6" t="str">
        <f t="shared" ref="B12:B14" si="2">HYPERLINK("#"&amp;C12&amp;"!A"&amp;(D12+3),C12)</f>
        <v>MassQuoteAcknowledgement</v>
      </c>
      <c r="C12" t="s">
        <v>294</v>
      </c>
      <c r="D12">
        <f>COUNTIF(C$2:C12,C12)</f>
        <v>4</v>
      </c>
    </row>
    <row r="13" spans="1:4">
      <c r="A13">
        <v>3</v>
      </c>
      <c r="B13" s="6" t="str">
        <f t="shared" si="2"/>
        <v>Reject</v>
      </c>
      <c r="C13" t="s">
        <v>369</v>
      </c>
      <c r="D13">
        <f>COUNTIF(C$2:C13,C13)</f>
        <v>1</v>
      </c>
    </row>
    <row r="14" spans="1:4">
      <c r="A14">
        <v>4</v>
      </c>
      <c r="B14" s="6" t="str">
        <f t="shared" si="2"/>
        <v>MassQuoteAcknowledgement</v>
      </c>
      <c r="C14" t="s">
        <v>294</v>
      </c>
      <c r="D14">
        <f>COUNTIF(C$2:C14,C14)</f>
        <v>5</v>
      </c>
    </row>
    <row r="15" spans="1:4">
      <c r="A15">
        <v>5</v>
      </c>
      <c r="B15" s="6" t="str">
        <f>HYPERLINK("#"&amp;C15&amp;"!A"&amp;(D15+3),C15)</f>
        <v>ExecutionReport</v>
      </c>
      <c r="C15" t="s">
        <v>226</v>
      </c>
      <c r="D15">
        <f>COUNTIF(C$2:C15,C15)</f>
        <v>7</v>
      </c>
    </row>
    <row r="16" spans="1:4">
      <c r="A16">
        <v>5</v>
      </c>
      <c r="B16" s="6" t="str">
        <f>HYPERLINK("#"&amp;C16&amp;"!A"&amp;(D16+3),C16)</f>
        <v>ExecutionReport</v>
      </c>
      <c r="C16" t="s">
        <v>226</v>
      </c>
      <c r="D16">
        <f>COUNTIF(C$2:C16,C16)</f>
        <v>8</v>
      </c>
    </row>
    <row r="17" spans="1:4">
      <c r="A17">
        <v>5</v>
      </c>
      <c r="B17" s="6" t="str">
        <f t="shared" ref="B17" si="3">HYPERLINK("#"&amp;C17&amp;"!A"&amp;(D17+3),C17)</f>
        <v>MassQuoteAcknowledgement</v>
      </c>
      <c r="C17" t="s">
        <v>294</v>
      </c>
      <c r="D17">
        <f>COUNTIF(C$2:C17,C17)</f>
        <v>6</v>
      </c>
    </row>
    <row r="18" spans="1:4">
      <c r="A18">
        <v>5</v>
      </c>
      <c r="B18" s="6" t="str">
        <f>HYPERLINK("#"&amp;C18&amp;"!A"&amp;(D18+3),C18)</f>
        <v>ExecutionReport</v>
      </c>
      <c r="C18" t="s">
        <v>226</v>
      </c>
      <c r="D18">
        <f>COUNTIF(C$2:C18,C18)</f>
        <v>9</v>
      </c>
    </row>
    <row r="19" spans="1:4">
      <c r="A19">
        <v>5</v>
      </c>
      <c r="B19" s="6" t="str">
        <f>HYPERLINK("#"&amp;C19&amp;"!A"&amp;(D19+3),C19)</f>
        <v>ExecutionReport</v>
      </c>
      <c r="C19" t="s">
        <v>226</v>
      </c>
      <c r="D19">
        <f>COUNTIF(C$2:C19,C19)</f>
        <v>10</v>
      </c>
    </row>
    <row r="20" spans="1:4">
      <c r="A20">
        <v>5</v>
      </c>
      <c r="B20" s="6" t="str">
        <f>HYPERLINK("#"&amp;C20&amp;"!A"&amp;(D20+3),C20)</f>
        <v>MassQuoteAcknowledgement</v>
      </c>
      <c r="C20" t="s">
        <v>294</v>
      </c>
      <c r="D20">
        <f>COUNTIF(C$2:C20,C20)</f>
        <v>7</v>
      </c>
    </row>
    <row r="21" spans="1:4">
      <c r="A21">
        <v>6</v>
      </c>
      <c r="B21" s="6" t="str">
        <f>HYPERLINK("#"&amp;C21&amp;"!A"&amp;(D21+3),C21)</f>
        <v>ExecutionReport</v>
      </c>
      <c r="C21" t="s">
        <v>226</v>
      </c>
      <c r="D21">
        <f>COUNTIF(C$2:C21,C21)</f>
        <v>11</v>
      </c>
    </row>
    <row r="22" spans="1:4">
      <c r="A22">
        <v>6</v>
      </c>
      <c r="B22" s="6" t="str">
        <f>HYPERLINK("#"&amp;C22&amp;"!A"&amp;(D22+3),C22)</f>
        <v>ExecutionReport</v>
      </c>
      <c r="C22" t="s">
        <v>226</v>
      </c>
      <c r="D22">
        <f>COUNTIF(C$2:C22,C22)</f>
        <v>12</v>
      </c>
    </row>
    <row r="23" spans="1:4">
      <c r="A23">
        <v>6</v>
      </c>
      <c r="B23" s="6" t="str">
        <f t="shared" ref="B23" si="4">HYPERLINK("#"&amp;C23&amp;"!A"&amp;(D23+3),C23)</f>
        <v>MassQuoteAcknowledgement</v>
      </c>
      <c r="C23" t="s">
        <v>294</v>
      </c>
      <c r="D23">
        <f>COUNTIF(C$2:C23,C23)</f>
        <v>8</v>
      </c>
    </row>
    <row r="24" spans="1:4">
      <c r="A24">
        <v>6</v>
      </c>
      <c r="B24" s="6" t="str">
        <f>HYPERLINK("#"&amp;C24&amp;"!A"&amp;(D24+3),C24)</f>
        <v>ExecutionReport</v>
      </c>
      <c r="C24" t="s">
        <v>226</v>
      </c>
      <c r="D24">
        <f>COUNTIF(C$2:C24,C24)</f>
        <v>13</v>
      </c>
    </row>
    <row r="25" spans="1:4">
      <c r="A25">
        <v>6</v>
      </c>
      <c r="B25" s="6" t="str">
        <f>HYPERLINK("#"&amp;C25&amp;"!A"&amp;(D25+3),C25)</f>
        <v>ExecutionReport</v>
      </c>
      <c r="C25" t="s">
        <v>226</v>
      </c>
      <c r="D25">
        <f>COUNTIF(C$2:C25,C25)</f>
        <v>14</v>
      </c>
    </row>
    <row r="26" spans="1:4">
      <c r="A26">
        <v>6</v>
      </c>
      <c r="B26" s="6" t="str">
        <f>HYPERLINK("#"&amp;C26&amp;"!A"&amp;(D26+3),C26)</f>
        <v>MassQuoteAcknowledgement</v>
      </c>
      <c r="C26" t="s">
        <v>294</v>
      </c>
      <c r="D26">
        <f>COUNTIF(C$2:C26,C26)</f>
        <v>9</v>
      </c>
    </row>
    <row r="27" spans="1:4">
      <c r="A27">
        <v>7</v>
      </c>
      <c r="B27" s="6" t="str">
        <f>HYPERLINK("#"&amp;C27&amp;"!A"&amp;(D27+3),C27)</f>
        <v>MassQuoteAcknowledgement</v>
      </c>
      <c r="C27" t="s">
        <v>294</v>
      </c>
      <c r="D27">
        <f>COUNTIF(C$2:C27,C27)</f>
        <v>10</v>
      </c>
    </row>
    <row r="28" spans="1:4">
      <c r="A28">
        <v>8</v>
      </c>
      <c r="B28" s="6" t="str">
        <f>HYPERLINK("#"&amp;C28&amp;"!A"&amp;(D28+3),C28)</f>
        <v>ExecutionReport</v>
      </c>
      <c r="C28" t="s">
        <v>226</v>
      </c>
      <c r="D28">
        <f>COUNTIF(C$2:C28,C28)</f>
        <v>15</v>
      </c>
    </row>
    <row r="29" spans="1:4">
      <c r="A29">
        <v>8</v>
      </c>
      <c r="B29" s="6" t="str">
        <f>HYPERLINK("#"&amp;C29&amp;"!A"&amp;(D29+3),C29)</f>
        <v>ExecutionReport</v>
      </c>
      <c r="C29" t="s">
        <v>226</v>
      </c>
      <c r="D29">
        <f>COUNTIF(C$2:C29,C29)</f>
        <v>16</v>
      </c>
    </row>
    <row r="30" spans="1:4">
      <c r="A30">
        <v>9</v>
      </c>
      <c r="B30" s="6" t="str">
        <f>HYPERLINK("#"&amp;C30&amp;"!A"&amp;(D30+3),C30)</f>
        <v>ExecutionReport</v>
      </c>
      <c r="C30" t="s">
        <v>226</v>
      </c>
      <c r="D30">
        <f>COUNTIF(C$2:C30,C30)</f>
        <v>17</v>
      </c>
    </row>
    <row r="31" spans="1:4">
      <c r="A31">
        <v>9</v>
      </c>
      <c r="B31" s="6" t="str">
        <f>HYPERLINK("#"&amp;C31&amp;"!A"&amp;(D31+3),C31)</f>
        <v>ExecutionReport</v>
      </c>
      <c r="C31" t="s">
        <v>226</v>
      </c>
      <c r="D31">
        <f>COUNTIF(C$2:C31,C31)</f>
        <v>18</v>
      </c>
    </row>
    <row r="32" spans="1:4">
      <c r="A32">
        <v>9</v>
      </c>
      <c r="B32" s="6" t="str">
        <f t="shared" ref="B32" si="5">HYPERLINK("#"&amp;C32&amp;"!A"&amp;(D32+3),C32)</f>
        <v>MassQuoteAcknowledgement</v>
      </c>
      <c r="C32" t="s">
        <v>294</v>
      </c>
      <c r="D32">
        <f>COUNTIF(C$2:C32,C32)</f>
        <v>11</v>
      </c>
    </row>
    <row r="33" spans="1:4">
      <c r="A33">
        <v>9</v>
      </c>
      <c r="B33" s="6" t="str">
        <f>HYPERLINK("#"&amp;C33&amp;"!A"&amp;(D33+3),C33)</f>
        <v>ExecutionReport</v>
      </c>
      <c r="C33" t="s">
        <v>226</v>
      </c>
      <c r="D33">
        <f>COUNTIF(C$2:C33,C33)</f>
        <v>19</v>
      </c>
    </row>
    <row r="34" spans="1:4">
      <c r="A34">
        <v>9</v>
      </c>
      <c r="B34" s="6" t="str">
        <f>HYPERLINK("#"&amp;C34&amp;"!A"&amp;(D34+3),C34)</f>
        <v>ExecutionReport</v>
      </c>
      <c r="C34" t="s">
        <v>226</v>
      </c>
      <c r="D34">
        <f>COUNTIF(C$2:C34,C34)</f>
        <v>20</v>
      </c>
    </row>
    <row r="35" spans="1:4">
      <c r="A35">
        <v>9</v>
      </c>
      <c r="B35" s="6" t="str">
        <f>HYPERLINK("#"&amp;C35&amp;"!A"&amp;(D35+3),C35)</f>
        <v>MassQuoteAcknowledgement</v>
      </c>
      <c r="C35" t="s">
        <v>294</v>
      </c>
      <c r="D35">
        <f>COUNTIF(C$2:C35,C35)</f>
        <v>12</v>
      </c>
    </row>
    <row r="36" spans="1:4">
      <c r="A36">
        <v>9</v>
      </c>
      <c r="B36" s="6" t="str">
        <f>HYPERLINK("#"&amp;C36&amp;"!A"&amp;(D36+3),C36)</f>
        <v>ExecutionReport</v>
      </c>
      <c r="C36" t="s">
        <v>226</v>
      </c>
      <c r="D36">
        <f>COUNTIF(C$2:C36,C36)</f>
        <v>21</v>
      </c>
    </row>
    <row r="37" spans="1:4">
      <c r="A37">
        <v>9</v>
      </c>
      <c r="B37" s="6" t="str">
        <f>HYPERLINK("#"&amp;C37&amp;"!A"&amp;(D37+3),C37)</f>
        <v>ExecutionReport</v>
      </c>
      <c r="C37" t="s">
        <v>226</v>
      </c>
      <c r="D37">
        <f>COUNTIF(C$2:C37,C37)</f>
        <v>22</v>
      </c>
    </row>
    <row r="38" spans="1:4">
      <c r="A38">
        <v>9</v>
      </c>
      <c r="B38" s="6" t="str">
        <f t="shared" ref="B38" si="6">HYPERLINK("#"&amp;C38&amp;"!A"&amp;(D38+3),C38)</f>
        <v>MassQuoteAcknowledgement</v>
      </c>
      <c r="C38" t="s">
        <v>294</v>
      </c>
      <c r="D38">
        <f>COUNTIF(C$2:C38,C38)</f>
        <v>13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5" sqref="D5"/>
    </sheetView>
  </sheetViews>
  <sheetFormatPr defaultRowHeight="14"/>
  <cols>
    <col min="2" max="2" width="21.33203125" customWidth="1"/>
    <col min="3" max="3" width="18.08203125" customWidth="1"/>
  </cols>
  <sheetData>
    <row r="1" spans="1:4">
      <c r="A1" t="s">
        <v>70</v>
      </c>
      <c r="B1" s="5" t="s">
        <v>68</v>
      </c>
      <c r="C1" s="5" t="s">
        <v>227</v>
      </c>
      <c r="D1" s="5" t="s">
        <v>69</v>
      </c>
    </row>
    <row r="2" spans="1:4">
      <c r="A2">
        <v>1</v>
      </c>
      <c r="B2" s="6" t="str">
        <f>HYPERLINK("#"&amp;C2&amp;"!A"&amp;(D2+3),C2)</f>
        <v>MassQuote</v>
      </c>
      <c r="C2" t="s">
        <v>281</v>
      </c>
      <c r="D2">
        <f>COUNTIF(C$2:C7,C2)</f>
        <v>1</v>
      </c>
    </row>
    <row r="3" spans="1:4">
      <c r="A3">
        <v>2</v>
      </c>
      <c r="B3" s="6" t="str">
        <f>HYPERLINK("#"&amp;C3&amp;"!A"&amp;(D3+3),C3)</f>
        <v>NewOrderSingle</v>
      </c>
      <c r="C3" t="s">
        <v>228</v>
      </c>
      <c r="D3">
        <f>COUNTIF(C$2:C3,C3)</f>
        <v>1</v>
      </c>
    </row>
    <row r="4" spans="1:4">
      <c r="A4">
        <v>3</v>
      </c>
      <c r="B4" s="6" t="str">
        <f>HYPERLINK("#"&amp;C4&amp;"!A"&amp;(D4+3),C4)</f>
        <v>NewOrderSingle</v>
      </c>
      <c r="C4" t="s">
        <v>228</v>
      </c>
      <c r="D4">
        <f>COUNTIF(C$2:C4,C4)</f>
        <v>2</v>
      </c>
    </row>
    <row r="5" spans="1:4">
      <c r="A5">
        <v>4</v>
      </c>
      <c r="B5" s="6" t="str">
        <f t="shared" ref="B5:B7" si="0">HYPERLINK("#"&amp;C5&amp;"!A"&amp;(D5+3),C5)</f>
        <v>OrderCancelRequest</v>
      </c>
      <c r="C5" t="s">
        <v>105</v>
      </c>
      <c r="D5">
        <f>COUNTIF(C$2:C5,C5)</f>
        <v>1</v>
      </c>
    </row>
    <row r="6" spans="1:4">
      <c r="A6">
        <v>5</v>
      </c>
      <c r="B6" s="6" t="str">
        <f t="shared" si="0"/>
        <v>OrderCancelRequest</v>
      </c>
      <c r="C6" t="s">
        <v>105</v>
      </c>
      <c r="D6">
        <f>COUNTIF(C$2:C6,C6)</f>
        <v>2</v>
      </c>
    </row>
    <row r="7" spans="1:4">
      <c r="A7">
        <v>6</v>
      </c>
      <c r="B7" s="6" t="str">
        <f t="shared" si="0"/>
        <v>OrderCancelReplaceRequest</v>
      </c>
      <c r="C7" t="s">
        <v>229</v>
      </c>
      <c r="D7">
        <f>COUNTIF(C$2:C7,C7)</f>
        <v>1</v>
      </c>
    </row>
    <row r="8" spans="1:4">
      <c r="A8">
        <v>7</v>
      </c>
      <c r="B8" s="6" t="str">
        <f>HYPERLINK("#"&amp;C8&amp;"!A"&amp;(D8+3),C8)</f>
        <v>NewOrderSingle</v>
      </c>
      <c r="C8" t="s">
        <v>228</v>
      </c>
      <c r="D8">
        <f>COUNTIF(C$2:C9,C8)</f>
        <v>3</v>
      </c>
    </row>
    <row r="9" spans="1:4">
      <c r="A9">
        <v>8</v>
      </c>
      <c r="B9" s="6" t="str">
        <f>HYPERLINK("#"&amp;C9&amp;"!A"&amp;(D9+3),C9)</f>
        <v>QuoteCancel</v>
      </c>
      <c r="C9" t="s">
        <v>312</v>
      </c>
      <c r="D9">
        <f>COUNTIF(C$2:C11,C9)</f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0"/>
  <sheetViews>
    <sheetView workbookViewId="0">
      <selection activeCell="I15" sqref="I15"/>
    </sheetView>
  </sheetViews>
  <sheetFormatPr defaultRowHeight="14"/>
  <cols>
    <col min="6" max="6" width="15.75" customWidth="1"/>
    <col min="7" max="7" width="14.58203125" customWidth="1"/>
    <col min="19" max="19" width="13.25" customWidth="1"/>
    <col min="35" max="35" width="14.75" customWidth="1"/>
  </cols>
  <sheetData>
    <row r="1" spans="1:3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125</v>
      </c>
      <c r="H1" t="s">
        <v>6</v>
      </c>
      <c r="I1" t="s">
        <v>32</v>
      </c>
      <c r="J1" t="s">
        <v>55</v>
      </c>
      <c r="K1" t="s">
        <v>34</v>
      </c>
      <c r="L1" t="s">
        <v>158</v>
      </c>
      <c r="M1" t="s">
        <v>54</v>
      </c>
      <c r="N1" t="s">
        <v>93</v>
      </c>
      <c r="O1" t="s">
        <v>40</v>
      </c>
      <c r="P1" t="s">
        <v>35</v>
      </c>
      <c r="Q1" t="s">
        <v>39</v>
      </c>
      <c r="R1" t="s">
        <v>37</v>
      </c>
      <c r="S1" t="s">
        <v>33</v>
      </c>
      <c r="T1" t="s">
        <v>42</v>
      </c>
      <c r="U1" t="s">
        <v>48</v>
      </c>
      <c r="V1" t="s">
        <v>38</v>
      </c>
      <c r="W1" t="s">
        <v>44</v>
      </c>
      <c r="X1" t="s">
        <v>43</v>
      </c>
      <c r="Y1" t="s">
        <v>45</v>
      </c>
      <c r="Z1" t="s">
        <v>121</v>
      </c>
      <c r="AA1" t="s">
        <v>49</v>
      </c>
      <c r="AB1" t="s">
        <v>51</v>
      </c>
      <c r="AC1" t="s">
        <v>52</v>
      </c>
      <c r="AD1" t="s">
        <v>51</v>
      </c>
      <c r="AE1" t="s">
        <v>52</v>
      </c>
      <c r="AF1" t="s">
        <v>56</v>
      </c>
      <c r="AG1" t="s">
        <v>53</v>
      </c>
      <c r="AH1" t="s">
        <v>58</v>
      </c>
      <c r="AI1" t="s">
        <v>239</v>
      </c>
      <c r="AJ1" s="1" t="s">
        <v>17</v>
      </c>
    </row>
    <row r="2" spans="1:3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10</v>
      </c>
      <c r="H2" t="s">
        <v>1</v>
      </c>
      <c r="I2" t="s">
        <v>10</v>
      </c>
      <c r="J2" t="s">
        <v>39</v>
      </c>
      <c r="K2" t="s">
        <v>13</v>
      </c>
      <c r="L2" t="s">
        <v>158</v>
      </c>
      <c r="M2" t="s">
        <v>36</v>
      </c>
      <c r="N2" t="s">
        <v>36</v>
      </c>
      <c r="O2" t="s">
        <v>41</v>
      </c>
      <c r="P2" t="s">
        <v>36</v>
      </c>
      <c r="Q2" t="s">
        <v>39</v>
      </c>
      <c r="R2" t="s">
        <v>36</v>
      </c>
      <c r="S2" t="s">
        <v>10</v>
      </c>
      <c r="T2" t="s">
        <v>36</v>
      </c>
      <c r="U2" t="s">
        <v>47</v>
      </c>
      <c r="V2" t="s">
        <v>36</v>
      </c>
      <c r="W2" t="s">
        <v>39</v>
      </c>
      <c r="X2" t="s">
        <v>41</v>
      </c>
      <c r="Y2" t="s">
        <v>46</v>
      </c>
      <c r="Z2" t="s">
        <v>122</v>
      </c>
      <c r="AA2" t="s">
        <v>50</v>
      </c>
      <c r="AB2" t="s">
        <v>10</v>
      </c>
      <c r="AC2" t="s">
        <v>13</v>
      </c>
      <c r="AD2" t="s">
        <v>10</v>
      </c>
      <c r="AE2" t="s">
        <v>13</v>
      </c>
      <c r="AF2" t="s">
        <v>57</v>
      </c>
      <c r="AG2" t="s">
        <v>14</v>
      </c>
      <c r="AH2" t="s">
        <v>57</v>
      </c>
      <c r="AI2" t="s">
        <v>57</v>
      </c>
      <c r="AJ2" t="s">
        <v>10</v>
      </c>
    </row>
    <row r="3" spans="1:36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231</v>
      </c>
      <c r="H3" s="2" t="s">
        <v>22</v>
      </c>
      <c r="I3" s="3" t="s">
        <v>67</v>
      </c>
      <c r="J3" s="3" t="s">
        <v>71</v>
      </c>
      <c r="K3" s="3" t="s">
        <v>72</v>
      </c>
      <c r="L3" s="3" t="s">
        <v>237</v>
      </c>
      <c r="M3" s="3" t="s">
        <v>73</v>
      </c>
      <c r="N3" s="3" t="s">
        <v>94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3" t="s">
        <v>80</v>
      </c>
      <c r="V3" s="3" t="s">
        <v>81</v>
      </c>
      <c r="W3" s="3" t="s">
        <v>82</v>
      </c>
      <c r="X3" s="3" t="s">
        <v>83</v>
      </c>
      <c r="Y3" s="3" t="s">
        <v>84</v>
      </c>
      <c r="Z3">
        <v>432</v>
      </c>
      <c r="AA3" s="3" t="s">
        <v>85</v>
      </c>
      <c r="AB3" s="3" t="s">
        <v>120</v>
      </c>
      <c r="AC3" s="3" t="s">
        <v>119</v>
      </c>
      <c r="AD3" s="3" t="s">
        <v>235</v>
      </c>
      <c r="AE3" s="3" t="s">
        <v>236</v>
      </c>
      <c r="AF3" s="3" t="s">
        <v>86</v>
      </c>
      <c r="AG3" s="3" t="s">
        <v>87</v>
      </c>
      <c r="AH3" s="3" t="s">
        <v>88</v>
      </c>
      <c r="AI3" s="3" t="s">
        <v>238</v>
      </c>
      <c r="AJ3" s="2" t="s">
        <v>25</v>
      </c>
    </row>
    <row r="4" spans="1:36">
      <c r="A4" s="3" t="s">
        <v>26</v>
      </c>
      <c r="B4" s="3" t="s">
        <v>27</v>
      </c>
      <c r="C4" s="3" t="s">
        <v>89</v>
      </c>
      <c r="D4" s="3"/>
      <c r="E4" s="3" t="s">
        <v>31</v>
      </c>
      <c r="F4" s="4">
        <f ca="1">NOW()</f>
        <v>44088.383192361114</v>
      </c>
      <c r="G4" s="4"/>
      <c r="H4" s="3" t="s">
        <v>28</v>
      </c>
      <c r="I4" s="3" t="s">
        <v>31</v>
      </c>
      <c r="J4" s="3" t="s">
        <v>64</v>
      </c>
      <c r="K4" s="3" t="s">
        <v>91</v>
      </c>
      <c r="L4" s="3"/>
      <c r="M4" s="3" t="s">
        <v>64</v>
      </c>
      <c r="N4" s="3" t="s">
        <v>95</v>
      </c>
      <c r="O4" s="3" t="s">
        <v>65</v>
      </c>
      <c r="P4" s="3" t="s">
        <v>66</v>
      </c>
      <c r="Q4" s="3" t="s">
        <v>60</v>
      </c>
      <c r="R4" s="3" t="s">
        <v>67</v>
      </c>
      <c r="S4" t="s">
        <v>61</v>
      </c>
      <c r="T4" s="3" t="s">
        <v>64</v>
      </c>
      <c r="U4" s="3" t="s">
        <v>96</v>
      </c>
      <c r="V4" t="s">
        <v>62</v>
      </c>
      <c r="W4">
        <v>0</v>
      </c>
      <c r="X4">
        <v>0</v>
      </c>
      <c r="Y4" t="s">
        <v>63</v>
      </c>
      <c r="AF4" s="3" t="s">
        <v>65</v>
      </c>
      <c r="AG4" t="s">
        <v>337</v>
      </c>
      <c r="AJ4" s="3" t="s">
        <v>30</v>
      </c>
    </row>
    <row r="5" spans="1:36">
      <c r="A5" s="3" t="s">
        <v>26</v>
      </c>
      <c r="B5" s="3" t="s">
        <v>27</v>
      </c>
      <c r="C5" s="3" t="s">
        <v>90</v>
      </c>
      <c r="D5" s="3"/>
      <c r="E5" s="3" t="s">
        <v>31</v>
      </c>
      <c r="F5" s="4">
        <f ca="1">NOW()</f>
        <v>44088.383192361114</v>
      </c>
      <c r="G5" s="4"/>
      <c r="H5" s="3" t="s">
        <v>28</v>
      </c>
      <c r="I5" s="3" t="s">
        <v>31</v>
      </c>
      <c r="J5" s="3" t="s">
        <v>64</v>
      </c>
      <c r="K5" s="3" t="s">
        <v>92</v>
      </c>
      <c r="L5" s="3"/>
      <c r="M5" s="3" t="s">
        <v>64</v>
      </c>
      <c r="N5" s="3" t="s">
        <v>95</v>
      </c>
      <c r="O5" s="3" t="s">
        <v>59</v>
      </c>
      <c r="P5" s="3" t="s">
        <v>66</v>
      </c>
      <c r="Q5" s="3" t="s">
        <v>97</v>
      </c>
      <c r="R5" s="3" t="s">
        <v>59</v>
      </c>
      <c r="S5" t="s">
        <v>61</v>
      </c>
      <c r="T5" s="3" t="s">
        <v>64</v>
      </c>
      <c r="U5" s="3" t="s">
        <v>96</v>
      </c>
      <c r="V5" t="s">
        <v>62</v>
      </c>
      <c r="W5">
        <v>0</v>
      </c>
      <c r="X5">
        <v>0</v>
      </c>
      <c r="Y5" t="s">
        <v>63</v>
      </c>
      <c r="AF5" s="3" t="s">
        <v>59</v>
      </c>
      <c r="AG5" t="s">
        <v>337</v>
      </c>
      <c r="AJ5" s="3" t="s">
        <v>30</v>
      </c>
    </row>
    <row r="6" spans="1:36">
      <c r="A6" s="3" t="s">
        <v>26</v>
      </c>
      <c r="B6" s="3" t="s">
        <v>27</v>
      </c>
      <c r="C6" s="3" t="s">
        <v>90</v>
      </c>
      <c r="D6" s="3"/>
      <c r="E6" s="3" t="s">
        <v>31</v>
      </c>
      <c r="F6" s="4">
        <f ca="1">NOW()</f>
        <v>44088.383192361114</v>
      </c>
      <c r="G6" s="4"/>
      <c r="H6" s="3" t="s">
        <v>28</v>
      </c>
      <c r="I6" s="3" t="s">
        <v>31</v>
      </c>
      <c r="J6" s="3" t="s">
        <v>64</v>
      </c>
      <c r="K6" s="3" t="s">
        <v>219</v>
      </c>
      <c r="L6" s="3"/>
      <c r="M6" s="3" t="s">
        <v>64</v>
      </c>
      <c r="N6" s="3" t="s">
        <v>95</v>
      </c>
      <c r="O6" s="3" t="s">
        <v>59</v>
      </c>
      <c r="P6" s="3" t="s">
        <v>66</v>
      </c>
      <c r="Q6" s="3" t="s">
        <v>97</v>
      </c>
      <c r="R6" s="3" t="s">
        <v>59</v>
      </c>
      <c r="S6" t="s">
        <v>61</v>
      </c>
      <c r="T6" s="3" t="s">
        <v>64</v>
      </c>
      <c r="U6" s="3" t="s">
        <v>96</v>
      </c>
      <c r="V6" t="s">
        <v>62</v>
      </c>
      <c r="W6">
        <v>0</v>
      </c>
      <c r="X6">
        <v>0</v>
      </c>
      <c r="Y6" t="s">
        <v>63</v>
      </c>
      <c r="AF6" s="3" t="s">
        <v>59</v>
      </c>
      <c r="AG6" t="s">
        <v>337</v>
      </c>
      <c r="AJ6" s="3" t="s">
        <v>30</v>
      </c>
    </row>
    <row r="7" spans="1:36">
      <c r="A7" s="3" t="s">
        <v>26</v>
      </c>
      <c r="B7" s="3" t="s">
        <v>27</v>
      </c>
      <c r="C7" s="3" t="s">
        <v>90</v>
      </c>
      <c r="D7" s="3"/>
      <c r="E7" s="3" t="s">
        <v>31</v>
      </c>
      <c r="F7" s="4">
        <f ca="1">NOW()</f>
        <v>44088.383192361114</v>
      </c>
      <c r="G7" s="8" t="s">
        <v>232</v>
      </c>
      <c r="H7" s="3" t="s">
        <v>28</v>
      </c>
      <c r="I7" s="3" t="s">
        <v>31</v>
      </c>
      <c r="J7" s="3" t="s">
        <v>64</v>
      </c>
      <c r="K7" s="3" t="s">
        <v>298</v>
      </c>
      <c r="L7" s="3"/>
      <c r="M7" s="3" t="s">
        <v>64</v>
      </c>
      <c r="N7" s="3" t="s">
        <v>95</v>
      </c>
      <c r="O7" s="3" t="s">
        <v>59</v>
      </c>
      <c r="P7" s="3" t="s">
        <v>233</v>
      </c>
      <c r="Q7" s="3"/>
      <c r="R7" s="3" t="s">
        <v>59</v>
      </c>
      <c r="S7" t="s">
        <v>234</v>
      </c>
      <c r="T7" s="3" t="s">
        <v>64</v>
      </c>
      <c r="U7" s="3" t="s">
        <v>96</v>
      </c>
      <c r="W7">
        <v>0</v>
      </c>
      <c r="X7">
        <v>0</v>
      </c>
      <c r="Y7" t="s">
        <v>63</v>
      </c>
      <c r="AF7" s="3" t="s">
        <v>59</v>
      </c>
      <c r="AG7" t="s">
        <v>337</v>
      </c>
      <c r="AI7" s="3" t="s">
        <v>296</v>
      </c>
      <c r="AJ7" s="3" t="s">
        <v>30</v>
      </c>
    </row>
    <row r="9" spans="1:36">
      <c r="A9" s="2"/>
      <c r="B9" s="2"/>
      <c r="C9" s="2"/>
      <c r="D9" s="2"/>
      <c r="E9" s="2"/>
      <c r="F9" s="2"/>
      <c r="G9" s="2"/>
      <c r="H9" s="2"/>
      <c r="I9" s="2"/>
      <c r="J9" s="2"/>
    </row>
    <row r="10" spans="1:36">
      <c r="A10" s="3"/>
      <c r="B10" s="3"/>
      <c r="C10" s="3"/>
      <c r="D10" s="3"/>
      <c r="E10" s="3"/>
      <c r="F10" s="4"/>
      <c r="G10" s="4"/>
      <c r="H10" s="3"/>
      <c r="I10" s="3"/>
      <c r="J10" s="3"/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F18" sqref="F18"/>
    </sheetView>
  </sheetViews>
  <sheetFormatPr defaultRowHeight="14"/>
  <cols>
    <col min="6" max="6" width="16.08203125" customWidth="1"/>
    <col min="16" max="16" width="14.83203125" customWidth="1"/>
  </cols>
  <sheetData>
    <row r="1" spans="1:18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34</v>
      </c>
      <c r="J1" t="s">
        <v>99</v>
      </c>
      <c r="K1" t="s">
        <v>40</v>
      </c>
      <c r="L1" t="s">
        <v>98</v>
      </c>
      <c r="M1" t="s">
        <v>37</v>
      </c>
      <c r="N1" t="s">
        <v>33</v>
      </c>
      <c r="O1" t="s">
        <v>48</v>
      </c>
      <c r="P1" t="s">
        <v>45</v>
      </c>
      <c r="Q1" t="s">
        <v>15</v>
      </c>
      <c r="R1" t="s">
        <v>16</v>
      </c>
    </row>
    <row r="2" spans="1:18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10</v>
      </c>
      <c r="K2" t="s">
        <v>41</v>
      </c>
      <c r="L2" t="s">
        <v>10</v>
      </c>
      <c r="M2" t="s">
        <v>36</v>
      </c>
      <c r="N2" t="s">
        <v>10</v>
      </c>
      <c r="O2" t="s">
        <v>12</v>
      </c>
      <c r="P2" t="s">
        <v>46</v>
      </c>
      <c r="Q2" t="s">
        <v>13</v>
      </c>
      <c r="R2" t="s">
        <v>13</v>
      </c>
    </row>
    <row r="3" spans="1:18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106</v>
      </c>
      <c r="I3" s="3" t="s">
        <v>107</v>
      </c>
      <c r="J3" s="3" t="s">
        <v>108</v>
      </c>
      <c r="K3" s="3" t="s">
        <v>109</v>
      </c>
      <c r="L3" s="3" t="s">
        <v>110</v>
      </c>
      <c r="M3" s="3" t="s">
        <v>111</v>
      </c>
      <c r="N3" s="3" t="s">
        <v>112</v>
      </c>
      <c r="O3" s="3" t="s">
        <v>113</v>
      </c>
      <c r="P3" s="3" t="s">
        <v>114</v>
      </c>
      <c r="Q3" s="3" t="s">
        <v>115</v>
      </c>
      <c r="R3" s="3" t="s">
        <v>116</v>
      </c>
    </row>
    <row r="4" spans="1:18">
      <c r="A4" s="3" t="s">
        <v>26</v>
      </c>
      <c r="B4" s="3" t="s">
        <v>27</v>
      </c>
      <c r="C4" s="3" t="s">
        <v>101</v>
      </c>
      <c r="D4" s="3"/>
      <c r="E4" s="3" t="s">
        <v>31</v>
      </c>
      <c r="F4" s="4">
        <f ca="1">NOW()</f>
        <v>44088.383192361114</v>
      </c>
      <c r="G4" s="3" t="s">
        <v>28</v>
      </c>
      <c r="H4" s="3" t="s">
        <v>31</v>
      </c>
      <c r="I4" s="3" t="s">
        <v>172</v>
      </c>
      <c r="J4" s="3" t="s">
        <v>117</v>
      </c>
      <c r="K4" s="3" t="s">
        <v>102</v>
      </c>
      <c r="L4" s="3" t="s">
        <v>174</v>
      </c>
      <c r="M4" s="3" t="s">
        <v>102</v>
      </c>
      <c r="N4" t="s">
        <v>366</v>
      </c>
      <c r="P4" t="s">
        <v>100</v>
      </c>
      <c r="Q4" s="3" t="s">
        <v>103</v>
      </c>
      <c r="R4" s="3" t="s">
        <v>103</v>
      </c>
    </row>
    <row r="5" spans="1:18">
      <c r="A5" s="3" t="s">
        <v>26</v>
      </c>
      <c r="B5" s="3" t="s">
        <v>27</v>
      </c>
      <c r="C5" s="3" t="s">
        <v>101</v>
      </c>
      <c r="D5" s="3"/>
      <c r="E5" s="3" t="s">
        <v>31</v>
      </c>
      <c r="F5" s="4">
        <f ca="1">NOW()</f>
        <v>44088.383192361114</v>
      </c>
      <c r="G5" s="3" t="s">
        <v>28</v>
      </c>
      <c r="H5" s="3" t="s">
        <v>31</v>
      </c>
      <c r="I5" s="3" t="s">
        <v>332</v>
      </c>
      <c r="J5" s="3" t="s">
        <v>118</v>
      </c>
      <c r="K5" s="3" t="s">
        <v>102</v>
      </c>
      <c r="L5" s="3" t="s">
        <v>230</v>
      </c>
      <c r="M5" s="3" t="s">
        <v>102</v>
      </c>
      <c r="N5" t="s">
        <v>104</v>
      </c>
      <c r="P5" t="s">
        <v>100</v>
      </c>
      <c r="Q5" s="3" t="s">
        <v>103</v>
      </c>
      <c r="R5" s="3" t="s">
        <v>103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3"/>
  <sheetViews>
    <sheetView workbookViewId="0">
      <pane ySplit="3" topLeftCell="A13" activePane="bottomLeft" state="frozen"/>
      <selection activeCell="G23" sqref="G23"/>
      <selection pane="bottomLeft" activeCell="A25" sqref="A25:XFD25"/>
    </sheetView>
  </sheetViews>
  <sheetFormatPr defaultRowHeight="14"/>
  <cols>
    <col min="6" max="6" width="15.08203125" customWidth="1"/>
    <col min="23" max="23" width="12.58203125" customWidth="1"/>
  </cols>
  <sheetData>
    <row r="1" spans="1:4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124</v>
      </c>
      <c r="I1" t="s">
        <v>125</v>
      </c>
      <c r="J1" t="s">
        <v>32</v>
      </c>
      <c r="K1" t="s">
        <v>55</v>
      </c>
      <c r="L1" t="s">
        <v>34</v>
      </c>
      <c r="M1" t="s">
        <v>157</v>
      </c>
      <c r="N1" t="s">
        <v>158</v>
      </c>
      <c r="O1" t="s">
        <v>159</v>
      </c>
      <c r="P1" t="s">
        <v>54</v>
      </c>
      <c r="Q1" t="s">
        <v>99</v>
      </c>
      <c r="R1" t="s">
        <v>40</v>
      </c>
      <c r="S1" t="s">
        <v>160</v>
      </c>
      <c r="T1" t="s">
        <v>35</v>
      </c>
      <c r="U1" t="s">
        <v>39</v>
      </c>
      <c r="V1" t="s">
        <v>37</v>
      </c>
      <c r="W1" t="s">
        <v>33</v>
      </c>
      <c r="X1" t="s">
        <v>161</v>
      </c>
      <c r="Y1" t="s">
        <v>42</v>
      </c>
      <c r="Z1" t="s">
        <v>48</v>
      </c>
      <c r="AA1" t="s">
        <v>162</v>
      </c>
      <c r="AB1" t="s">
        <v>38</v>
      </c>
      <c r="AC1" t="s">
        <v>44</v>
      </c>
      <c r="AD1" t="s">
        <v>43</v>
      </c>
      <c r="AE1" t="s">
        <v>163</v>
      </c>
      <c r="AF1" t="s">
        <v>164</v>
      </c>
      <c r="AG1" t="s">
        <v>165</v>
      </c>
      <c r="AH1" t="s">
        <v>166</v>
      </c>
      <c r="AI1" t="s">
        <v>45</v>
      </c>
      <c r="AJ1" t="s">
        <v>121</v>
      </c>
      <c r="AK1" t="s">
        <v>167</v>
      </c>
      <c r="AL1" t="s">
        <v>49</v>
      </c>
      <c r="AM1" t="s">
        <v>56</v>
      </c>
      <c r="AN1" t="s">
        <v>53</v>
      </c>
      <c r="AO1" t="s">
        <v>15</v>
      </c>
      <c r="AP1" t="s">
        <v>16</v>
      </c>
      <c r="AQ1" t="s">
        <v>58</v>
      </c>
      <c r="AR1" t="s">
        <v>239</v>
      </c>
      <c r="AS1" t="s">
        <v>301</v>
      </c>
      <c r="AT1" s="1" t="s">
        <v>17</v>
      </c>
      <c r="AU1" t="s">
        <v>168</v>
      </c>
    </row>
    <row r="2" spans="1:4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39</v>
      </c>
      <c r="L2" t="s">
        <v>13</v>
      </c>
      <c r="M2" t="s">
        <v>41</v>
      </c>
      <c r="N2" t="s">
        <v>158</v>
      </c>
      <c r="O2" t="s">
        <v>10</v>
      </c>
      <c r="P2" t="s">
        <v>36</v>
      </c>
      <c r="Q2" t="s">
        <v>10</v>
      </c>
      <c r="R2" t="s">
        <v>41</v>
      </c>
      <c r="S2" t="s">
        <v>36</v>
      </c>
      <c r="T2" t="s">
        <v>36</v>
      </c>
      <c r="U2" t="s">
        <v>39</v>
      </c>
      <c r="V2" t="s">
        <v>36</v>
      </c>
      <c r="W2" t="s">
        <v>10</v>
      </c>
      <c r="X2" t="s">
        <v>10</v>
      </c>
      <c r="Y2" t="s">
        <v>36</v>
      </c>
      <c r="Z2" t="s">
        <v>47</v>
      </c>
      <c r="AA2" t="s">
        <v>122</v>
      </c>
      <c r="AB2" t="s">
        <v>36</v>
      </c>
      <c r="AC2" t="s">
        <v>39</v>
      </c>
      <c r="AD2" t="s">
        <v>41</v>
      </c>
      <c r="AE2" t="s">
        <v>36</v>
      </c>
      <c r="AF2" t="s">
        <v>41</v>
      </c>
      <c r="AG2" t="s">
        <v>47</v>
      </c>
      <c r="AH2" t="s">
        <v>10</v>
      </c>
      <c r="AI2" t="s">
        <v>46</v>
      </c>
      <c r="AJ2" t="s">
        <v>122</v>
      </c>
      <c r="AK2" t="s">
        <v>36</v>
      </c>
      <c r="AL2" t="s">
        <v>50</v>
      </c>
      <c r="AM2" t="s">
        <v>57</v>
      </c>
      <c r="AN2" t="s">
        <v>14</v>
      </c>
      <c r="AO2" t="s">
        <v>13</v>
      </c>
      <c r="AP2" t="s">
        <v>13</v>
      </c>
      <c r="AQ2" t="s">
        <v>57</v>
      </c>
      <c r="AR2" t="s">
        <v>57</v>
      </c>
      <c r="AS2" t="s">
        <v>57</v>
      </c>
      <c r="AT2" t="s">
        <v>10</v>
      </c>
      <c r="AU2" t="s">
        <v>169</v>
      </c>
    </row>
    <row r="3" spans="1:47">
      <c r="A3" s="2" t="s">
        <v>170</v>
      </c>
      <c r="B3" s="2" t="s">
        <v>171</v>
      </c>
      <c r="C3" s="2" t="s">
        <v>131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136</v>
      </c>
      <c r="I3" s="2" t="s">
        <v>137</v>
      </c>
      <c r="J3" s="3" t="s">
        <v>172</v>
      </c>
      <c r="K3" s="3" t="s">
        <v>173</v>
      </c>
      <c r="L3" s="3" t="s">
        <v>174</v>
      </c>
      <c r="M3" s="3" t="s">
        <v>175</v>
      </c>
      <c r="N3" s="3" t="s">
        <v>176</v>
      </c>
      <c r="O3" s="3" t="s">
        <v>177</v>
      </c>
      <c r="P3" s="3" t="s">
        <v>178</v>
      </c>
      <c r="Q3" s="3" t="s">
        <v>179</v>
      </c>
      <c r="R3" s="3" t="s">
        <v>180</v>
      </c>
      <c r="S3" s="3" t="s">
        <v>181</v>
      </c>
      <c r="T3" s="3" t="s">
        <v>182</v>
      </c>
      <c r="U3" s="3" t="s">
        <v>183</v>
      </c>
      <c r="V3" s="3" t="s">
        <v>184</v>
      </c>
      <c r="W3" s="3" t="s">
        <v>185</v>
      </c>
      <c r="X3" s="3" t="s">
        <v>186</v>
      </c>
      <c r="Y3" s="3" t="s">
        <v>187</v>
      </c>
      <c r="Z3" s="3" t="s">
        <v>151</v>
      </c>
      <c r="AA3" s="3" t="s">
        <v>188</v>
      </c>
      <c r="AB3" s="3" t="s">
        <v>189</v>
      </c>
      <c r="AC3" s="3" t="s">
        <v>190</v>
      </c>
      <c r="AD3" s="3" t="s">
        <v>191</v>
      </c>
      <c r="AE3" s="3" t="s">
        <v>192</v>
      </c>
      <c r="AF3" s="3" t="s">
        <v>193</v>
      </c>
      <c r="AG3" s="3" t="s">
        <v>194</v>
      </c>
      <c r="AH3" s="3" t="s">
        <v>195</v>
      </c>
      <c r="AI3" s="3" t="s">
        <v>196</v>
      </c>
      <c r="AJ3" s="3" t="s">
        <v>197</v>
      </c>
      <c r="AK3" s="3" t="s">
        <v>198</v>
      </c>
      <c r="AL3" s="3" t="s">
        <v>199</v>
      </c>
      <c r="AM3" s="3" t="s">
        <v>200</v>
      </c>
      <c r="AN3" s="3" t="s">
        <v>201</v>
      </c>
      <c r="AO3" s="3" t="s">
        <v>141</v>
      </c>
      <c r="AP3" s="3" t="s">
        <v>142</v>
      </c>
      <c r="AQ3" s="3" t="s">
        <v>202</v>
      </c>
      <c r="AR3" s="3" t="s">
        <v>238</v>
      </c>
      <c r="AS3" s="3" t="s">
        <v>302</v>
      </c>
      <c r="AT3" s="2" t="s">
        <v>143</v>
      </c>
      <c r="AU3" s="7" t="s">
        <v>129</v>
      </c>
    </row>
    <row r="4" spans="1:47">
      <c r="A4" s="3" t="s">
        <v>145</v>
      </c>
      <c r="B4" s="3" t="s">
        <v>146</v>
      </c>
      <c r="C4" s="3" t="s">
        <v>170</v>
      </c>
      <c r="D4" s="3" t="s">
        <v>172</v>
      </c>
      <c r="E4" s="3" t="s">
        <v>148</v>
      </c>
      <c r="F4" s="4">
        <f t="shared" ref="F4:F28" ca="1" si="0">NOW()</f>
        <v>44088.383192361114</v>
      </c>
      <c r="G4" s="3" t="s">
        <v>203</v>
      </c>
      <c r="H4" s="3" t="s">
        <v>172</v>
      </c>
      <c r="I4" s="3" t="s">
        <v>204</v>
      </c>
      <c r="J4" s="3" t="s">
        <v>205</v>
      </c>
      <c r="K4" s="3" t="s">
        <v>206</v>
      </c>
      <c r="L4" s="3" t="s">
        <v>295</v>
      </c>
      <c r="M4" s="3" t="s">
        <v>206</v>
      </c>
      <c r="O4" s="3" t="s">
        <v>206</v>
      </c>
      <c r="P4" s="3" t="s">
        <v>206</v>
      </c>
      <c r="Q4" s="3" t="s">
        <v>206</v>
      </c>
      <c r="R4" s="3" t="s">
        <v>172</v>
      </c>
      <c r="S4" s="3" t="s">
        <v>147</v>
      </c>
      <c r="T4" s="3" t="s">
        <v>123</v>
      </c>
      <c r="U4" s="3" t="s">
        <v>153</v>
      </c>
      <c r="V4" s="3" t="s">
        <v>123</v>
      </c>
      <c r="W4" t="s">
        <v>306</v>
      </c>
      <c r="Y4" s="3" t="s">
        <v>206</v>
      </c>
      <c r="AB4" t="s">
        <v>209</v>
      </c>
      <c r="AC4" s="9" t="s">
        <v>334</v>
      </c>
      <c r="AD4" s="9" t="s">
        <v>335</v>
      </c>
      <c r="AE4" s="3" t="s">
        <v>147</v>
      </c>
      <c r="AF4" s="3" t="s">
        <v>172</v>
      </c>
      <c r="AI4" t="s">
        <v>210</v>
      </c>
      <c r="AK4" s="3" t="s">
        <v>172</v>
      </c>
      <c r="AM4" s="3" t="s">
        <v>172</v>
      </c>
      <c r="AO4" s="3" t="s">
        <v>153</v>
      </c>
      <c r="AT4" s="3" t="s">
        <v>155</v>
      </c>
      <c r="AU4" s="3" t="s">
        <v>211</v>
      </c>
    </row>
    <row r="5" spans="1:47">
      <c r="A5" s="3" t="s">
        <v>145</v>
      </c>
      <c r="B5" s="3" t="s">
        <v>146</v>
      </c>
      <c r="C5" s="3" t="s">
        <v>170</v>
      </c>
      <c r="D5" s="3" t="s">
        <v>172</v>
      </c>
      <c r="E5" s="3" t="s">
        <v>148</v>
      </c>
      <c r="F5" s="4">
        <f t="shared" ca="1" si="0"/>
        <v>44088.383192361114</v>
      </c>
      <c r="G5" s="3" t="s">
        <v>205</v>
      </c>
      <c r="H5" s="3" t="s">
        <v>172</v>
      </c>
      <c r="I5" s="3" t="s">
        <v>204</v>
      </c>
      <c r="J5" s="3" t="s">
        <v>205</v>
      </c>
      <c r="K5" s="3" t="s">
        <v>206</v>
      </c>
      <c r="L5" s="3" t="s">
        <v>173</v>
      </c>
      <c r="M5" s="3" t="s">
        <v>206</v>
      </c>
      <c r="O5" s="3" t="s">
        <v>206</v>
      </c>
      <c r="P5" s="3" t="s">
        <v>206</v>
      </c>
      <c r="Q5" s="3" t="s">
        <v>206</v>
      </c>
      <c r="R5" s="3" t="s">
        <v>172</v>
      </c>
      <c r="S5" s="3" t="s">
        <v>147</v>
      </c>
      <c r="T5" s="3" t="s">
        <v>123</v>
      </c>
      <c r="U5" s="3" t="s">
        <v>190</v>
      </c>
      <c r="V5" s="3" t="s">
        <v>172</v>
      </c>
      <c r="W5" t="s">
        <v>306</v>
      </c>
      <c r="Y5" s="3" t="s">
        <v>206</v>
      </c>
      <c r="AB5" t="s">
        <v>209</v>
      </c>
      <c r="AC5" s="9" t="s">
        <v>336</v>
      </c>
      <c r="AD5" s="9" t="s">
        <v>336</v>
      </c>
      <c r="AE5" s="3" t="s">
        <v>147</v>
      </c>
      <c r="AF5" s="3" t="s">
        <v>172</v>
      </c>
      <c r="AI5" t="s">
        <v>210</v>
      </c>
      <c r="AK5" s="3" t="s">
        <v>172</v>
      </c>
      <c r="AM5" s="3" t="s">
        <v>172</v>
      </c>
      <c r="AO5" s="3" t="s">
        <v>153</v>
      </c>
      <c r="AT5" s="3" t="s">
        <v>155</v>
      </c>
      <c r="AU5" s="3" t="s">
        <v>211</v>
      </c>
    </row>
    <row r="6" spans="1:47">
      <c r="A6" s="3" t="s">
        <v>145</v>
      </c>
      <c r="B6" s="3" t="s">
        <v>146</v>
      </c>
      <c r="C6" s="3" t="s">
        <v>170</v>
      </c>
      <c r="D6" s="3" t="s">
        <v>172</v>
      </c>
      <c r="E6" s="3" t="s">
        <v>148</v>
      </c>
      <c r="F6" s="4">
        <f t="shared" ca="1" si="0"/>
        <v>44088.383192361114</v>
      </c>
      <c r="G6" s="3" t="s">
        <v>205</v>
      </c>
      <c r="H6" s="3" t="s">
        <v>172</v>
      </c>
      <c r="I6" s="3" t="s">
        <v>204</v>
      </c>
      <c r="J6" s="3" t="s">
        <v>205</v>
      </c>
      <c r="K6" s="3" t="s">
        <v>206</v>
      </c>
      <c r="L6" s="3" t="s">
        <v>173</v>
      </c>
      <c r="M6" s="3" t="s">
        <v>206</v>
      </c>
      <c r="O6" s="3" t="s">
        <v>206</v>
      </c>
      <c r="P6" s="3" t="s">
        <v>206</v>
      </c>
      <c r="Q6" s="3" t="s">
        <v>206</v>
      </c>
      <c r="R6" s="3" t="s">
        <v>172</v>
      </c>
      <c r="S6" s="3" t="s">
        <v>206</v>
      </c>
      <c r="T6" s="3" t="s">
        <v>123</v>
      </c>
      <c r="U6" s="3" t="s">
        <v>190</v>
      </c>
      <c r="V6" s="3" t="s">
        <v>172</v>
      </c>
      <c r="W6" t="s">
        <v>306</v>
      </c>
      <c r="Y6" s="3" t="s">
        <v>206</v>
      </c>
      <c r="AB6" t="s">
        <v>209</v>
      </c>
      <c r="AC6" s="9" t="s">
        <v>333</v>
      </c>
      <c r="AD6" s="9" t="s">
        <v>333</v>
      </c>
      <c r="AE6" s="3" t="s">
        <v>206</v>
      </c>
      <c r="AF6" s="3" t="s">
        <v>172</v>
      </c>
      <c r="AI6" t="s">
        <v>210</v>
      </c>
      <c r="AK6" s="3" t="s">
        <v>172</v>
      </c>
      <c r="AM6" s="3" t="s">
        <v>172</v>
      </c>
      <c r="AO6" s="3" t="s">
        <v>153</v>
      </c>
      <c r="AT6" s="3" t="s">
        <v>155</v>
      </c>
      <c r="AU6" s="3" t="s">
        <v>211</v>
      </c>
    </row>
    <row r="7" spans="1:47">
      <c r="A7" s="3" t="s">
        <v>145</v>
      </c>
      <c r="B7" s="3" t="s">
        <v>146</v>
      </c>
      <c r="C7" s="3" t="s">
        <v>170</v>
      </c>
      <c r="D7" s="3" t="s">
        <v>172</v>
      </c>
      <c r="E7" s="3" t="s">
        <v>148</v>
      </c>
      <c r="F7" s="4">
        <f t="shared" ca="1" si="0"/>
        <v>44088.383192361114</v>
      </c>
      <c r="G7" s="3" t="s">
        <v>205</v>
      </c>
      <c r="H7" s="3" t="s">
        <v>172</v>
      </c>
      <c r="I7" s="3" t="s">
        <v>204</v>
      </c>
      <c r="J7" s="3" t="s">
        <v>205</v>
      </c>
      <c r="K7" s="3" t="s">
        <v>206</v>
      </c>
      <c r="L7" s="3" t="s">
        <v>295</v>
      </c>
      <c r="M7" s="3" t="s">
        <v>206</v>
      </c>
      <c r="O7" s="3" t="s">
        <v>206</v>
      </c>
      <c r="P7" s="3" t="s">
        <v>206</v>
      </c>
      <c r="Q7" s="3" t="s">
        <v>206</v>
      </c>
      <c r="R7" s="3" t="s">
        <v>172</v>
      </c>
      <c r="S7" s="3" t="s">
        <v>206</v>
      </c>
      <c r="T7" s="3" t="s">
        <v>123</v>
      </c>
      <c r="U7" s="3" t="s">
        <v>153</v>
      </c>
      <c r="V7" s="3" t="s">
        <v>123</v>
      </c>
      <c r="W7" t="s">
        <v>306</v>
      </c>
      <c r="Y7" s="3" t="s">
        <v>206</v>
      </c>
      <c r="AB7" t="s">
        <v>209</v>
      </c>
      <c r="AC7" s="9" t="s">
        <v>333</v>
      </c>
      <c r="AD7" s="9" t="s">
        <v>333</v>
      </c>
      <c r="AE7" s="3" t="s">
        <v>206</v>
      </c>
      <c r="AF7" s="3" t="s">
        <v>172</v>
      </c>
      <c r="AI7" t="s">
        <v>210</v>
      </c>
      <c r="AK7" s="3" t="s">
        <v>172</v>
      </c>
      <c r="AM7" s="3" t="s">
        <v>172</v>
      </c>
      <c r="AO7" s="3" t="s">
        <v>153</v>
      </c>
      <c r="AT7" s="3" t="s">
        <v>155</v>
      </c>
      <c r="AU7" s="3" t="s">
        <v>211</v>
      </c>
    </row>
    <row r="8" spans="1:47">
      <c r="A8" s="3" t="s">
        <v>145</v>
      </c>
      <c r="B8" s="3" t="s">
        <v>146</v>
      </c>
      <c r="C8" s="3" t="s">
        <v>170</v>
      </c>
      <c r="D8" s="3" t="s">
        <v>172</v>
      </c>
      <c r="E8" s="3" t="s">
        <v>148</v>
      </c>
      <c r="F8" s="4">
        <f t="shared" ca="1" si="0"/>
        <v>44088.383192361114</v>
      </c>
      <c r="G8" s="3" t="s">
        <v>205</v>
      </c>
      <c r="H8" s="3" t="s">
        <v>172</v>
      </c>
      <c r="I8" s="3" t="s">
        <v>204</v>
      </c>
      <c r="J8" s="3" t="s">
        <v>205</v>
      </c>
      <c r="K8" s="3" t="s">
        <v>206</v>
      </c>
      <c r="L8" s="3" t="s">
        <v>71</v>
      </c>
      <c r="M8" s="3" t="s">
        <v>64</v>
      </c>
      <c r="O8" s="3" t="s">
        <v>64</v>
      </c>
      <c r="P8" s="3" t="s">
        <v>64</v>
      </c>
      <c r="Q8" s="3" t="s">
        <v>64</v>
      </c>
      <c r="R8" s="3" t="s">
        <v>29</v>
      </c>
      <c r="S8" s="3" t="s">
        <v>212</v>
      </c>
      <c r="T8" s="3" t="s">
        <v>66</v>
      </c>
      <c r="U8" s="3" t="s">
        <v>190</v>
      </c>
      <c r="V8" s="3" t="s">
        <v>29</v>
      </c>
      <c r="W8" t="s">
        <v>306</v>
      </c>
      <c r="Y8" s="3" t="s">
        <v>206</v>
      </c>
      <c r="AB8" t="s">
        <v>209</v>
      </c>
      <c r="AC8" s="9" t="s">
        <v>333</v>
      </c>
      <c r="AD8" s="9" t="s">
        <v>333</v>
      </c>
      <c r="AE8" s="3" t="s">
        <v>212</v>
      </c>
      <c r="AF8" s="3" t="s">
        <v>172</v>
      </c>
      <c r="AI8" t="s">
        <v>210</v>
      </c>
      <c r="AK8" s="3" t="s">
        <v>172</v>
      </c>
      <c r="AM8" s="3" t="s">
        <v>172</v>
      </c>
      <c r="AO8" s="3" t="s">
        <v>153</v>
      </c>
      <c r="AT8" s="3" t="s">
        <v>155</v>
      </c>
      <c r="AU8" s="3" t="s">
        <v>211</v>
      </c>
    </row>
    <row r="9" spans="1:47">
      <c r="A9" s="3" t="s">
        <v>145</v>
      </c>
      <c r="B9" s="3" t="s">
        <v>146</v>
      </c>
      <c r="C9" s="3" t="s">
        <v>170</v>
      </c>
      <c r="D9" s="3" t="s">
        <v>172</v>
      </c>
      <c r="E9" s="3" t="s">
        <v>148</v>
      </c>
      <c r="F9" s="4">
        <f t="shared" ca="1" si="0"/>
        <v>44088.383192361114</v>
      </c>
      <c r="G9" s="3" t="s">
        <v>205</v>
      </c>
      <c r="H9" s="3" t="s">
        <v>172</v>
      </c>
      <c r="I9" s="3" t="s">
        <v>204</v>
      </c>
      <c r="J9" s="3" t="s">
        <v>205</v>
      </c>
      <c r="K9" s="3" t="s">
        <v>206</v>
      </c>
      <c r="L9" s="3" t="s">
        <v>295</v>
      </c>
      <c r="M9" s="3" t="s">
        <v>64</v>
      </c>
      <c r="O9" s="3" t="s">
        <v>64</v>
      </c>
      <c r="P9" s="3" t="s">
        <v>64</v>
      </c>
      <c r="Q9" s="3" t="s">
        <v>64</v>
      </c>
      <c r="R9" s="3" t="s">
        <v>29</v>
      </c>
      <c r="S9" s="3" t="s">
        <v>212</v>
      </c>
      <c r="T9" s="3" t="s">
        <v>66</v>
      </c>
      <c r="U9" s="3" t="s">
        <v>153</v>
      </c>
      <c r="V9" s="3" t="s">
        <v>66</v>
      </c>
      <c r="W9" t="s">
        <v>306</v>
      </c>
      <c r="Y9" s="3" t="s">
        <v>206</v>
      </c>
      <c r="AB9" t="s">
        <v>209</v>
      </c>
      <c r="AC9" s="9" t="s">
        <v>333</v>
      </c>
      <c r="AD9" s="9" t="s">
        <v>333</v>
      </c>
      <c r="AE9" s="3" t="s">
        <v>212</v>
      </c>
      <c r="AF9" s="3" t="s">
        <v>172</v>
      </c>
      <c r="AI9" t="s">
        <v>210</v>
      </c>
      <c r="AK9" s="3" t="s">
        <v>172</v>
      </c>
      <c r="AM9" s="3" t="s">
        <v>172</v>
      </c>
      <c r="AO9" s="3" t="s">
        <v>153</v>
      </c>
      <c r="AT9" s="3" t="s">
        <v>155</v>
      </c>
      <c r="AU9" s="3" t="s">
        <v>211</v>
      </c>
    </row>
    <row r="10" spans="1:47">
      <c r="A10" s="3" t="s">
        <v>145</v>
      </c>
      <c r="B10" s="3" t="s">
        <v>146</v>
      </c>
      <c r="C10" s="3" t="s">
        <v>170</v>
      </c>
      <c r="D10" s="3" t="s">
        <v>172</v>
      </c>
      <c r="E10" s="3" t="s">
        <v>148</v>
      </c>
      <c r="F10" s="4">
        <f t="shared" ca="1" si="0"/>
        <v>44088.383192361114</v>
      </c>
      <c r="G10" s="3" t="s">
        <v>149</v>
      </c>
      <c r="H10" s="3" t="s">
        <v>172</v>
      </c>
      <c r="I10" s="3" t="s">
        <v>204</v>
      </c>
      <c r="J10" s="3" t="s">
        <v>149</v>
      </c>
      <c r="K10" s="3" t="s">
        <v>206</v>
      </c>
      <c r="L10" s="3" t="s">
        <v>377</v>
      </c>
      <c r="M10" s="3" t="s">
        <v>206</v>
      </c>
      <c r="O10" s="3" t="s">
        <v>206</v>
      </c>
      <c r="P10" s="3" t="s">
        <v>206</v>
      </c>
      <c r="Q10" s="3" t="s">
        <v>206</v>
      </c>
      <c r="R10" s="3" t="s">
        <v>172</v>
      </c>
      <c r="S10" s="3" t="s">
        <v>147</v>
      </c>
      <c r="T10" s="3" t="s">
        <v>123</v>
      </c>
      <c r="U10" s="3" t="s">
        <v>153</v>
      </c>
      <c r="V10" s="3" t="s">
        <v>123</v>
      </c>
      <c r="W10" t="s">
        <v>306</v>
      </c>
      <c r="Y10" s="3" t="s">
        <v>206</v>
      </c>
      <c r="AB10" t="s">
        <v>209</v>
      </c>
      <c r="AC10" s="9" t="s">
        <v>206</v>
      </c>
      <c r="AD10" s="9" t="s">
        <v>206</v>
      </c>
      <c r="AE10" s="3" t="s">
        <v>147</v>
      </c>
      <c r="AF10" s="3" t="s">
        <v>172</v>
      </c>
      <c r="AI10" t="s">
        <v>210</v>
      </c>
      <c r="AK10" s="3" t="s">
        <v>172</v>
      </c>
      <c r="AM10" s="3" t="s">
        <v>172</v>
      </c>
      <c r="AO10" s="3" t="s">
        <v>153</v>
      </c>
      <c r="AT10" s="3" t="s">
        <v>155</v>
      </c>
      <c r="AU10" s="3" t="s">
        <v>211</v>
      </c>
    </row>
    <row r="11" spans="1:47">
      <c r="A11" s="3" t="s">
        <v>145</v>
      </c>
      <c r="B11" s="3" t="s">
        <v>146</v>
      </c>
      <c r="C11" s="3" t="s">
        <v>170</v>
      </c>
      <c r="D11" s="3" t="s">
        <v>172</v>
      </c>
      <c r="E11" s="3" t="s">
        <v>148</v>
      </c>
      <c r="F11" s="4">
        <f t="shared" ca="1" si="0"/>
        <v>44088.383192361114</v>
      </c>
      <c r="G11" s="3" t="s">
        <v>149</v>
      </c>
      <c r="H11" s="3" t="s">
        <v>172</v>
      </c>
      <c r="I11" s="3" t="s">
        <v>204</v>
      </c>
      <c r="J11" s="3" t="s">
        <v>149</v>
      </c>
      <c r="K11" s="3" t="s">
        <v>206</v>
      </c>
      <c r="L11" s="3" t="s">
        <v>378</v>
      </c>
      <c r="M11" s="3" t="s">
        <v>206</v>
      </c>
      <c r="O11" s="3" t="s">
        <v>206</v>
      </c>
      <c r="P11" s="3" t="s">
        <v>206</v>
      </c>
      <c r="Q11" s="3" t="s">
        <v>206</v>
      </c>
      <c r="R11" s="3" t="s">
        <v>172</v>
      </c>
      <c r="S11" s="3" t="s">
        <v>147</v>
      </c>
      <c r="T11" s="3" t="s">
        <v>123</v>
      </c>
      <c r="U11" s="3" t="s">
        <v>190</v>
      </c>
      <c r="V11" s="3" t="s">
        <v>172</v>
      </c>
      <c r="W11" t="s">
        <v>306</v>
      </c>
      <c r="Y11" s="3" t="s">
        <v>206</v>
      </c>
      <c r="AB11" t="s">
        <v>374</v>
      </c>
      <c r="AC11" s="9" t="s">
        <v>206</v>
      </c>
      <c r="AD11" s="9" t="s">
        <v>206</v>
      </c>
      <c r="AE11" s="3" t="s">
        <v>147</v>
      </c>
      <c r="AF11" s="3" t="s">
        <v>172</v>
      </c>
      <c r="AI11" t="s">
        <v>210</v>
      </c>
      <c r="AK11" s="3" t="s">
        <v>172</v>
      </c>
      <c r="AM11" s="3" t="s">
        <v>172</v>
      </c>
      <c r="AO11" s="3" t="s">
        <v>153</v>
      </c>
      <c r="AT11" s="3" t="s">
        <v>155</v>
      </c>
      <c r="AU11" s="3" t="s">
        <v>211</v>
      </c>
    </row>
    <row r="12" spans="1:47">
      <c r="A12" s="3" t="s">
        <v>145</v>
      </c>
      <c r="B12" s="3" t="s">
        <v>146</v>
      </c>
      <c r="C12" s="3" t="s">
        <v>170</v>
      </c>
      <c r="D12" s="3" t="s">
        <v>172</v>
      </c>
      <c r="E12" s="3" t="s">
        <v>148</v>
      </c>
      <c r="F12" s="4">
        <f t="shared" ca="1" si="0"/>
        <v>44088.383192361114</v>
      </c>
      <c r="G12" s="3" t="s">
        <v>149</v>
      </c>
      <c r="H12" s="3" t="s">
        <v>172</v>
      </c>
      <c r="I12" s="3" t="s">
        <v>204</v>
      </c>
      <c r="J12" s="3" t="s">
        <v>149</v>
      </c>
      <c r="K12" s="3" t="s">
        <v>206</v>
      </c>
      <c r="L12" s="3" t="s">
        <v>379</v>
      </c>
      <c r="M12" s="3" t="s">
        <v>206</v>
      </c>
      <c r="O12" s="3" t="s">
        <v>206</v>
      </c>
      <c r="P12" s="3" t="s">
        <v>206</v>
      </c>
      <c r="Q12" s="3" t="s">
        <v>206</v>
      </c>
      <c r="R12" s="3" t="s">
        <v>172</v>
      </c>
      <c r="S12" s="3" t="s">
        <v>170</v>
      </c>
      <c r="T12" s="3" t="s">
        <v>123</v>
      </c>
      <c r="U12" s="3" t="s">
        <v>190</v>
      </c>
      <c r="V12" s="3" t="s">
        <v>172</v>
      </c>
      <c r="W12" t="s">
        <v>306</v>
      </c>
      <c r="Y12" s="3" t="s">
        <v>206</v>
      </c>
      <c r="AB12" t="s">
        <v>374</v>
      </c>
      <c r="AC12" s="9" t="s">
        <v>333</v>
      </c>
      <c r="AD12" s="9" t="s">
        <v>333</v>
      </c>
      <c r="AE12" s="3" t="s">
        <v>380</v>
      </c>
      <c r="AF12" s="3" t="s">
        <v>206</v>
      </c>
      <c r="AI12" t="s">
        <v>210</v>
      </c>
      <c r="AK12" s="3" t="s">
        <v>172</v>
      </c>
      <c r="AM12" s="3" t="s">
        <v>172</v>
      </c>
      <c r="AO12" s="3" t="s">
        <v>153</v>
      </c>
      <c r="AT12" s="3" t="s">
        <v>155</v>
      </c>
      <c r="AU12" s="3" t="s">
        <v>211</v>
      </c>
    </row>
    <row r="13" spans="1:47">
      <c r="A13" s="3" t="s">
        <v>145</v>
      </c>
      <c r="B13" s="3" t="s">
        <v>146</v>
      </c>
      <c r="C13" s="3" t="s">
        <v>170</v>
      </c>
      <c r="D13" s="3" t="s">
        <v>172</v>
      </c>
      <c r="E13" s="3" t="s">
        <v>148</v>
      </c>
      <c r="F13" s="4">
        <f t="shared" ca="1" si="0"/>
        <v>44088.383192361114</v>
      </c>
      <c r="G13" s="3" t="s">
        <v>149</v>
      </c>
      <c r="H13" s="3" t="s">
        <v>172</v>
      </c>
      <c r="I13" s="3" t="s">
        <v>204</v>
      </c>
      <c r="J13" s="3" t="s">
        <v>149</v>
      </c>
      <c r="K13" s="3" t="s">
        <v>206</v>
      </c>
      <c r="L13" s="3" t="s">
        <v>171</v>
      </c>
      <c r="M13" s="3" t="s">
        <v>206</v>
      </c>
      <c r="O13" s="3" t="s">
        <v>206</v>
      </c>
      <c r="P13" s="3" t="s">
        <v>206</v>
      </c>
      <c r="Q13" s="3" t="s">
        <v>206</v>
      </c>
      <c r="R13" s="3" t="s">
        <v>172</v>
      </c>
      <c r="S13" s="3" t="s">
        <v>383</v>
      </c>
      <c r="T13" s="3" t="s">
        <v>123</v>
      </c>
      <c r="U13" s="3" t="s">
        <v>153</v>
      </c>
      <c r="V13" s="3" t="s">
        <v>123</v>
      </c>
      <c r="W13" t="s">
        <v>306</v>
      </c>
      <c r="Y13" s="3" t="s">
        <v>206</v>
      </c>
      <c r="AB13" t="s">
        <v>209</v>
      </c>
      <c r="AC13" s="9" t="s">
        <v>333</v>
      </c>
      <c r="AD13" s="9" t="s">
        <v>333</v>
      </c>
      <c r="AE13" s="3" t="s">
        <v>381</v>
      </c>
      <c r="AF13" s="3" t="s">
        <v>382</v>
      </c>
      <c r="AI13" t="s">
        <v>210</v>
      </c>
      <c r="AK13" s="3" t="s">
        <v>172</v>
      </c>
      <c r="AM13" s="3" t="s">
        <v>172</v>
      </c>
      <c r="AO13" s="3" t="s">
        <v>153</v>
      </c>
      <c r="AT13" s="3" t="s">
        <v>155</v>
      </c>
      <c r="AU13" s="3" t="s">
        <v>211</v>
      </c>
    </row>
    <row r="14" spans="1:47">
      <c r="A14" s="3" t="s">
        <v>145</v>
      </c>
      <c r="B14" s="3" t="s">
        <v>146</v>
      </c>
      <c r="C14" s="3" t="s">
        <v>170</v>
      </c>
      <c r="D14" s="3" t="s">
        <v>172</v>
      </c>
      <c r="E14" s="3" t="s">
        <v>148</v>
      </c>
      <c r="F14" s="4">
        <f t="shared" ca="1" si="0"/>
        <v>44088.383192361114</v>
      </c>
      <c r="G14" s="3" t="s">
        <v>149</v>
      </c>
      <c r="H14" s="3" t="s">
        <v>172</v>
      </c>
      <c r="I14" s="3" t="s">
        <v>204</v>
      </c>
      <c r="J14" s="3" t="s">
        <v>149</v>
      </c>
      <c r="K14" s="3" t="s">
        <v>206</v>
      </c>
      <c r="L14" s="3" t="s">
        <v>174</v>
      </c>
      <c r="M14" s="3" t="s">
        <v>206</v>
      </c>
      <c r="O14" s="3" t="s">
        <v>206</v>
      </c>
      <c r="P14" s="3" t="s">
        <v>206</v>
      </c>
      <c r="Q14" s="3" t="s">
        <v>206</v>
      </c>
      <c r="R14" s="3" t="s">
        <v>172</v>
      </c>
      <c r="S14" s="3" t="s">
        <v>147</v>
      </c>
      <c r="T14" s="3" t="s">
        <v>123</v>
      </c>
      <c r="U14" s="3" t="s">
        <v>153</v>
      </c>
      <c r="V14" s="3" t="s">
        <v>123</v>
      </c>
      <c r="W14" t="s">
        <v>306</v>
      </c>
      <c r="Y14" s="3" t="s">
        <v>206</v>
      </c>
      <c r="AB14" t="s">
        <v>209</v>
      </c>
      <c r="AC14" s="9" t="s">
        <v>206</v>
      </c>
      <c r="AD14" s="9" t="s">
        <v>206</v>
      </c>
      <c r="AE14" s="3" t="s">
        <v>147</v>
      </c>
      <c r="AF14" s="3" t="s">
        <v>172</v>
      </c>
      <c r="AI14" t="s">
        <v>210</v>
      </c>
      <c r="AK14" s="3" t="s">
        <v>172</v>
      </c>
      <c r="AM14" s="3" t="s">
        <v>172</v>
      </c>
      <c r="AO14" s="3" t="s">
        <v>153</v>
      </c>
      <c r="AT14" s="3" t="s">
        <v>155</v>
      </c>
      <c r="AU14" s="3" t="s">
        <v>211</v>
      </c>
    </row>
    <row r="15" spans="1:47">
      <c r="A15" s="3" t="s">
        <v>145</v>
      </c>
      <c r="B15" s="3" t="s">
        <v>146</v>
      </c>
      <c r="C15" s="3" t="s">
        <v>170</v>
      </c>
      <c r="D15" s="3" t="s">
        <v>172</v>
      </c>
      <c r="E15" s="3" t="s">
        <v>148</v>
      </c>
      <c r="F15" s="4">
        <f t="shared" ca="1" si="0"/>
        <v>44088.383192361114</v>
      </c>
      <c r="G15" s="3" t="s">
        <v>149</v>
      </c>
      <c r="H15" s="3" t="s">
        <v>172</v>
      </c>
      <c r="I15" s="3" t="s">
        <v>204</v>
      </c>
      <c r="J15" s="3" t="s">
        <v>149</v>
      </c>
      <c r="K15" s="3" t="s">
        <v>206</v>
      </c>
      <c r="L15" s="3" t="s">
        <v>389</v>
      </c>
      <c r="M15" s="3" t="s">
        <v>206</v>
      </c>
      <c r="O15" s="3" t="s">
        <v>206</v>
      </c>
      <c r="P15" s="3" t="s">
        <v>206</v>
      </c>
      <c r="Q15" s="3" t="s">
        <v>206</v>
      </c>
      <c r="R15" s="3" t="s">
        <v>172</v>
      </c>
      <c r="S15" s="3" t="s">
        <v>147</v>
      </c>
      <c r="T15" s="3" t="s">
        <v>123</v>
      </c>
      <c r="U15" s="3" t="s">
        <v>190</v>
      </c>
      <c r="V15" s="3" t="s">
        <v>172</v>
      </c>
      <c r="W15" t="s">
        <v>306</v>
      </c>
      <c r="Y15" s="3" t="s">
        <v>206</v>
      </c>
      <c r="AB15" t="s">
        <v>209</v>
      </c>
      <c r="AC15" s="9" t="s">
        <v>206</v>
      </c>
      <c r="AD15" s="9" t="s">
        <v>206</v>
      </c>
      <c r="AE15" s="3" t="s">
        <v>147</v>
      </c>
      <c r="AF15" s="3" t="s">
        <v>172</v>
      </c>
      <c r="AI15" t="s">
        <v>210</v>
      </c>
      <c r="AK15" s="3" t="s">
        <v>172</v>
      </c>
      <c r="AM15" s="3" t="s">
        <v>172</v>
      </c>
      <c r="AO15" s="3" t="s">
        <v>153</v>
      </c>
      <c r="AT15" s="3" t="s">
        <v>155</v>
      </c>
      <c r="AU15" s="3" t="s">
        <v>211</v>
      </c>
    </row>
    <row r="16" spans="1:47">
      <c r="A16" s="3" t="s">
        <v>145</v>
      </c>
      <c r="B16" s="3" t="s">
        <v>146</v>
      </c>
      <c r="C16" s="3" t="s">
        <v>170</v>
      </c>
      <c r="D16" s="3" t="s">
        <v>172</v>
      </c>
      <c r="E16" s="3" t="s">
        <v>148</v>
      </c>
      <c r="F16" s="4">
        <f t="shared" ca="1" si="0"/>
        <v>44088.383192361114</v>
      </c>
      <c r="G16" s="3" t="s">
        <v>149</v>
      </c>
      <c r="H16" s="3" t="s">
        <v>172</v>
      </c>
      <c r="I16" s="3" t="s">
        <v>204</v>
      </c>
      <c r="J16" s="3" t="s">
        <v>149</v>
      </c>
      <c r="K16" s="3" t="s">
        <v>206</v>
      </c>
      <c r="L16" s="3" t="s">
        <v>390</v>
      </c>
      <c r="M16" s="3" t="s">
        <v>206</v>
      </c>
      <c r="O16" s="3" t="s">
        <v>206</v>
      </c>
      <c r="P16" s="3" t="s">
        <v>206</v>
      </c>
      <c r="Q16" s="3" t="s">
        <v>206</v>
      </c>
      <c r="R16" s="3" t="s">
        <v>172</v>
      </c>
      <c r="S16" s="3" t="s">
        <v>206</v>
      </c>
      <c r="T16" s="3" t="s">
        <v>123</v>
      </c>
      <c r="U16" s="3" t="s">
        <v>190</v>
      </c>
      <c r="V16" s="3" t="s">
        <v>172</v>
      </c>
      <c r="W16" t="s">
        <v>306</v>
      </c>
      <c r="Y16" s="3" t="s">
        <v>206</v>
      </c>
      <c r="AB16" t="s">
        <v>209</v>
      </c>
      <c r="AC16" s="9" t="s">
        <v>333</v>
      </c>
      <c r="AD16" s="9" t="s">
        <v>333</v>
      </c>
      <c r="AE16" s="3" t="s">
        <v>206</v>
      </c>
      <c r="AF16" s="3" t="s">
        <v>172</v>
      </c>
      <c r="AI16" t="s">
        <v>210</v>
      </c>
      <c r="AK16" s="3" t="s">
        <v>172</v>
      </c>
      <c r="AM16" s="3" t="s">
        <v>172</v>
      </c>
      <c r="AO16" s="3" t="s">
        <v>153</v>
      </c>
      <c r="AT16" s="3" t="s">
        <v>155</v>
      </c>
      <c r="AU16" s="3" t="s">
        <v>211</v>
      </c>
    </row>
    <row r="17" spans="1:47">
      <c r="A17" s="3" t="s">
        <v>145</v>
      </c>
      <c r="B17" s="3" t="s">
        <v>146</v>
      </c>
      <c r="C17" s="3" t="s">
        <v>170</v>
      </c>
      <c r="D17" s="3" t="s">
        <v>172</v>
      </c>
      <c r="E17" s="3" t="s">
        <v>148</v>
      </c>
      <c r="F17" s="4">
        <f t="shared" ca="1" si="0"/>
        <v>44088.383192361114</v>
      </c>
      <c r="G17" s="3" t="s">
        <v>149</v>
      </c>
      <c r="H17" s="3" t="s">
        <v>172</v>
      </c>
      <c r="I17" s="3" t="s">
        <v>204</v>
      </c>
      <c r="J17" s="3" t="s">
        <v>149</v>
      </c>
      <c r="K17" s="3" t="s">
        <v>206</v>
      </c>
      <c r="L17" s="3" t="s">
        <v>391</v>
      </c>
      <c r="M17" s="3" t="s">
        <v>206</v>
      </c>
      <c r="O17" s="3" t="s">
        <v>206</v>
      </c>
      <c r="P17" s="3" t="s">
        <v>206</v>
      </c>
      <c r="Q17" s="3" t="s">
        <v>206</v>
      </c>
      <c r="R17" s="3" t="s">
        <v>172</v>
      </c>
      <c r="S17" s="3" t="s">
        <v>206</v>
      </c>
      <c r="T17" s="3" t="s">
        <v>123</v>
      </c>
      <c r="U17" s="3" t="s">
        <v>153</v>
      </c>
      <c r="V17" s="3" t="s">
        <v>123</v>
      </c>
      <c r="W17" t="s">
        <v>306</v>
      </c>
      <c r="Y17" s="3" t="s">
        <v>206</v>
      </c>
      <c r="AB17" t="s">
        <v>209</v>
      </c>
      <c r="AC17" s="9" t="s">
        <v>333</v>
      </c>
      <c r="AD17" s="9" t="s">
        <v>333</v>
      </c>
      <c r="AE17" s="3" t="s">
        <v>206</v>
      </c>
      <c r="AF17" s="3" t="s">
        <v>172</v>
      </c>
      <c r="AI17" t="s">
        <v>210</v>
      </c>
      <c r="AK17" s="3" t="s">
        <v>172</v>
      </c>
      <c r="AM17" s="3" t="s">
        <v>172</v>
      </c>
      <c r="AO17" s="3" t="s">
        <v>153</v>
      </c>
      <c r="AT17" s="3" t="s">
        <v>155</v>
      </c>
      <c r="AU17" s="3" t="s">
        <v>211</v>
      </c>
    </row>
    <row r="18" spans="1:47">
      <c r="A18" s="3" t="s">
        <v>145</v>
      </c>
      <c r="B18" s="3" t="s">
        <v>146</v>
      </c>
      <c r="C18" s="3" t="s">
        <v>170</v>
      </c>
      <c r="D18" s="3" t="s">
        <v>172</v>
      </c>
      <c r="E18" s="3" t="s">
        <v>148</v>
      </c>
      <c r="F18" s="4">
        <f t="shared" ca="1" si="0"/>
        <v>44088.383192361114</v>
      </c>
      <c r="G18" s="3" t="s">
        <v>205</v>
      </c>
      <c r="H18" s="3" t="s">
        <v>172</v>
      </c>
      <c r="I18" s="3" t="s">
        <v>204</v>
      </c>
      <c r="J18" s="3" t="s">
        <v>205</v>
      </c>
      <c r="K18" s="3" t="s">
        <v>206</v>
      </c>
      <c r="L18" s="3" t="s">
        <v>174</v>
      </c>
      <c r="M18" s="3" t="s">
        <v>206</v>
      </c>
      <c r="O18" s="3" t="s">
        <v>206</v>
      </c>
      <c r="P18" s="3" t="s">
        <v>206</v>
      </c>
      <c r="Q18" s="3" t="s">
        <v>206</v>
      </c>
      <c r="R18" s="3" t="s">
        <v>172</v>
      </c>
      <c r="S18" s="3" t="s">
        <v>173</v>
      </c>
      <c r="T18" s="3" t="s">
        <v>207</v>
      </c>
      <c r="U18" s="3" t="s">
        <v>153</v>
      </c>
      <c r="V18" s="3" t="s">
        <v>123</v>
      </c>
      <c r="W18" t="s">
        <v>365</v>
      </c>
      <c r="Y18" s="3" t="s">
        <v>206</v>
      </c>
      <c r="AB18" t="s">
        <v>209</v>
      </c>
      <c r="AC18" s="9" t="s">
        <v>333</v>
      </c>
      <c r="AD18" s="9" t="s">
        <v>333</v>
      </c>
      <c r="AE18" s="3" t="s">
        <v>403</v>
      </c>
      <c r="AF18" s="3" t="s">
        <v>172</v>
      </c>
      <c r="AI18" t="s">
        <v>210</v>
      </c>
      <c r="AK18" s="3" t="s">
        <v>172</v>
      </c>
      <c r="AM18" s="3" t="s">
        <v>172</v>
      </c>
      <c r="AO18" s="3" t="s">
        <v>153</v>
      </c>
      <c r="AT18" s="3" t="s">
        <v>155</v>
      </c>
      <c r="AU18" s="3" t="s">
        <v>211</v>
      </c>
    </row>
    <row r="19" spans="1:47">
      <c r="A19" s="3" t="s">
        <v>145</v>
      </c>
      <c r="B19" s="3" t="s">
        <v>146</v>
      </c>
      <c r="C19" s="3" t="s">
        <v>401</v>
      </c>
      <c r="D19" s="3" t="s">
        <v>172</v>
      </c>
      <c r="E19" s="3" t="s">
        <v>148</v>
      </c>
      <c r="F19" s="4">
        <f t="shared" ca="1" si="0"/>
        <v>44088.383192361114</v>
      </c>
      <c r="G19" s="3" t="s">
        <v>205</v>
      </c>
      <c r="H19" s="3" t="s">
        <v>172</v>
      </c>
      <c r="I19" s="3" t="s">
        <v>204</v>
      </c>
      <c r="J19" s="3" t="s">
        <v>205</v>
      </c>
      <c r="K19" s="3" t="s">
        <v>206</v>
      </c>
      <c r="L19" s="3" t="s">
        <v>400</v>
      </c>
      <c r="M19" s="3" t="s">
        <v>206</v>
      </c>
      <c r="O19" s="3" t="s">
        <v>206</v>
      </c>
      <c r="P19" s="3" t="s">
        <v>206</v>
      </c>
      <c r="Q19" s="3" t="s">
        <v>206</v>
      </c>
      <c r="R19" s="3" t="s">
        <v>402</v>
      </c>
      <c r="S19" s="3" t="s">
        <v>170</v>
      </c>
      <c r="T19" s="3" t="s">
        <v>207</v>
      </c>
      <c r="U19" s="3" t="s">
        <v>153</v>
      </c>
      <c r="V19" s="3" t="s">
        <v>123</v>
      </c>
      <c r="W19" t="s">
        <v>365</v>
      </c>
      <c r="Y19" s="3" t="s">
        <v>206</v>
      </c>
      <c r="AB19" t="s">
        <v>209</v>
      </c>
      <c r="AC19" s="9" t="s">
        <v>333</v>
      </c>
      <c r="AD19" s="9" t="s">
        <v>333</v>
      </c>
      <c r="AE19" s="3" t="s">
        <v>380</v>
      </c>
      <c r="AF19" s="3" t="s">
        <v>371</v>
      </c>
      <c r="AI19" t="s">
        <v>210</v>
      </c>
      <c r="AK19" s="3" t="s">
        <v>172</v>
      </c>
      <c r="AM19" s="3" t="s">
        <v>172</v>
      </c>
      <c r="AO19" s="3" t="s">
        <v>153</v>
      </c>
      <c r="AT19" s="3" t="s">
        <v>155</v>
      </c>
      <c r="AU19" s="3" t="s">
        <v>404</v>
      </c>
    </row>
    <row r="20" spans="1:47">
      <c r="A20" s="3" t="s">
        <v>145</v>
      </c>
      <c r="B20" s="3" t="s">
        <v>146</v>
      </c>
      <c r="C20" s="3" t="s">
        <v>170</v>
      </c>
      <c r="D20" s="3" t="s">
        <v>172</v>
      </c>
      <c r="E20" s="3" t="s">
        <v>148</v>
      </c>
      <c r="F20" s="4">
        <f t="shared" ca="1" si="0"/>
        <v>44088.383192361114</v>
      </c>
      <c r="G20" s="3" t="s">
        <v>149</v>
      </c>
      <c r="H20" s="3" t="s">
        <v>172</v>
      </c>
      <c r="I20" s="3" t="s">
        <v>204</v>
      </c>
      <c r="J20" s="3" t="s">
        <v>149</v>
      </c>
      <c r="K20" s="3" t="s">
        <v>206</v>
      </c>
      <c r="L20" s="3" t="s">
        <v>411</v>
      </c>
      <c r="M20" s="3" t="s">
        <v>206</v>
      </c>
      <c r="O20" s="3" t="s">
        <v>206</v>
      </c>
      <c r="P20" s="3" t="s">
        <v>206</v>
      </c>
      <c r="Q20" s="3" t="s">
        <v>206</v>
      </c>
      <c r="R20" s="3" t="s">
        <v>172</v>
      </c>
      <c r="S20" s="3" t="s">
        <v>147</v>
      </c>
      <c r="T20" s="3" t="s">
        <v>123</v>
      </c>
      <c r="U20" s="3" t="s">
        <v>153</v>
      </c>
      <c r="V20" s="3" t="s">
        <v>123</v>
      </c>
      <c r="W20" t="s">
        <v>306</v>
      </c>
      <c r="Y20" s="3" t="s">
        <v>206</v>
      </c>
      <c r="AB20" t="s">
        <v>209</v>
      </c>
      <c r="AC20" s="9" t="s">
        <v>206</v>
      </c>
      <c r="AD20" s="9" t="s">
        <v>206</v>
      </c>
      <c r="AE20" s="3" t="s">
        <v>147</v>
      </c>
      <c r="AF20" s="3" t="s">
        <v>172</v>
      </c>
      <c r="AI20" t="s">
        <v>210</v>
      </c>
      <c r="AK20" s="3" t="s">
        <v>172</v>
      </c>
      <c r="AM20" s="3" t="s">
        <v>172</v>
      </c>
      <c r="AO20" s="3" t="s">
        <v>153</v>
      </c>
      <c r="AT20" s="3" t="s">
        <v>155</v>
      </c>
      <c r="AU20" s="3" t="s">
        <v>211</v>
      </c>
    </row>
    <row r="21" spans="1:47">
      <c r="A21" s="3" t="s">
        <v>145</v>
      </c>
      <c r="B21" s="3" t="s">
        <v>146</v>
      </c>
      <c r="C21" s="3" t="s">
        <v>170</v>
      </c>
      <c r="D21" s="3" t="s">
        <v>172</v>
      </c>
      <c r="E21" s="3" t="s">
        <v>148</v>
      </c>
      <c r="F21" s="4">
        <f t="shared" ca="1" si="0"/>
        <v>44088.383192361114</v>
      </c>
      <c r="G21" s="3" t="s">
        <v>149</v>
      </c>
      <c r="H21" s="3" t="s">
        <v>172</v>
      </c>
      <c r="I21" s="3" t="s">
        <v>204</v>
      </c>
      <c r="J21" s="3" t="s">
        <v>149</v>
      </c>
      <c r="K21" s="3" t="s">
        <v>206</v>
      </c>
      <c r="L21" s="3" t="s">
        <v>175</v>
      </c>
      <c r="M21" s="3" t="s">
        <v>206</v>
      </c>
      <c r="O21" s="3" t="s">
        <v>206</v>
      </c>
      <c r="P21" s="3" t="s">
        <v>206</v>
      </c>
      <c r="Q21" s="3" t="s">
        <v>206</v>
      </c>
      <c r="R21" s="3" t="s">
        <v>172</v>
      </c>
      <c r="S21" s="3" t="s">
        <v>147</v>
      </c>
      <c r="T21" s="3" t="s">
        <v>123</v>
      </c>
      <c r="U21" s="3" t="s">
        <v>190</v>
      </c>
      <c r="V21" s="3" t="s">
        <v>172</v>
      </c>
      <c r="W21" t="s">
        <v>306</v>
      </c>
      <c r="Y21" s="3" t="s">
        <v>206</v>
      </c>
      <c r="AB21" t="s">
        <v>209</v>
      </c>
      <c r="AC21" s="9" t="s">
        <v>206</v>
      </c>
      <c r="AD21" s="9" t="s">
        <v>206</v>
      </c>
      <c r="AE21" s="3" t="s">
        <v>147</v>
      </c>
      <c r="AF21" s="3" t="s">
        <v>172</v>
      </c>
      <c r="AI21" t="s">
        <v>210</v>
      </c>
      <c r="AK21" s="3" t="s">
        <v>172</v>
      </c>
      <c r="AM21" s="3" t="s">
        <v>172</v>
      </c>
      <c r="AO21" s="3" t="s">
        <v>153</v>
      </c>
      <c r="AT21" s="3" t="s">
        <v>155</v>
      </c>
      <c r="AU21" s="3" t="s">
        <v>211</v>
      </c>
    </row>
    <row r="22" spans="1:47">
      <c r="A22" s="3" t="s">
        <v>145</v>
      </c>
      <c r="B22" s="3" t="s">
        <v>146</v>
      </c>
      <c r="C22" s="3" t="s">
        <v>170</v>
      </c>
      <c r="D22" s="3" t="s">
        <v>172</v>
      </c>
      <c r="E22" s="3" t="s">
        <v>148</v>
      </c>
      <c r="F22" s="4">
        <f t="shared" ca="1" si="0"/>
        <v>44088.383192361114</v>
      </c>
      <c r="G22" s="3" t="s">
        <v>149</v>
      </c>
      <c r="H22" s="3" t="s">
        <v>172</v>
      </c>
      <c r="I22" s="3" t="s">
        <v>204</v>
      </c>
      <c r="J22" s="3" t="s">
        <v>149</v>
      </c>
      <c r="K22" s="3" t="s">
        <v>206</v>
      </c>
      <c r="L22" s="3" t="s">
        <v>390</v>
      </c>
      <c r="M22" s="3" t="s">
        <v>206</v>
      </c>
      <c r="O22" s="3" t="s">
        <v>206</v>
      </c>
      <c r="P22" s="3" t="s">
        <v>206</v>
      </c>
      <c r="Q22" s="3" t="s">
        <v>206</v>
      </c>
      <c r="R22" s="3" t="s">
        <v>172</v>
      </c>
      <c r="S22" s="3" t="s">
        <v>415</v>
      </c>
      <c r="T22" s="3" t="s">
        <v>123</v>
      </c>
      <c r="U22" s="3" t="s">
        <v>190</v>
      </c>
      <c r="V22" s="3" t="s">
        <v>172</v>
      </c>
      <c r="W22" t="s">
        <v>306</v>
      </c>
      <c r="Y22" s="3" t="s">
        <v>206</v>
      </c>
      <c r="AB22" t="s">
        <v>209</v>
      </c>
      <c r="AC22" s="9" t="s">
        <v>333</v>
      </c>
      <c r="AD22" s="9" t="s">
        <v>333</v>
      </c>
      <c r="AE22" s="3" t="s">
        <v>212</v>
      </c>
      <c r="AF22" s="3" t="s">
        <v>417</v>
      </c>
      <c r="AI22" t="s">
        <v>210</v>
      </c>
      <c r="AK22" s="3" t="s">
        <v>172</v>
      </c>
      <c r="AM22" s="3" t="s">
        <v>172</v>
      </c>
      <c r="AO22" s="3" t="s">
        <v>153</v>
      </c>
      <c r="AT22" s="3" t="s">
        <v>155</v>
      </c>
      <c r="AU22" s="3" t="s">
        <v>211</v>
      </c>
    </row>
    <row r="23" spans="1:47">
      <c r="A23" s="3" t="s">
        <v>145</v>
      </c>
      <c r="B23" s="3" t="s">
        <v>146</v>
      </c>
      <c r="C23" s="3" t="s">
        <v>170</v>
      </c>
      <c r="D23" s="3" t="s">
        <v>172</v>
      </c>
      <c r="E23" s="3" t="s">
        <v>148</v>
      </c>
      <c r="F23" s="4">
        <f t="shared" ca="1" si="0"/>
        <v>44088.383192361114</v>
      </c>
      <c r="G23" s="3" t="s">
        <v>149</v>
      </c>
      <c r="H23" s="3" t="s">
        <v>172</v>
      </c>
      <c r="I23" s="3" t="s">
        <v>204</v>
      </c>
      <c r="J23" s="3" t="s">
        <v>149</v>
      </c>
      <c r="K23" s="3" t="s">
        <v>206</v>
      </c>
      <c r="L23" s="3" t="s">
        <v>391</v>
      </c>
      <c r="M23" s="3" t="s">
        <v>206</v>
      </c>
      <c r="O23" s="3" t="s">
        <v>206</v>
      </c>
      <c r="P23" s="3" t="s">
        <v>206</v>
      </c>
      <c r="Q23" s="3" t="s">
        <v>206</v>
      </c>
      <c r="R23" s="3" t="s">
        <v>172</v>
      </c>
      <c r="S23" s="3" t="s">
        <v>212</v>
      </c>
      <c r="T23" s="3" t="s">
        <v>123</v>
      </c>
      <c r="U23" s="3" t="s">
        <v>153</v>
      </c>
      <c r="V23" s="3" t="s">
        <v>123</v>
      </c>
      <c r="W23" t="s">
        <v>306</v>
      </c>
      <c r="Y23" s="3" t="s">
        <v>206</v>
      </c>
      <c r="AB23" t="s">
        <v>209</v>
      </c>
      <c r="AC23" s="9" t="s">
        <v>333</v>
      </c>
      <c r="AD23" s="9" t="s">
        <v>333</v>
      </c>
      <c r="AE23" s="3" t="s">
        <v>416</v>
      </c>
      <c r="AF23" s="3" t="s">
        <v>206</v>
      </c>
      <c r="AI23" t="s">
        <v>210</v>
      </c>
      <c r="AK23" s="3" t="s">
        <v>172</v>
      </c>
      <c r="AM23" s="3" t="s">
        <v>172</v>
      </c>
      <c r="AO23" s="3" t="s">
        <v>153</v>
      </c>
      <c r="AT23" s="3" t="s">
        <v>155</v>
      </c>
      <c r="AU23" s="3" t="s">
        <v>211</v>
      </c>
    </row>
    <row r="24" spans="1:47">
      <c r="A24" s="3" t="s">
        <v>145</v>
      </c>
      <c r="B24" s="3" t="s">
        <v>146</v>
      </c>
      <c r="C24" s="3" t="s">
        <v>170</v>
      </c>
      <c r="D24" s="3" t="s">
        <v>172</v>
      </c>
      <c r="E24" s="3" t="s">
        <v>148</v>
      </c>
      <c r="F24" s="4">
        <f t="shared" ca="1" si="0"/>
        <v>44088.383192361114</v>
      </c>
      <c r="G24" s="3" t="s">
        <v>149</v>
      </c>
      <c r="H24" s="3" t="s">
        <v>172</v>
      </c>
      <c r="I24" s="3" t="s">
        <v>204</v>
      </c>
      <c r="J24" s="3" t="s">
        <v>149</v>
      </c>
      <c r="K24" s="3" t="s">
        <v>206</v>
      </c>
      <c r="L24" s="3" t="s">
        <v>411</v>
      </c>
      <c r="M24" s="3" t="s">
        <v>206</v>
      </c>
      <c r="O24" s="3" t="s">
        <v>206</v>
      </c>
      <c r="P24" s="3" t="s">
        <v>206</v>
      </c>
      <c r="Q24" s="3" t="s">
        <v>206</v>
      </c>
      <c r="R24" s="3" t="s">
        <v>172</v>
      </c>
      <c r="S24" s="3" t="s">
        <v>206</v>
      </c>
      <c r="T24" s="3" t="s">
        <v>123</v>
      </c>
      <c r="U24" s="3" t="s">
        <v>153</v>
      </c>
      <c r="V24" s="3" t="s">
        <v>123</v>
      </c>
      <c r="W24" t="s">
        <v>306</v>
      </c>
      <c r="Y24" s="3" t="s">
        <v>206</v>
      </c>
      <c r="AB24" t="s">
        <v>209</v>
      </c>
      <c r="AC24" s="9" t="s">
        <v>206</v>
      </c>
      <c r="AD24" s="9" t="s">
        <v>206</v>
      </c>
      <c r="AE24" s="3" t="s">
        <v>206</v>
      </c>
      <c r="AF24" s="3" t="s">
        <v>172</v>
      </c>
      <c r="AI24" t="s">
        <v>210</v>
      </c>
      <c r="AK24" s="3" t="s">
        <v>172</v>
      </c>
      <c r="AM24" s="3" t="s">
        <v>172</v>
      </c>
      <c r="AO24" s="3" t="s">
        <v>153</v>
      </c>
      <c r="AT24" s="3" t="s">
        <v>155</v>
      </c>
      <c r="AU24" s="3" t="s">
        <v>211</v>
      </c>
    </row>
    <row r="25" spans="1:47">
      <c r="A25" s="3" t="s">
        <v>145</v>
      </c>
      <c r="B25" s="3" t="s">
        <v>146</v>
      </c>
      <c r="C25" s="3" t="s">
        <v>170</v>
      </c>
      <c r="D25" s="3" t="s">
        <v>172</v>
      </c>
      <c r="E25" s="3" t="s">
        <v>148</v>
      </c>
      <c r="F25" s="4">
        <f t="shared" ca="1" si="0"/>
        <v>44088.383192361114</v>
      </c>
      <c r="G25" s="3" t="s">
        <v>149</v>
      </c>
      <c r="H25" s="3" t="s">
        <v>172</v>
      </c>
      <c r="I25" s="3" t="s">
        <v>204</v>
      </c>
      <c r="J25" s="3" t="s">
        <v>149</v>
      </c>
      <c r="K25" s="3" t="s">
        <v>206</v>
      </c>
      <c r="L25" s="3" t="s">
        <v>175</v>
      </c>
      <c r="M25" s="3" t="s">
        <v>206</v>
      </c>
      <c r="O25" s="3" t="s">
        <v>206</v>
      </c>
      <c r="P25" s="3" t="s">
        <v>206</v>
      </c>
      <c r="Q25" s="3" t="s">
        <v>206</v>
      </c>
      <c r="R25" s="3" t="s">
        <v>172</v>
      </c>
      <c r="S25" s="3" t="s">
        <v>206</v>
      </c>
      <c r="T25" s="3" t="s">
        <v>123</v>
      </c>
      <c r="U25" s="3" t="s">
        <v>190</v>
      </c>
      <c r="V25" s="3" t="s">
        <v>172</v>
      </c>
      <c r="W25" t="s">
        <v>306</v>
      </c>
      <c r="Y25" s="3" t="s">
        <v>206</v>
      </c>
      <c r="AB25" t="s">
        <v>209</v>
      </c>
      <c r="AC25" s="9" t="s">
        <v>206</v>
      </c>
      <c r="AD25" s="9" t="s">
        <v>206</v>
      </c>
      <c r="AE25" s="3" t="s">
        <v>206</v>
      </c>
      <c r="AF25" s="3" t="s">
        <v>172</v>
      </c>
      <c r="AI25" t="s">
        <v>210</v>
      </c>
      <c r="AK25" s="3" t="s">
        <v>172</v>
      </c>
      <c r="AM25" s="3" t="s">
        <v>172</v>
      </c>
      <c r="AO25" s="3" t="s">
        <v>153</v>
      </c>
      <c r="AT25" s="3" t="s">
        <v>155</v>
      </c>
      <c r="AU25" s="3" t="s">
        <v>211</v>
      </c>
    </row>
    <row r="26" spans="1:47">
      <c r="A26" s="3" t="s">
        <v>145</v>
      </c>
      <c r="B26" s="3" t="s">
        <v>146</v>
      </c>
      <c r="C26" s="3" t="s">
        <v>170</v>
      </c>
      <c r="D26" s="3" t="s">
        <v>172</v>
      </c>
      <c r="E26" s="3" t="s">
        <v>148</v>
      </c>
      <c r="F26" s="4">
        <f t="shared" ca="1" si="0"/>
        <v>44088.383192361114</v>
      </c>
      <c r="G26" s="3" t="s">
        <v>205</v>
      </c>
      <c r="H26" s="3" t="s">
        <v>172</v>
      </c>
      <c r="I26" s="3" t="s">
        <v>297</v>
      </c>
      <c r="J26" s="3" t="s">
        <v>205</v>
      </c>
      <c r="K26" s="3" t="s">
        <v>206</v>
      </c>
      <c r="L26" s="3" t="s">
        <v>298</v>
      </c>
      <c r="M26" s="3" t="s">
        <v>206</v>
      </c>
      <c r="O26" s="3" t="s">
        <v>206</v>
      </c>
      <c r="P26" s="3" t="s">
        <v>206</v>
      </c>
      <c r="Q26" s="3" t="s">
        <v>206</v>
      </c>
      <c r="R26" s="3" t="s">
        <v>172</v>
      </c>
      <c r="S26" s="3" t="s">
        <v>206</v>
      </c>
      <c r="T26" s="3"/>
      <c r="U26" s="3"/>
      <c r="V26" s="3" t="s">
        <v>300</v>
      </c>
      <c r="W26" t="s">
        <v>309</v>
      </c>
      <c r="Y26" s="3"/>
      <c r="AC26" s="9" t="s">
        <v>333</v>
      </c>
      <c r="AD26" s="9" t="s">
        <v>333</v>
      </c>
      <c r="AE26" s="3" t="s">
        <v>206</v>
      </c>
      <c r="AF26" s="3" t="s">
        <v>326</v>
      </c>
      <c r="AI26" t="s">
        <v>210</v>
      </c>
      <c r="AK26" s="3" t="s">
        <v>172</v>
      </c>
      <c r="AM26" s="3" t="s">
        <v>172</v>
      </c>
      <c r="AO26" s="3" t="s">
        <v>153</v>
      </c>
      <c r="AR26" s="3" t="s">
        <v>233</v>
      </c>
      <c r="AS26" t="s">
        <v>303</v>
      </c>
      <c r="AT26" s="3" t="s">
        <v>155</v>
      </c>
      <c r="AU26" s="3" t="s">
        <v>304</v>
      </c>
    </row>
    <row r="27" spans="1:47">
      <c r="A27" s="3" t="s">
        <v>145</v>
      </c>
      <c r="B27" s="3" t="s">
        <v>27</v>
      </c>
      <c r="C27" s="3" t="s">
        <v>18</v>
      </c>
      <c r="D27" s="3" t="s">
        <v>29</v>
      </c>
      <c r="E27" s="3" t="s">
        <v>28</v>
      </c>
      <c r="F27" s="4">
        <f t="shared" ca="1" si="0"/>
        <v>44088.383192361114</v>
      </c>
      <c r="G27" s="3" t="s">
        <v>31</v>
      </c>
      <c r="H27" s="3" t="s">
        <v>29</v>
      </c>
      <c r="I27" s="3" t="s">
        <v>204</v>
      </c>
      <c r="J27" s="3" t="s">
        <v>31</v>
      </c>
      <c r="K27" s="3" t="s">
        <v>64</v>
      </c>
      <c r="L27" s="3" t="s">
        <v>71</v>
      </c>
      <c r="M27" s="3" t="s">
        <v>64</v>
      </c>
      <c r="O27" s="3" t="s">
        <v>64</v>
      </c>
      <c r="P27" s="3" t="s">
        <v>64</v>
      </c>
      <c r="Q27" s="3" t="s">
        <v>64</v>
      </c>
      <c r="R27" s="3" t="s">
        <v>29</v>
      </c>
      <c r="S27" s="3" t="s">
        <v>212</v>
      </c>
      <c r="T27" s="3" t="s">
        <v>66</v>
      </c>
      <c r="U27" s="3" t="s">
        <v>190</v>
      </c>
      <c r="V27" s="3" t="s">
        <v>29</v>
      </c>
      <c r="W27" t="s">
        <v>306</v>
      </c>
      <c r="Y27" s="3" t="s">
        <v>64</v>
      </c>
      <c r="AB27" t="s">
        <v>209</v>
      </c>
      <c r="AC27" s="9" t="s">
        <v>333</v>
      </c>
      <c r="AD27" s="9" t="s">
        <v>333</v>
      </c>
      <c r="AE27" s="3" t="s">
        <v>212</v>
      </c>
      <c r="AF27" s="3" t="s">
        <v>330</v>
      </c>
      <c r="AI27" t="s">
        <v>63</v>
      </c>
      <c r="AK27" s="3" t="s">
        <v>29</v>
      </c>
      <c r="AM27" s="3" t="s">
        <v>29</v>
      </c>
      <c r="AO27" s="3" t="s">
        <v>153</v>
      </c>
      <c r="AT27" s="3" t="s">
        <v>155</v>
      </c>
      <c r="AU27" s="3" t="s">
        <v>211</v>
      </c>
    </row>
    <row r="28" spans="1:47">
      <c r="A28" s="3" t="s">
        <v>145</v>
      </c>
      <c r="B28" s="3" t="s">
        <v>27</v>
      </c>
      <c r="C28" s="3" t="s">
        <v>18</v>
      </c>
      <c r="D28" s="3" t="s">
        <v>29</v>
      </c>
      <c r="E28" s="3" t="s">
        <v>28</v>
      </c>
      <c r="F28" s="4">
        <f t="shared" ca="1" si="0"/>
        <v>44088.383192361114</v>
      </c>
      <c r="G28" s="3" t="s">
        <v>31</v>
      </c>
      <c r="H28" s="3" t="s">
        <v>29</v>
      </c>
      <c r="I28" s="3" t="s">
        <v>204</v>
      </c>
      <c r="J28" s="3" t="s">
        <v>31</v>
      </c>
      <c r="K28" s="3" t="s">
        <v>64</v>
      </c>
      <c r="L28" s="3" t="s">
        <v>295</v>
      </c>
      <c r="M28" s="3" t="s">
        <v>64</v>
      </c>
      <c r="O28" s="3" t="s">
        <v>64</v>
      </c>
      <c r="P28" s="3" t="s">
        <v>64</v>
      </c>
      <c r="Q28" s="3" t="s">
        <v>64</v>
      </c>
      <c r="R28" s="3" t="s">
        <v>29</v>
      </c>
      <c r="S28" s="3" t="s">
        <v>331</v>
      </c>
      <c r="T28" s="3" t="s">
        <v>66</v>
      </c>
      <c r="U28" s="3" t="s">
        <v>299</v>
      </c>
      <c r="V28" s="3" t="s">
        <v>66</v>
      </c>
      <c r="W28" t="s">
        <v>306</v>
      </c>
      <c r="Y28" s="3" t="s">
        <v>64</v>
      </c>
      <c r="AB28" t="s">
        <v>209</v>
      </c>
      <c r="AC28" s="9" t="s">
        <v>333</v>
      </c>
      <c r="AD28" s="9" t="s">
        <v>333</v>
      </c>
      <c r="AE28" s="3" t="s">
        <v>331</v>
      </c>
      <c r="AF28" s="3" t="s">
        <v>330</v>
      </c>
      <c r="AI28" t="s">
        <v>63</v>
      </c>
      <c r="AK28" s="3" t="s">
        <v>29</v>
      </c>
      <c r="AM28" s="3" t="s">
        <v>29</v>
      </c>
      <c r="AO28" s="3" t="s">
        <v>153</v>
      </c>
      <c r="AT28" s="3" t="s">
        <v>155</v>
      </c>
      <c r="AU28" s="3" t="s">
        <v>211</v>
      </c>
    </row>
    <row r="33" spans="44:45">
      <c r="AR33" s="3"/>
      <c r="AS33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9"/>
  <sheetViews>
    <sheetView workbookViewId="0">
      <selection activeCell="A9" sqref="A9"/>
    </sheetView>
  </sheetViews>
  <sheetFormatPr defaultRowHeight="14"/>
  <cols>
    <col min="6" max="6" width="17.5" customWidth="1"/>
    <col min="21" max="21" width="14.25" customWidth="1"/>
    <col min="25" max="25" width="10.58203125" customWidth="1"/>
    <col min="30" max="30" width="14.08203125" customWidth="1"/>
  </cols>
  <sheetData>
    <row r="1" spans="1:3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32</v>
      </c>
      <c r="I1" t="s">
        <v>240</v>
      </c>
      <c r="J1" t="s">
        <v>241</v>
      </c>
      <c r="K1" t="s">
        <v>49</v>
      </c>
      <c r="L1" t="s">
        <v>51</v>
      </c>
      <c r="M1" t="s">
        <v>52</v>
      </c>
      <c r="N1" t="s">
        <v>51</v>
      </c>
      <c r="O1" t="s">
        <v>52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33</v>
      </c>
      <c r="V1" t="s">
        <v>45</v>
      </c>
      <c r="W1" t="s">
        <v>248</v>
      </c>
      <c r="X1" t="s">
        <v>249</v>
      </c>
      <c r="Y1" t="s">
        <v>310</v>
      </c>
      <c r="Z1" t="s">
        <v>311</v>
      </c>
      <c r="AA1" t="s">
        <v>38</v>
      </c>
      <c r="AB1" t="s">
        <v>56</v>
      </c>
      <c r="AC1" t="s">
        <v>247</v>
      </c>
      <c r="AD1" t="s">
        <v>33</v>
      </c>
      <c r="AE1" t="s">
        <v>45</v>
      </c>
      <c r="AF1" t="s">
        <v>248</v>
      </c>
      <c r="AG1" t="s">
        <v>249</v>
      </c>
      <c r="AH1" t="s">
        <v>310</v>
      </c>
      <c r="AI1" t="s">
        <v>311</v>
      </c>
      <c r="AJ1" t="s">
        <v>38</v>
      </c>
      <c r="AK1" t="s">
        <v>56</v>
      </c>
    </row>
    <row r="2" spans="1:3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10</v>
      </c>
      <c r="I2" t="s">
        <v>13</v>
      </c>
      <c r="J2" t="s">
        <v>242</v>
      </c>
      <c r="K2" t="s">
        <v>50</v>
      </c>
      <c r="L2" t="s">
        <v>10</v>
      </c>
      <c r="M2" t="s">
        <v>13</v>
      </c>
      <c r="N2" t="s">
        <v>10</v>
      </c>
      <c r="O2" t="s">
        <v>13</v>
      </c>
      <c r="P2" t="s">
        <v>50</v>
      </c>
      <c r="Q2" t="s">
        <v>10</v>
      </c>
      <c r="R2" t="s">
        <v>13</v>
      </c>
      <c r="S2" t="s">
        <v>13</v>
      </c>
      <c r="T2" t="s">
        <v>10</v>
      </c>
      <c r="U2" t="s">
        <v>10</v>
      </c>
      <c r="V2" t="s">
        <v>46</v>
      </c>
      <c r="W2" t="s">
        <v>39</v>
      </c>
      <c r="X2" t="s">
        <v>41</v>
      </c>
      <c r="Y2" t="s">
        <v>39</v>
      </c>
      <c r="Z2" t="s">
        <v>41</v>
      </c>
      <c r="AA2" t="s">
        <v>36</v>
      </c>
      <c r="AB2" t="s">
        <v>57</v>
      </c>
      <c r="AC2" t="s">
        <v>10</v>
      </c>
      <c r="AD2" t="s">
        <v>10</v>
      </c>
      <c r="AE2" t="s">
        <v>46</v>
      </c>
      <c r="AF2" t="s">
        <v>39</v>
      </c>
      <c r="AG2" t="s">
        <v>41</v>
      </c>
      <c r="AH2" t="s">
        <v>39</v>
      </c>
      <c r="AI2" t="s">
        <v>41</v>
      </c>
      <c r="AJ2" t="s">
        <v>36</v>
      </c>
      <c r="AK2" t="s">
        <v>57</v>
      </c>
    </row>
    <row r="3" spans="1:3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3" t="s">
        <v>220</v>
      </c>
      <c r="I3" s="3" t="s">
        <v>250</v>
      </c>
      <c r="J3" s="3" t="s">
        <v>251</v>
      </c>
      <c r="K3" s="3" t="s">
        <v>85</v>
      </c>
      <c r="L3" s="3" t="s">
        <v>120</v>
      </c>
      <c r="M3" s="3" t="s">
        <v>119</v>
      </c>
      <c r="N3" s="3" t="s">
        <v>235</v>
      </c>
      <c r="O3" s="3" t="s">
        <v>236</v>
      </c>
      <c r="P3" s="3" t="s">
        <v>252</v>
      </c>
      <c r="Q3" s="3" t="s">
        <v>255</v>
      </c>
      <c r="R3" s="3" t="s">
        <v>256</v>
      </c>
      <c r="S3" s="3" t="s">
        <v>257</v>
      </c>
      <c r="T3" s="3" t="s">
        <v>258</v>
      </c>
      <c r="U3" s="3" t="s">
        <v>260</v>
      </c>
      <c r="V3" s="3" t="s">
        <v>261</v>
      </c>
      <c r="W3" s="3" t="s">
        <v>283</v>
      </c>
      <c r="X3" s="3" t="s">
        <v>274</v>
      </c>
      <c r="Y3" s="3" t="s">
        <v>263</v>
      </c>
      <c r="Z3" s="3" t="s">
        <v>264</v>
      </c>
      <c r="AA3" s="3" t="s">
        <v>265</v>
      </c>
      <c r="AB3" s="3" t="s">
        <v>266</v>
      </c>
      <c r="AC3" s="3" t="s">
        <v>271</v>
      </c>
      <c r="AD3" s="3" t="s">
        <v>272</v>
      </c>
      <c r="AE3" s="3" t="s">
        <v>273</v>
      </c>
      <c r="AF3" s="3" t="s">
        <v>287</v>
      </c>
      <c r="AG3" s="3" t="s">
        <v>288</v>
      </c>
      <c r="AH3" s="3" t="s">
        <v>275</v>
      </c>
      <c r="AI3" s="3" t="s">
        <v>276</v>
      </c>
      <c r="AJ3" s="3" t="s">
        <v>270</v>
      </c>
      <c r="AK3" s="3" t="s">
        <v>277</v>
      </c>
    </row>
    <row r="4" spans="1:37">
      <c r="A4" s="3" t="s">
        <v>26</v>
      </c>
      <c r="B4" s="3" t="s">
        <v>27</v>
      </c>
      <c r="C4" s="3" t="s">
        <v>280</v>
      </c>
      <c r="D4" s="3"/>
      <c r="E4" s="3" t="s">
        <v>31</v>
      </c>
      <c r="F4" s="4">
        <f ca="1">NOW()</f>
        <v>44088.383192361114</v>
      </c>
      <c r="G4" s="3" t="s">
        <v>28</v>
      </c>
      <c r="H4" s="3" t="s">
        <v>31</v>
      </c>
      <c r="I4" s="3" t="s">
        <v>254</v>
      </c>
      <c r="P4" s="3" t="s">
        <v>259</v>
      </c>
      <c r="Q4" s="3" t="s">
        <v>254</v>
      </c>
      <c r="R4" s="3" t="s">
        <v>253</v>
      </c>
      <c r="S4" s="3" t="s">
        <v>123</v>
      </c>
      <c r="T4" s="3" t="s">
        <v>295</v>
      </c>
      <c r="U4" t="s">
        <v>366</v>
      </c>
      <c r="V4" t="s">
        <v>282</v>
      </c>
      <c r="W4" s="3" t="s">
        <v>262</v>
      </c>
      <c r="X4" s="3" t="s">
        <v>262</v>
      </c>
      <c r="Y4" s="3" t="s">
        <v>299</v>
      </c>
      <c r="Z4" s="3" t="s">
        <v>259</v>
      </c>
      <c r="AA4" t="s">
        <v>278</v>
      </c>
      <c r="AB4" s="3" t="s">
        <v>259</v>
      </c>
      <c r="AC4" s="3" t="s">
        <v>213</v>
      </c>
      <c r="AD4" t="s">
        <v>306</v>
      </c>
      <c r="AE4" t="s">
        <v>282</v>
      </c>
      <c r="AF4" s="3" t="s">
        <v>267</v>
      </c>
      <c r="AG4" s="3" t="s">
        <v>268</v>
      </c>
      <c r="AH4" s="3" t="s">
        <v>269</v>
      </c>
      <c r="AI4" s="3" t="s">
        <v>262</v>
      </c>
      <c r="AJ4" t="s">
        <v>279</v>
      </c>
      <c r="AK4" s="3" t="s">
        <v>259</v>
      </c>
    </row>
    <row r="5" spans="1:37">
      <c r="A5" s="3" t="s">
        <v>26</v>
      </c>
      <c r="B5" s="3" t="s">
        <v>27</v>
      </c>
      <c r="C5" s="3" t="s">
        <v>280</v>
      </c>
      <c r="D5" s="3"/>
      <c r="E5" s="3" t="s">
        <v>31</v>
      </c>
      <c r="F5" s="4">
        <f ca="1">NOW()</f>
        <v>44088.383192361114</v>
      </c>
      <c r="G5" s="3" t="s">
        <v>28</v>
      </c>
      <c r="H5" s="3" t="s">
        <v>31</v>
      </c>
      <c r="I5" s="3" t="s">
        <v>395</v>
      </c>
      <c r="P5" s="3" t="s">
        <v>172</v>
      </c>
      <c r="Q5" s="3" t="s">
        <v>172</v>
      </c>
      <c r="R5" s="3" t="s">
        <v>123</v>
      </c>
      <c r="S5" s="3" t="s">
        <v>123</v>
      </c>
      <c r="T5" s="3" t="s">
        <v>298</v>
      </c>
      <c r="U5" t="s">
        <v>306</v>
      </c>
      <c r="V5" t="s">
        <v>210</v>
      </c>
      <c r="W5" s="3" t="s">
        <v>206</v>
      </c>
      <c r="X5" s="3" t="s">
        <v>206</v>
      </c>
      <c r="Y5" s="3" t="s">
        <v>153</v>
      </c>
      <c r="Z5" s="3" t="s">
        <v>172</v>
      </c>
      <c r="AA5" t="s">
        <v>209</v>
      </c>
      <c r="AB5" s="3" t="s">
        <v>172</v>
      </c>
      <c r="AC5" s="3" t="s">
        <v>170</v>
      </c>
      <c r="AD5" t="s">
        <v>306</v>
      </c>
      <c r="AE5" t="s">
        <v>210</v>
      </c>
      <c r="AF5" s="3" t="s">
        <v>190</v>
      </c>
      <c r="AG5" s="3" t="s">
        <v>172</v>
      </c>
      <c r="AH5" s="3" t="s">
        <v>206</v>
      </c>
      <c r="AI5" s="3" t="s">
        <v>206</v>
      </c>
      <c r="AJ5" t="s">
        <v>209</v>
      </c>
      <c r="AK5" s="3" t="s">
        <v>172</v>
      </c>
    </row>
    <row r="6" spans="1:37">
      <c r="A6" s="3" t="s">
        <v>26</v>
      </c>
      <c r="B6" s="3" t="s">
        <v>27</v>
      </c>
      <c r="C6" s="3" t="s">
        <v>280</v>
      </c>
      <c r="D6" s="3"/>
      <c r="E6" s="3" t="s">
        <v>31</v>
      </c>
      <c r="F6" s="4">
        <f ca="1">NOW()</f>
        <v>44088.383192361114</v>
      </c>
      <c r="G6" s="3" t="s">
        <v>28</v>
      </c>
      <c r="H6" s="3" t="s">
        <v>31</v>
      </c>
      <c r="I6" s="3" t="s">
        <v>219</v>
      </c>
      <c r="P6" s="3" t="s">
        <v>172</v>
      </c>
      <c r="Q6" s="3" t="s">
        <v>219</v>
      </c>
      <c r="R6" s="3" t="s">
        <v>123</v>
      </c>
      <c r="S6" s="3" t="s">
        <v>123</v>
      </c>
      <c r="T6" s="3" t="s">
        <v>298</v>
      </c>
      <c r="U6" t="s">
        <v>366</v>
      </c>
      <c r="V6" t="s">
        <v>210</v>
      </c>
      <c r="W6" s="3" t="s">
        <v>206</v>
      </c>
      <c r="X6" s="3" t="s">
        <v>206</v>
      </c>
      <c r="Y6" s="3" t="s">
        <v>153</v>
      </c>
      <c r="Z6" s="3" t="s">
        <v>123</v>
      </c>
      <c r="AA6" t="s">
        <v>209</v>
      </c>
      <c r="AB6" s="3" t="s">
        <v>172</v>
      </c>
      <c r="AC6" s="3" t="s">
        <v>170</v>
      </c>
      <c r="AD6" t="s">
        <v>306</v>
      </c>
      <c r="AE6" t="s">
        <v>210</v>
      </c>
      <c r="AF6" s="3" t="s">
        <v>190</v>
      </c>
      <c r="AG6" s="3" t="s">
        <v>172</v>
      </c>
      <c r="AH6" s="3" t="s">
        <v>206</v>
      </c>
      <c r="AI6" s="3" t="s">
        <v>206</v>
      </c>
      <c r="AJ6" t="s">
        <v>209</v>
      </c>
      <c r="AK6" s="3" t="s">
        <v>172</v>
      </c>
    </row>
    <row r="7" spans="1:37" ht="13.5" customHeight="1">
      <c r="A7" s="3" t="s">
        <v>26</v>
      </c>
      <c r="B7" s="3" t="s">
        <v>27</v>
      </c>
      <c r="C7" s="3" t="s">
        <v>280</v>
      </c>
      <c r="D7" s="3"/>
      <c r="E7" s="3" t="s">
        <v>31</v>
      </c>
      <c r="F7" s="4">
        <f ca="1">NOW()</f>
        <v>44088.383192361114</v>
      </c>
      <c r="G7" s="3" t="s">
        <v>28</v>
      </c>
      <c r="H7" s="3" t="s">
        <v>31</v>
      </c>
      <c r="I7" s="3" t="s">
        <v>373</v>
      </c>
      <c r="P7" s="3" t="s">
        <v>172</v>
      </c>
      <c r="Q7" s="3" t="s">
        <v>212</v>
      </c>
      <c r="R7" s="3" t="s">
        <v>123</v>
      </c>
      <c r="S7" s="3" t="s">
        <v>123</v>
      </c>
      <c r="T7" s="3" t="s">
        <v>171</v>
      </c>
      <c r="U7" t="s">
        <v>366</v>
      </c>
      <c r="V7" t="s">
        <v>210</v>
      </c>
      <c r="W7" s="3" t="s">
        <v>206</v>
      </c>
      <c r="X7" s="3" t="s">
        <v>206</v>
      </c>
      <c r="Y7" s="3" t="s">
        <v>153</v>
      </c>
      <c r="Z7" s="3" t="s">
        <v>172</v>
      </c>
      <c r="AA7" t="s">
        <v>209</v>
      </c>
      <c r="AB7" s="3" t="s">
        <v>172</v>
      </c>
      <c r="AC7" s="3" t="s">
        <v>376</v>
      </c>
      <c r="AD7" t="s">
        <v>306</v>
      </c>
      <c r="AE7" t="s">
        <v>210</v>
      </c>
      <c r="AF7" s="3" t="s">
        <v>190</v>
      </c>
      <c r="AG7" s="3" t="s">
        <v>172</v>
      </c>
      <c r="AH7" s="3" t="s">
        <v>206</v>
      </c>
      <c r="AI7" s="3" t="s">
        <v>206</v>
      </c>
      <c r="AJ7" t="s">
        <v>374</v>
      </c>
      <c r="AK7" s="3" t="s">
        <v>172</v>
      </c>
    </row>
    <row r="8" spans="1:37" ht="13.5" customHeight="1">
      <c r="A8" s="3" t="s">
        <v>26</v>
      </c>
      <c r="B8" s="3" t="s">
        <v>27</v>
      </c>
      <c r="C8" s="3" t="s">
        <v>280</v>
      </c>
      <c r="D8" s="3"/>
      <c r="E8" s="3" t="s">
        <v>31</v>
      </c>
      <c r="F8" s="4">
        <f ca="1">NOW()</f>
        <v>44088.383192361114</v>
      </c>
      <c r="G8" s="3" t="s">
        <v>28</v>
      </c>
      <c r="H8" s="3" t="s">
        <v>31</v>
      </c>
      <c r="I8" s="3" t="s">
        <v>385</v>
      </c>
      <c r="P8" s="3" t="s">
        <v>172</v>
      </c>
      <c r="Q8" s="3" t="s">
        <v>408</v>
      </c>
      <c r="R8" s="3" t="s">
        <v>123</v>
      </c>
      <c r="S8" s="3" t="s">
        <v>123</v>
      </c>
      <c r="T8" s="3" t="s">
        <v>386</v>
      </c>
      <c r="U8" t="s">
        <v>366</v>
      </c>
      <c r="V8" t="s">
        <v>210</v>
      </c>
      <c r="W8" s="3" t="s">
        <v>206</v>
      </c>
      <c r="X8" s="3" t="s">
        <v>206</v>
      </c>
      <c r="Y8" s="3" t="s">
        <v>153</v>
      </c>
      <c r="Z8" s="3" t="s">
        <v>172</v>
      </c>
      <c r="AA8" t="s">
        <v>209</v>
      </c>
      <c r="AB8" s="3" t="s">
        <v>172</v>
      </c>
      <c r="AC8" s="3" t="s">
        <v>387</v>
      </c>
      <c r="AD8" t="s">
        <v>306</v>
      </c>
      <c r="AE8" t="s">
        <v>210</v>
      </c>
      <c r="AF8" s="3" t="s">
        <v>190</v>
      </c>
      <c r="AG8" s="3" t="s">
        <v>172</v>
      </c>
      <c r="AH8" s="3" t="s">
        <v>206</v>
      </c>
      <c r="AI8" s="3" t="s">
        <v>206</v>
      </c>
      <c r="AJ8" t="s">
        <v>388</v>
      </c>
      <c r="AK8" s="3" t="s">
        <v>172</v>
      </c>
    </row>
    <row r="9" spans="1:37" ht="13.5" customHeight="1">
      <c r="A9" s="3" t="s">
        <v>26</v>
      </c>
      <c r="B9" s="3" t="s">
        <v>27</v>
      </c>
      <c r="C9" s="3" t="s">
        <v>280</v>
      </c>
      <c r="D9" s="3"/>
      <c r="E9" s="3" t="s">
        <v>31</v>
      </c>
      <c r="F9" s="4">
        <f ca="1">NOW()</f>
        <v>44088.383192361114</v>
      </c>
      <c r="G9" s="3" t="s">
        <v>28</v>
      </c>
      <c r="H9" s="3" t="s">
        <v>31</v>
      </c>
      <c r="I9" s="3" t="s">
        <v>173</v>
      </c>
      <c r="P9" s="3" t="s">
        <v>172</v>
      </c>
      <c r="Q9" s="3" t="s">
        <v>409</v>
      </c>
      <c r="R9" s="3" t="s">
        <v>123</v>
      </c>
      <c r="S9" s="3" t="s">
        <v>123</v>
      </c>
      <c r="T9" s="3" t="s">
        <v>410</v>
      </c>
      <c r="U9" t="s">
        <v>366</v>
      </c>
      <c r="V9" t="s">
        <v>210</v>
      </c>
      <c r="W9" s="3" t="s">
        <v>206</v>
      </c>
      <c r="X9" s="3" t="s">
        <v>206</v>
      </c>
      <c r="Y9" s="3" t="s">
        <v>153</v>
      </c>
      <c r="Z9" s="3" t="s">
        <v>172</v>
      </c>
      <c r="AA9" t="s">
        <v>209</v>
      </c>
      <c r="AB9" s="3" t="s">
        <v>172</v>
      </c>
      <c r="AC9" s="3" t="s">
        <v>175</v>
      </c>
      <c r="AD9" t="s">
        <v>306</v>
      </c>
      <c r="AE9" t="s">
        <v>210</v>
      </c>
      <c r="AF9" s="3" t="s">
        <v>190</v>
      </c>
      <c r="AG9" s="3" t="s">
        <v>172</v>
      </c>
      <c r="AH9" s="3" t="s">
        <v>206</v>
      </c>
      <c r="AI9" s="3" t="s">
        <v>206</v>
      </c>
      <c r="AJ9" t="s">
        <v>388</v>
      </c>
      <c r="AK9" s="3" t="s">
        <v>172</v>
      </c>
    </row>
  </sheetData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6"/>
  <sheetViews>
    <sheetView workbookViewId="0">
      <selection activeCell="A16" sqref="A16"/>
    </sheetView>
  </sheetViews>
  <sheetFormatPr defaultRowHeight="14"/>
  <cols>
    <col min="6" max="6" width="18.5" customWidth="1"/>
    <col min="32" max="32" width="12.75" customWidth="1"/>
  </cols>
  <sheetData>
    <row r="1" spans="1:43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124</v>
      </c>
      <c r="I1" t="s">
        <v>125</v>
      </c>
      <c r="J1" t="s">
        <v>32</v>
      </c>
      <c r="K1" t="s">
        <v>161</v>
      </c>
      <c r="L1" t="s">
        <v>240</v>
      </c>
      <c r="M1" t="s">
        <v>45</v>
      </c>
      <c r="N1" t="s">
        <v>49</v>
      </c>
      <c r="O1" t="s">
        <v>51</v>
      </c>
      <c r="P1" t="s">
        <v>52</v>
      </c>
      <c r="Q1" t="s">
        <v>51</v>
      </c>
      <c r="R1" t="s">
        <v>52</v>
      </c>
      <c r="S1" t="s">
        <v>243</v>
      </c>
      <c r="T1" t="s">
        <v>244</v>
      </c>
      <c r="U1" t="s">
        <v>245</v>
      </c>
      <c r="V1" t="s">
        <v>246</v>
      </c>
      <c r="W1" t="s">
        <v>247</v>
      </c>
      <c r="X1" t="s">
        <v>33</v>
      </c>
      <c r="Y1" t="s">
        <v>248</v>
      </c>
      <c r="Z1" t="s">
        <v>249</v>
      </c>
      <c r="AA1" t="s">
        <v>310</v>
      </c>
      <c r="AB1" t="s">
        <v>311</v>
      </c>
      <c r="AC1" t="s">
        <v>38</v>
      </c>
      <c r="AD1" t="s">
        <v>56</v>
      </c>
      <c r="AE1" t="s">
        <v>247</v>
      </c>
      <c r="AF1" t="s">
        <v>33</v>
      </c>
      <c r="AG1" t="s">
        <v>248</v>
      </c>
      <c r="AH1" t="s">
        <v>249</v>
      </c>
      <c r="AI1" t="s">
        <v>310</v>
      </c>
      <c r="AJ1" t="s">
        <v>311</v>
      </c>
      <c r="AK1" t="s">
        <v>38</v>
      </c>
      <c r="AL1" t="s">
        <v>56</v>
      </c>
      <c r="AM1" t="s">
        <v>289</v>
      </c>
      <c r="AN1" t="s">
        <v>15</v>
      </c>
      <c r="AO1" t="s">
        <v>16</v>
      </c>
      <c r="AP1" s="1" t="s">
        <v>17</v>
      </c>
      <c r="AQ1" t="s">
        <v>168</v>
      </c>
    </row>
    <row r="2" spans="1:43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10</v>
      </c>
      <c r="L2" t="s">
        <v>13</v>
      </c>
      <c r="M2" t="s">
        <v>46</v>
      </c>
      <c r="N2" t="s">
        <v>50</v>
      </c>
      <c r="O2" t="s">
        <v>10</v>
      </c>
      <c r="P2" t="s">
        <v>13</v>
      </c>
      <c r="Q2" t="s">
        <v>10</v>
      </c>
      <c r="R2" t="s">
        <v>13</v>
      </c>
      <c r="S2" t="s">
        <v>50</v>
      </c>
      <c r="T2" t="s">
        <v>10</v>
      </c>
      <c r="U2" t="s">
        <v>13</v>
      </c>
      <c r="V2" t="s">
        <v>13</v>
      </c>
      <c r="W2" t="s">
        <v>10</v>
      </c>
      <c r="X2" t="s">
        <v>10</v>
      </c>
      <c r="Y2" t="s">
        <v>39</v>
      </c>
      <c r="Z2" t="s">
        <v>41</v>
      </c>
      <c r="AA2" t="s">
        <v>39</v>
      </c>
      <c r="AB2" t="s">
        <v>41</v>
      </c>
      <c r="AC2" t="s">
        <v>36</v>
      </c>
      <c r="AD2" t="s">
        <v>57</v>
      </c>
      <c r="AE2" t="s">
        <v>10</v>
      </c>
      <c r="AF2" t="s">
        <v>10</v>
      </c>
      <c r="AG2" t="s">
        <v>39</v>
      </c>
      <c r="AH2" t="s">
        <v>41</v>
      </c>
      <c r="AI2" t="s">
        <v>39</v>
      </c>
      <c r="AJ2" t="s">
        <v>41</v>
      </c>
      <c r="AK2" t="s">
        <v>36</v>
      </c>
      <c r="AL2" t="s">
        <v>57</v>
      </c>
      <c r="AM2" t="s">
        <v>290</v>
      </c>
      <c r="AN2" t="s">
        <v>13</v>
      </c>
      <c r="AO2" t="s">
        <v>13</v>
      </c>
      <c r="AP2" t="s">
        <v>10</v>
      </c>
      <c r="AQ2" t="s">
        <v>169</v>
      </c>
    </row>
    <row r="3" spans="1:43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136</v>
      </c>
      <c r="I3" s="2" t="s">
        <v>137</v>
      </c>
      <c r="J3" s="3" t="s">
        <v>220</v>
      </c>
      <c r="K3" s="3" t="s">
        <v>186</v>
      </c>
      <c r="L3" s="3" t="s">
        <v>250</v>
      </c>
      <c r="M3" s="3" t="s">
        <v>261</v>
      </c>
      <c r="N3" s="3" t="s">
        <v>85</v>
      </c>
      <c r="O3" s="3" t="s">
        <v>120</v>
      </c>
      <c r="P3" s="3" t="s">
        <v>119</v>
      </c>
      <c r="Q3" s="3" t="s">
        <v>235</v>
      </c>
      <c r="R3" s="3" t="s">
        <v>236</v>
      </c>
      <c r="S3" s="3" t="s">
        <v>252</v>
      </c>
      <c r="T3" s="3" t="s">
        <v>255</v>
      </c>
      <c r="U3" s="3" t="s">
        <v>256</v>
      </c>
      <c r="V3" s="3" t="s">
        <v>257</v>
      </c>
      <c r="W3" s="3" t="s">
        <v>258</v>
      </c>
      <c r="X3" s="3" t="s">
        <v>260</v>
      </c>
      <c r="Y3" s="3" t="s">
        <v>283</v>
      </c>
      <c r="Z3" s="3" t="s">
        <v>274</v>
      </c>
      <c r="AA3" s="3" t="s">
        <v>263</v>
      </c>
      <c r="AB3" s="3" t="s">
        <v>264</v>
      </c>
      <c r="AC3" s="3" t="s">
        <v>270</v>
      </c>
      <c r="AD3" s="3" t="s">
        <v>277</v>
      </c>
      <c r="AE3" s="3" t="s">
        <v>271</v>
      </c>
      <c r="AF3" s="3" t="s">
        <v>272</v>
      </c>
      <c r="AG3" s="3" t="s">
        <v>287</v>
      </c>
      <c r="AH3" s="3" t="s">
        <v>288</v>
      </c>
      <c r="AI3" s="3" t="s">
        <v>275</v>
      </c>
      <c r="AJ3" s="3" t="s">
        <v>276</v>
      </c>
      <c r="AK3" s="3" t="s">
        <v>292</v>
      </c>
      <c r="AL3" s="3" t="s">
        <v>293</v>
      </c>
      <c r="AM3" s="3" t="s">
        <v>291</v>
      </c>
      <c r="AN3" s="3" t="s">
        <v>141</v>
      </c>
      <c r="AO3" s="3" t="s">
        <v>142</v>
      </c>
      <c r="AP3" s="2" t="s">
        <v>143</v>
      </c>
      <c r="AQ3" s="7" t="s">
        <v>129</v>
      </c>
    </row>
    <row r="4" spans="1:43">
      <c r="A4" s="3" t="s">
        <v>26</v>
      </c>
      <c r="B4" s="3" t="s">
        <v>27</v>
      </c>
      <c r="C4" s="3" t="s">
        <v>286</v>
      </c>
      <c r="D4" s="3"/>
      <c r="E4" s="3" t="s">
        <v>28</v>
      </c>
      <c r="F4" s="4">
        <f ca="1">NOW()</f>
        <v>44088.383192361114</v>
      </c>
      <c r="G4" s="3" t="s">
        <v>31</v>
      </c>
      <c r="H4" s="3" t="s">
        <v>284</v>
      </c>
      <c r="I4" s="3" t="s">
        <v>285</v>
      </c>
      <c r="J4" s="3" t="s">
        <v>31</v>
      </c>
      <c r="L4" s="3" t="s">
        <v>268</v>
      </c>
      <c r="M4" t="s">
        <v>282</v>
      </c>
      <c r="S4" s="3" t="s">
        <v>259</v>
      </c>
      <c r="T4" s="3" t="s">
        <v>172</v>
      </c>
      <c r="U4" s="3" t="s">
        <v>253</v>
      </c>
      <c r="V4" s="3" t="s">
        <v>123</v>
      </c>
      <c r="W4" s="3" t="s">
        <v>327</v>
      </c>
      <c r="X4" t="s">
        <v>306</v>
      </c>
      <c r="Y4" s="3" t="s">
        <v>262</v>
      </c>
      <c r="Z4" s="3" t="s">
        <v>262</v>
      </c>
      <c r="AA4" s="3" t="s">
        <v>307</v>
      </c>
      <c r="AB4" s="3" t="s">
        <v>259</v>
      </c>
      <c r="AC4" t="s">
        <v>278</v>
      </c>
      <c r="AD4" s="3" t="s">
        <v>259</v>
      </c>
      <c r="AE4" s="3" t="s">
        <v>328</v>
      </c>
      <c r="AF4" t="s">
        <v>306</v>
      </c>
      <c r="AG4" s="3" t="s">
        <v>308</v>
      </c>
      <c r="AH4" s="3" t="s">
        <v>268</v>
      </c>
      <c r="AI4" s="3" t="s">
        <v>269</v>
      </c>
      <c r="AJ4" s="3" t="s">
        <v>262</v>
      </c>
      <c r="AK4" t="s">
        <v>279</v>
      </c>
      <c r="AL4" s="3" t="s">
        <v>259</v>
      </c>
      <c r="AM4" s="3" t="s">
        <v>143</v>
      </c>
      <c r="AQ4" s="3" t="s">
        <v>305</v>
      </c>
    </row>
    <row r="5" spans="1:43">
      <c r="A5" s="3" t="s">
        <v>26</v>
      </c>
      <c r="B5" s="3" t="s">
        <v>27</v>
      </c>
      <c r="C5" s="3" t="s">
        <v>286</v>
      </c>
      <c r="D5" s="3"/>
      <c r="E5" s="3" t="s">
        <v>28</v>
      </c>
      <c r="F5" s="4">
        <f ca="1">NOW()</f>
        <v>44088.383192361114</v>
      </c>
      <c r="G5" s="3" t="s">
        <v>31</v>
      </c>
      <c r="H5" s="3" t="s">
        <v>284</v>
      </c>
      <c r="I5" s="3" t="s">
        <v>285</v>
      </c>
      <c r="J5" s="3" t="s">
        <v>31</v>
      </c>
      <c r="L5" s="3" t="s">
        <v>268</v>
      </c>
      <c r="M5" t="s">
        <v>282</v>
      </c>
      <c r="S5" s="3" t="s">
        <v>259</v>
      </c>
      <c r="T5" s="3" t="s">
        <v>172</v>
      </c>
      <c r="U5" s="3" t="s">
        <v>253</v>
      </c>
      <c r="V5" s="3" t="s">
        <v>123</v>
      </c>
      <c r="W5" s="3" t="s">
        <v>327</v>
      </c>
      <c r="X5" t="s">
        <v>306</v>
      </c>
      <c r="Y5" s="3" t="s">
        <v>262</v>
      </c>
      <c r="Z5" s="3" t="s">
        <v>262</v>
      </c>
      <c r="AA5" s="3" t="s">
        <v>307</v>
      </c>
      <c r="AB5" s="3" t="s">
        <v>259</v>
      </c>
      <c r="AC5" t="s">
        <v>278</v>
      </c>
      <c r="AD5" s="3" t="s">
        <v>259</v>
      </c>
      <c r="AE5" s="3" t="s">
        <v>329</v>
      </c>
      <c r="AF5" t="s">
        <v>306</v>
      </c>
      <c r="AG5" s="3" t="s">
        <v>308</v>
      </c>
      <c r="AH5" s="3" t="s">
        <v>268</v>
      </c>
      <c r="AI5" s="3" t="s">
        <v>269</v>
      </c>
      <c r="AJ5" s="3" t="s">
        <v>262</v>
      </c>
      <c r="AK5" t="s">
        <v>279</v>
      </c>
      <c r="AL5" s="3" t="s">
        <v>259</v>
      </c>
      <c r="AM5" s="3" t="s">
        <v>269</v>
      </c>
      <c r="AQ5" s="3" t="s">
        <v>305</v>
      </c>
    </row>
    <row r="6" spans="1:43">
      <c r="A6" s="3" t="s">
        <v>26</v>
      </c>
      <c r="B6" s="3" t="s">
        <v>27</v>
      </c>
      <c r="C6" s="3" t="s">
        <v>286</v>
      </c>
      <c r="D6" s="3"/>
      <c r="E6" s="3" t="s">
        <v>28</v>
      </c>
      <c r="F6" s="4">
        <f ca="1">NOW()</f>
        <v>44088.383192361114</v>
      </c>
      <c r="G6" s="3" t="s">
        <v>31</v>
      </c>
      <c r="H6" s="3" t="s">
        <v>284</v>
      </c>
      <c r="I6" s="3" t="s">
        <v>285</v>
      </c>
      <c r="J6" s="3" t="s">
        <v>31</v>
      </c>
      <c r="L6" s="3" t="s">
        <v>29</v>
      </c>
      <c r="M6" t="s">
        <v>63</v>
      </c>
      <c r="S6" s="3" t="s">
        <v>29</v>
      </c>
      <c r="T6" s="3" t="s">
        <v>29</v>
      </c>
      <c r="U6" s="3" t="s">
        <v>66</v>
      </c>
      <c r="V6" s="3" t="s">
        <v>66</v>
      </c>
      <c r="W6" s="3" t="s">
        <v>327</v>
      </c>
      <c r="X6" t="s">
        <v>306</v>
      </c>
      <c r="Y6" s="3" t="s">
        <v>64</v>
      </c>
      <c r="Z6" s="3" t="s">
        <v>64</v>
      </c>
      <c r="AA6" s="3" t="s">
        <v>307</v>
      </c>
      <c r="AB6" s="3" t="s">
        <v>29</v>
      </c>
      <c r="AC6" t="s">
        <v>209</v>
      </c>
      <c r="AD6" s="3" t="s">
        <v>29</v>
      </c>
      <c r="AE6" s="3" t="s">
        <v>329</v>
      </c>
      <c r="AF6" t="s">
        <v>306</v>
      </c>
      <c r="AG6" s="3" t="s">
        <v>308</v>
      </c>
      <c r="AH6" s="3" t="s">
        <v>29</v>
      </c>
      <c r="AI6" s="3" t="s">
        <v>64</v>
      </c>
      <c r="AJ6" s="3" t="s">
        <v>64</v>
      </c>
      <c r="AK6" t="s">
        <v>209</v>
      </c>
      <c r="AL6" s="3" t="s">
        <v>29</v>
      </c>
      <c r="AM6" s="3" t="s">
        <v>64</v>
      </c>
      <c r="AQ6" s="3" t="s">
        <v>305</v>
      </c>
    </row>
    <row r="7" spans="1:43">
      <c r="A7" s="3" t="s">
        <v>26</v>
      </c>
      <c r="B7" s="3" t="s">
        <v>27</v>
      </c>
      <c r="C7" s="3" t="s">
        <v>286</v>
      </c>
      <c r="D7" s="3"/>
      <c r="E7" s="3" t="s">
        <v>28</v>
      </c>
      <c r="F7" s="4">
        <f ca="1">NOW()</f>
        <v>44088.383192361114</v>
      </c>
      <c r="G7" s="3" t="s">
        <v>31</v>
      </c>
      <c r="H7" s="3" t="s">
        <v>284</v>
      </c>
      <c r="I7" s="3" t="s">
        <v>285</v>
      </c>
      <c r="J7" s="3" t="s">
        <v>31</v>
      </c>
      <c r="L7" s="3" t="s">
        <v>29</v>
      </c>
      <c r="M7" t="s">
        <v>63</v>
      </c>
      <c r="S7" s="3" t="s">
        <v>29</v>
      </c>
      <c r="T7" s="3" t="s">
        <v>29</v>
      </c>
      <c r="U7" s="3" t="s">
        <v>66</v>
      </c>
      <c r="V7" s="3" t="s">
        <v>66</v>
      </c>
      <c r="W7" s="3" t="s">
        <v>327</v>
      </c>
      <c r="X7" t="s">
        <v>306</v>
      </c>
      <c r="Y7" s="3" t="s">
        <v>64</v>
      </c>
      <c r="Z7" s="3" t="s">
        <v>64</v>
      </c>
      <c r="AA7" s="3" t="s">
        <v>307</v>
      </c>
      <c r="AB7" s="3" t="s">
        <v>29</v>
      </c>
      <c r="AC7" t="s">
        <v>209</v>
      </c>
      <c r="AD7" s="3" t="s">
        <v>29</v>
      </c>
      <c r="AE7" s="3" t="s">
        <v>329</v>
      </c>
      <c r="AF7" t="s">
        <v>306</v>
      </c>
      <c r="AG7" s="3" t="s">
        <v>308</v>
      </c>
      <c r="AH7" s="3" t="s">
        <v>29</v>
      </c>
      <c r="AI7" s="3" t="s">
        <v>64</v>
      </c>
      <c r="AJ7" s="3" t="s">
        <v>64</v>
      </c>
      <c r="AK7" t="s">
        <v>209</v>
      </c>
      <c r="AL7" s="3" t="s">
        <v>29</v>
      </c>
      <c r="AM7" s="3" t="s">
        <v>177</v>
      </c>
      <c r="AQ7" s="3" t="s">
        <v>305</v>
      </c>
    </row>
    <row r="8" spans="1:43">
      <c r="A8" s="3" t="s">
        <v>26</v>
      </c>
      <c r="B8" s="3" t="s">
        <v>27</v>
      </c>
      <c r="C8" s="3" t="s">
        <v>286</v>
      </c>
      <c r="D8" s="3"/>
      <c r="E8" s="3" t="s">
        <v>28</v>
      </c>
      <c r="F8" s="4">
        <f ca="1">NOW()</f>
        <v>44088.383192361114</v>
      </c>
      <c r="G8" s="3" t="s">
        <v>31</v>
      </c>
      <c r="H8" s="3" t="s">
        <v>206</v>
      </c>
      <c r="I8" s="3" t="s">
        <v>372</v>
      </c>
      <c r="J8" s="3" t="s">
        <v>31</v>
      </c>
      <c r="L8" s="3" t="s">
        <v>219</v>
      </c>
      <c r="M8" t="s">
        <v>63</v>
      </c>
      <c r="S8" s="3" t="s">
        <v>29</v>
      </c>
      <c r="T8" s="3" t="s">
        <v>219</v>
      </c>
      <c r="U8" s="3" t="s">
        <v>66</v>
      </c>
      <c r="V8" s="3" t="s">
        <v>66</v>
      </c>
      <c r="W8" s="3" t="s">
        <v>295</v>
      </c>
      <c r="X8" t="s">
        <v>306</v>
      </c>
      <c r="Y8" s="3" t="s">
        <v>64</v>
      </c>
      <c r="Z8" s="3" t="s">
        <v>64</v>
      </c>
      <c r="AA8" s="3" t="s">
        <v>307</v>
      </c>
      <c r="AB8" s="3" t="s">
        <v>29</v>
      </c>
      <c r="AC8" t="s">
        <v>209</v>
      </c>
      <c r="AD8" s="3" t="s">
        <v>29</v>
      </c>
      <c r="AE8" s="3" t="s">
        <v>173</v>
      </c>
      <c r="AF8" t="s">
        <v>306</v>
      </c>
      <c r="AG8" s="3" t="s">
        <v>308</v>
      </c>
      <c r="AH8" s="3" t="s">
        <v>29</v>
      </c>
      <c r="AI8" s="3" t="s">
        <v>64</v>
      </c>
      <c r="AJ8" s="3" t="s">
        <v>64</v>
      </c>
      <c r="AK8" t="s">
        <v>209</v>
      </c>
      <c r="AL8" s="3" t="s">
        <v>29</v>
      </c>
      <c r="AM8" s="3" t="s">
        <v>295</v>
      </c>
      <c r="AQ8" s="3" t="s">
        <v>305</v>
      </c>
    </row>
    <row r="9" spans="1:43">
      <c r="A9" s="3" t="s">
        <v>26</v>
      </c>
      <c r="B9" s="3" t="s">
        <v>27</v>
      </c>
      <c r="C9" s="3" t="s">
        <v>286</v>
      </c>
      <c r="D9" s="3"/>
      <c r="E9" s="3" t="s">
        <v>28</v>
      </c>
      <c r="F9" s="4">
        <f ca="1">NOW()</f>
        <v>44088.383192361114</v>
      </c>
      <c r="G9" s="3" t="s">
        <v>31</v>
      </c>
      <c r="H9" s="3" t="s">
        <v>206</v>
      </c>
      <c r="I9" s="3" t="s">
        <v>285</v>
      </c>
      <c r="J9" s="3" t="s">
        <v>31</v>
      </c>
      <c r="L9" s="3" t="s">
        <v>212</v>
      </c>
      <c r="M9" t="s">
        <v>210</v>
      </c>
      <c r="S9" s="3" t="s">
        <v>172</v>
      </c>
      <c r="T9" s="3" t="s">
        <v>212</v>
      </c>
      <c r="U9" s="3" t="s">
        <v>123</v>
      </c>
      <c r="V9" s="3" t="s">
        <v>123</v>
      </c>
      <c r="W9" s="3" t="s">
        <v>171</v>
      </c>
      <c r="X9" t="s">
        <v>306</v>
      </c>
      <c r="Y9" s="3" t="s">
        <v>206</v>
      </c>
      <c r="Z9" s="3" t="s">
        <v>206</v>
      </c>
      <c r="AA9" s="3" t="s">
        <v>307</v>
      </c>
      <c r="AB9" s="3" t="s">
        <v>172</v>
      </c>
      <c r="AC9" t="s">
        <v>209</v>
      </c>
      <c r="AD9" s="3" t="s">
        <v>172</v>
      </c>
      <c r="AE9" s="3" t="s">
        <v>143</v>
      </c>
      <c r="AF9" t="s">
        <v>306</v>
      </c>
      <c r="AG9" s="3" t="s">
        <v>308</v>
      </c>
      <c r="AH9" s="3" t="s">
        <v>172</v>
      </c>
      <c r="AI9" s="3" t="s">
        <v>206</v>
      </c>
      <c r="AJ9" s="3" t="s">
        <v>206</v>
      </c>
      <c r="AK9" t="s">
        <v>374</v>
      </c>
      <c r="AL9" s="3" t="s">
        <v>172</v>
      </c>
      <c r="AM9" s="3" t="s">
        <v>143</v>
      </c>
      <c r="AQ9" s="3" t="s">
        <v>305</v>
      </c>
    </row>
    <row r="10" spans="1:43">
      <c r="A10" s="3" t="s">
        <v>26</v>
      </c>
      <c r="B10" s="3" t="s">
        <v>27</v>
      </c>
      <c r="C10" s="3" t="s">
        <v>286</v>
      </c>
      <c r="D10" s="3"/>
      <c r="E10" s="3" t="s">
        <v>28</v>
      </c>
      <c r="F10" s="4">
        <f ca="1">NOW()</f>
        <v>44088.383192361114</v>
      </c>
      <c r="G10" s="3" t="s">
        <v>31</v>
      </c>
      <c r="H10" s="3" t="s">
        <v>206</v>
      </c>
      <c r="I10" s="3" t="s">
        <v>285</v>
      </c>
      <c r="J10" s="3" t="s">
        <v>31</v>
      </c>
      <c r="L10" s="3" t="s">
        <v>212</v>
      </c>
      <c r="M10" t="s">
        <v>210</v>
      </c>
      <c r="S10" s="3" t="s">
        <v>172</v>
      </c>
      <c r="T10" s="3" t="s">
        <v>212</v>
      </c>
      <c r="U10" s="3" t="s">
        <v>123</v>
      </c>
      <c r="V10" s="3" t="s">
        <v>123</v>
      </c>
      <c r="W10" s="3" t="s">
        <v>171</v>
      </c>
      <c r="X10" t="s">
        <v>306</v>
      </c>
      <c r="Y10" s="3" t="s">
        <v>206</v>
      </c>
      <c r="Z10" s="3" t="s">
        <v>206</v>
      </c>
      <c r="AA10" s="3" t="s">
        <v>307</v>
      </c>
      <c r="AB10" s="3" t="s">
        <v>172</v>
      </c>
      <c r="AC10" t="s">
        <v>209</v>
      </c>
      <c r="AD10" s="3" t="s">
        <v>172</v>
      </c>
      <c r="AE10" s="3" t="s">
        <v>143</v>
      </c>
      <c r="AF10" t="s">
        <v>306</v>
      </c>
      <c r="AG10" s="3" t="s">
        <v>308</v>
      </c>
      <c r="AH10" s="3" t="s">
        <v>172</v>
      </c>
      <c r="AI10" s="3" t="s">
        <v>206</v>
      </c>
      <c r="AJ10" s="3" t="s">
        <v>206</v>
      </c>
      <c r="AK10" t="s">
        <v>374</v>
      </c>
      <c r="AL10" s="3" t="s">
        <v>172</v>
      </c>
      <c r="AM10" s="3" t="s">
        <v>177</v>
      </c>
      <c r="AQ10" s="3" t="s">
        <v>305</v>
      </c>
    </row>
    <row r="11" spans="1:43">
      <c r="A11" s="3" t="s">
        <v>26</v>
      </c>
      <c r="B11" s="3" t="s">
        <v>27</v>
      </c>
      <c r="C11" s="3" t="s">
        <v>286</v>
      </c>
      <c r="D11" s="3"/>
      <c r="E11" s="3" t="s">
        <v>28</v>
      </c>
      <c r="F11" s="4">
        <f ca="1">NOW()</f>
        <v>44088.383192361114</v>
      </c>
      <c r="G11" s="3" t="s">
        <v>31</v>
      </c>
      <c r="H11" s="3" t="s">
        <v>206</v>
      </c>
      <c r="I11" s="3" t="s">
        <v>285</v>
      </c>
      <c r="J11" s="3" t="s">
        <v>31</v>
      </c>
      <c r="L11" s="3" t="s">
        <v>295</v>
      </c>
      <c r="M11" t="s">
        <v>210</v>
      </c>
      <c r="S11" s="3" t="s">
        <v>172</v>
      </c>
      <c r="T11" s="3" t="s">
        <v>295</v>
      </c>
      <c r="U11" s="3" t="s">
        <v>123</v>
      </c>
      <c r="V11" s="3" t="s">
        <v>123</v>
      </c>
      <c r="W11" s="3" t="s">
        <v>393</v>
      </c>
      <c r="X11" t="s">
        <v>306</v>
      </c>
      <c r="Y11" s="3" t="s">
        <v>206</v>
      </c>
      <c r="Z11" s="3" t="s">
        <v>206</v>
      </c>
      <c r="AA11" s="3" t="s">
        <v>307</v>
      </c>
      <c r="AB11" s="3" t="s">
        <v>172</v>
      </c>
      <c r="AC11" t="s">
        <v>209</v>
      </c>
      <c r="AD11" s="3" t="s">
        <v>172</v>
      </c>
      <c r="AE11" s="3" t="s">
        <v>389</v>
      </c>
      <c r="AF11" t="s">
        <v>306</v>
      </c>
      <c r="AG11" s="3" t="s">
        <v>308</v>
      </c>
      <c r="AH11" s="3" t="s">
        <v>172</v>
      </c>
      <c r="AI11" s="3" t="s">
        <v>206</v>
      </c>
      <c r="AJ11" s="3" t="s">
        <v>206</v>
      </c>
      <c r="AK11" t="s">
        <v>209</v>
      </c>
      <c r="AL11" s="3" t="s">
        <v>172</v>
      </c>
      <c r="AM11" s="3" t="s">
        <v>143</v>
      </c>
      <c r="AQ11" s="3" t="s">
        <v>305</v>
      </c>
    </row>
    <row r="12" spans="1:43">
      <c r="A12" s="3" t="s">
        <v>26</v>
      </c>
      <c r="B12" s="3" t="s">
        <v>27</v>
      </c>
      <c r="C12" s="3" t="s">
        <v>286</v>
      </c>
      <c r="D12" s="3"/>
      <c r="E12" s="3" t="s">
        <v>28</v>
      </c>
      <c r="F12" s="4">
        <f ca="1">NOW()</f>
        <v>44088.383192361114</v>
      </c>
      <c r="G12" s="3" t="s">
        <v>31</v>
      </c>
      <c r="H12" s="3" t="s">
        <v>206</v>
      </c>
      <c r="I12" s="3" t="s">
        <v>285</v>
      </c>
      <c r="J12" s="3" t="s">
        <v>31</v>
      </c>
      <c r="L12" s="3" t="s">
        <v>392</v>
      </c>
      <c r="M12" t="s">
        <v>210</v>
      </c>
      <c r="S12" s="3" t="s">
        <v>172</v>
      </c>
      <c r="T12" s="3" t="s">
        <v>392</v>
      </c>
      <c r="U12" s="3" t="s">
        <v>123</v>
      </c>
      <c r="V12" s="3" t="s">
        <v>123</v>
      </c>
      <c r="W12" s="3" t="s">
        <v>174</v>
      </c>
      <c r="X12" t="s">
        <v>306</v>
      </c>
      <c r="Y12" s="3" t="s">
        <v>206</v>
      </c>
      <c r="Z12" s="3" t="s">
        <v>206</v>
      </c>
      <c r="AA12" s="3" t="s">
        <v>307</v>
      </c>
      <c r="AB12" s="3" t="s">
        <v>172</v>
      </c>
      <c r="AC12" t="s">
        <v>209</v>
      </c>
      <c r="AD12" s="3" t="s">
        <v>172</v>
      </c>
      <c r="AE12" s="3" t="s">
        <v>389</v>
      </c>
      <c r="AF12" t="s">
        <v>306</v>
      </c>
      <c r="AG12" s="3" t="s">
        <v>308</v>
      </c>
      <c r="AH12" s="3" t="s">
        <v>172</v>
      </c>
      <c r="AI12" s="3" t="s">
        <v>206</v>
      </c>
      <c r="AJ12" s="3" t="s">
        <v>206</v>
      </c>
      <c r="AK12" t="s">
        <v>209</v>
      </c>
      <c r="AL12" s="3" t="s">
        <v>172</v>
      </c>
      <c r="AM12" s="3" t="s">
        <v>206</v>
      </c>
      <c r="AQ12" s="3" t="s">
        <v>305</v>
      </c>
    </row>
    <row r="13" spans="1:43">
      <c r="A13" s="3" t="s">
        <v>26</v>
      </c>
      <c r="B13" s="3" t="s">
        <v>27</v>
      </c>
      <c r="C13" s="3" t="s">
        <v>286</v>
      </c>
      <c r="D13" s="3"/>
      <c r="E13" s="3" t="s">
        <v>28</v>
      </c>
      <c r="F13" s="4">
        <f ca="1">NOW()</f>
        <v>44088.383192361114</v>
      </c>
      <c r="G13" s="3" t="s">
        <v>31</v>
      </c>
      <c r="H13" s="3" t="s">
        <v>206</v>
      </c>
      <c r="I13" s="3" t="s">
        <v>397</v>
      </c>
      <c r="J13" s="3" t="s">
        <v>31</v>
      </c>
      <c r="L13" s="3" t="s">
        <v>396</v>
      </c>
      <c r="M13" t="s">
        <v>63</v>
      </c>
      <c r="S13" s="3" t="s">
        <v>29</v>
      </c>
      <c r="T13" s="3" t="s">
        <v>396</v>
      </c>
      <c r="U13" s="3" t="s">
        <v>66</v>
      </c>
      <c r="V13" s="3" t="s">
        <v>66</v>
      </c>
      <c r="W13" s="3" t="s">
        <v>295</v>
      </c>
      <c r="X13" t="s">
        <v>306</v>
      </c>
      <c r="Y13" s="3" t="s">
        <v>64</v>
      </c>
      <c r="Z13" s="3" t="s">
        <v>64</v>
      </c>
      <c r="AA13" s="3" t="s">
        <v>307</v>
      </c>
      <c r="AB13" s="3" t="s">
        <v>29</v>
      </c>
      <c r="AC13" t="s">
        <v>209</v>
      </c>
      <c r="AD13" s="3" t="s">
        <v>29</v>
      </c>
      <c r="AE13" s="3" t="s">
        <v>173</v>
      </c>
      <c r="AF13" t="s">
        <v>306</v>
      </c>
      <c r="AG13" s="3" t="s">
        <v>308</v>
      </c>
      <c r="AH13" s="3" t="s">
        <v>29</v>
      </c>
      <c r="AI13" s="3" t="s">
        <v>64</v>
      </c>
      <c r="AJ13" s="3" t="s">
        <v>64</v>
      </c>
      <c r="AK13" t="s">
        <v>209</v>
      </c>
      <c r="AL13" s="3" t="s">
        <v>29</v>
      </c>
      <c r="AM13" s="3" t="s">
        <v>295</v>
      </c>
      <c r="AQ13" s="3" t="s">
        <v>398</v>
      </c>
    </row>
    <row r="14" spans="1:43">
      <c r="A14" s="3" t="s">
        <v>26</v>
      </c>
      <c r="B14" s="3" t="s">
        <v>27</v>
      </c>
      <c r="C14" s="3" t="s">
        <v>286</v>
      </c>
      <c r="D14" s="3"/>
      <c r="E14" s="3" t="s">
        <v>28</v>
      </c>
      <c r="F14" s="4">
        <f ca="1">NOW()</f>
        <v>44088.383192361114</v>
      </c>
      <c r="G14" s="3" t="s">
        <v>31</v>
      </c>
      <c r="H14" s="3" t="s">
        <v>206</v>
      </c>
      <c r="I14" s="3" t="s">
        <v>285</v>
      </c>
      <c r="J14" s="3" t="s">
        <v>31</v>
      </c>
      <c r="L14" s="3" t="s">
        <v>173</v>
      </c>
      <c r="M14" t="s">
        <v>210</v>
      </c>
      <c r="S14" s="3" t="s">
        <v>172</v>
      </c>
      <c r="T14" s="3" t="s">
        <v>412</v>
      </c>
      <c r="U14" s="3" t="s">
        <v>123</v>
      </c>
      <c r="V14" s="3" t="s">
        <v>123</v>
      </c>
      <c r="W14" s="3" t="s">
        <v>413</v>
      </c>
      <c r="X14" t="s">
        <v>306</v>
      </c>
      <c r="Y14" s="3" t="s">
        <v>206</v>
      </c>
      <c r="Z14" s="3" t="s">
        <v>206</v>
      </c>
      <c r="AA14" s="3" t="s">
        <v>307</v>
      </c>
      <c r="AB14" s="3" t="s">
        <v>172</v>
      </c>
      <c r="AC14" t="s">
        <v>209</v>
      </c>
      <c r="AD14" s="3" t="s">
        <v>172</v>
      </c>
      <c r="AE14" s="3" t="s">
        <v>175</v>
      </c>
      <c r="AF14" t="s">
        <v>306</v>
      </c>
      <c r="AG14" s="3" t="s">
        <v>308</v>
      </c>
      <c r="AH14" s="3" t="s">
        <v>172</v>
      </c>
      <c r="AI14" s="3" t="s">
        <v>206</v>
      </c>
      <c r="AJ14" s="3" t="s">
        <v>206</v>
      </c>
      <c r="AK14" t="s">
        <v>209</v>
      </c>
      <c r="AL14" s="3" t="s">
        <v>172</v>
      </c>
      <c r="AM14" s="3" t="s">
        <v>143</v>
      </c>
      <c r="AQ14" s="3" t="s">
        <v>305</v>
      </c>
    </row>
    <row r="15" spans="1:43">
      <c r="A15" s="3" t="s">
        <v>26</v>
      </c>
      <c r="B15" s="3" t="s">
        <v>27</v>
      </c>
      <c r="C15" s="3" t="s">
        <v>286</v>
      </c>
      <c r="D15" s="3"/>
      <c r="E15" s="3" t="s">
        <v>28</v>
      </c>
      <c r="F15" s="4">
        <f ca="1">NOW()</f>
        <v>44088.383192361114</v>
      </c>
      <c r="G15" s="3" t="s">
        <v>31</v>
      </c>
      <c r="H15" s="3" t="s">
        <v>206</v>
      </c>
      <c r="I15" s="3" t="s">
        <v>285</v>
      </c>
      <c r="J15" s="3" t="s">
        <v>31</v>
      </c>
      <c r="L15" s="3" t="s">
        <v>295</v>
      </c>
      <c r="M15" t="s">
        <v>210</v>
      </c>
      <c r="S15" s="3" t="s">
        <v>172</v>
      </c>
      <c r="T15" s="3" t="s">
        <v>392</v>
      </c>
      <c r="U15" s="3" t="s">
        <v>123</v>
      </c>
      <c r="V15" s="3" t="s">
        <v>123</v>
      </c>
      <c r="W15" s="3" t="s">
        <v>174</v>
      </c>
      <c r="X15" t="s">
        <v>306</v>
      </c>
      <c r="Y15" s="3" t="s">
        <v>206</v>
      </c>
      <c r="Z15" s="3" t="s">
        <v>206</v>
      </c>
      <c r="AA15" s="3" t="s">
        <v>307</v>
      </c>
      <c r="AB15" s="3" t="s">
        <v>172</v>
      </c>
      <c r="AC15" t="s">
        <v>209</v>
      </c>
      <c r="AD15" s="3" t="s">
        <v>172</v>
      </c>
      <c r="AE15" s="3" t="s">
        <v>389</v>
      </c>
      <c r="AF15" t="s">
        <v>306</v>
      </c>
      <c r="AG15" s="3" t="s">
        <v>308</v>
      </c>
      <c r="AH15" s="3" t="s">
        <v>172</v>
      </c>
      <c r="AI15" s="3" t="s">
        <v>206</v>
      </c>
      <c r="AJ15" s="3" t="s">
        <v>206</v>
      </c>
      <c r="AK15" t="s">
        <v>209</v>
      </c>
      <c r="AL15" s="3" t="s">
        <v>172</v>
      </c>
      <c r="AM15" s="3" t="s">
        <v>177</v>
      </c>
      <c r="AQ15" s="3" t="s">
        <v>305</v>
      </c>
    </row>
    <row r="16" spans="1:43">
      <c r="A16" s="3" t="s">
        <v>26</v>
      </c>
      <c r="B16" s="3" t="s">
        <v>27</v>
      </c>
      <c r="C16" s="3" t="s">
        <v>286</v>
      </c>
      <c r="D16" s="3"/>
      <c r="E16" s="3" t="s">
        <v>28</v>
      </c>
      <c r="F16" s="4">
        <f ca="1">NOW()</f>
        <v>44088.383192361114</v>
      </c>
      <c r="G16" s="3" t="s">
        <v>31</v>
      </c>
      <c r="H16" s="3" t="s">
        <v>206</v>
      </c>
      <c r="I16" s="3" t="s">
        <v>285</v>
      </c>
      <c r="J16" s="3" t="s">
        <v>31</v>
      </c>
      <c r="L16" s="3" t="s">
        <v>173</v>
      </c>
      <c r="M16" t="s">
        <v>210</v>
      </c>
      <c r="S16" s="3" t="s">
        <v>172</v>
      </c>
      <c r="T16" s="3" t="s">
        <v>412</v>
      </c>
      <c r="U16" s="3" t="s">
        <v>123</v>
      </c>
      <c r="V16" s="3" t="s">
        <v>123</v>
      </c>
      <c r="W16" s="3" t="s">
        <v>413</v>
      </c>
      <c r="X16" t="s">
        <v>306</v>
      </c>
      <c r="Y16" s="3" t="s">
        <v>206</v>
      </c>
      <c r="Z16" s="3" t="s">
        <v>206</v>
      </c>
      <c r="AA16" s="3" t="s">
        <v>307</v>
      </c>
      <c r="AB16" s="3" t="s">
        <v>172</v>
      </c>
      <c r="AC16" t="s">
        <v>209</v>
      </c>
      <c r="AD16" s="3" t="s">
        <v>172</v>
      </c>
      <c r="AE16" s="3" t="s">
        <v>175</v>
      </c>
      <c r="AF16" t="s">
        <v>306</v>
      </c>
      <c r="AG16" s="3" t="s">
        <v>308</v>
      </c>
      <c r="AH16" s="3" t="s">
        <v>172</v>
      </c>
      <c r="AI16" s="3" t="s">
        <v>206</v>
      </c>
      <c r="AJ16" s="3" t="s">
        <v>206</v>
      </c>
      <c r="AK16" t="s">
        <v>209</v>
      </c>
      <c r="AL16" s="3" t="s">
        <v>172</v>
      </c>
      <c r="AM16" s="3" t="s">
        <v>414</v>
      </c>
      <c r="AQ16" s="3" t="s">
        <v>305</v>
      </c>
    </row>
  </sheetData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A5" sqref="A5:XFD5"/>
    </sheetView>
  </sheetViews>
  <sheetFormatPr defaultRowHeight="14"/>
  <cols>
    <col min="6" max="6" width="12.25" customWidth="1"/>
  </cols>
  <sheetData>
    <row r="1" spans="1:17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124</v>
      </c>
      <c r="I1" t="s">
        <v>32</v>
      </c>
      <c r="J1" t="s">
        <v>313</v>
      </c>
      <c r="K1" t="s">
        <v>240</v>
      </c>
      <c r="L1" t="s">
        <v>314</v>
      </c>
      <c r="M1" t="s">
        <v>246</v>
      </c>
      <c r="N1" t="s">
        <v>33</v>
      </c>
      <c r="O1" t="s">
        <v>45</v>
      </c>
      <c r="P1" t="s">
        <v>15</v>
      </c>
      <c r="Q1" t="s">
        <v>16</v>
      </c>
    </row>
    <row r="2" spans="1:17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13</v>
      </c>
      <c r="L2" t="s">
        <v>13</v>
      </c>
      <c r="M2" t="s">
        <v>13</v>
      </c>
      <c r="N2" t="s">
        <v>10</v>
      </c>
      <c r="O2" t="s">
        <v>46</v>
      </c>
      <c r="P2" t="s">
        <v>13</v>
      </c>
      <c r="Q2" t="s">
        <v>13</v>
      </c>
    </row>
    <row r="3" spans="1:17">
      <c r="A3" s="2" t="s">
        <v>18</v>
      </c>
      <c r="B3" s="2" t="s">
        <v>19</v>
      </c>
      <c r="C3" s="2" t="s">
        <v>20</v>
      </c>
      <c r="D3" s="2" t="s">
        <v>23</v>
      </c>
      <c r="E3" s="2" t="s">
        <v>21</v>
      </c>
      <c r="F3" s="2" t="s">
        <v>24</v>
      </c>
      <c r="G3" s="2" t="s">
        <v>22</v>
      </c>
      <c r="H3" s="2" t="s">
        <v>136</v>
      </c>
      <c r="I3" s="3" t="s">
        <v>29</v>
      </c>
      <c r="J3" s="3" t="s">
        <v>323</v>
      </c>
      <c r="K3" s="3" t="s">
        <v>322</v>
      </c>
      <c r="L3" s="3" t="s">
        <v>321</v>
      </c>
      <c r="M3" s="3" t="s">
        <v>320</v>
      </c>
      <c r="N3" s="3" t="s">
        <v>316</v>
      </c>
      <c r="O3" s="3" t="s">
        <v>317</v>
      </c>
      <c r="P3" s="3" t="s">
        <v>318</v>
      </c>
      <c r="Q3" s="3" t="s">
        <v>319</v>
      </c>
    </row>
    <row r="4" spans="1:17">
      <c r="A4" s="3" t="s">
        <v>26</v>
      </c>
      <c r="B4" s="3" t="s">
        <v>27</v>
      </c>
      <c r="C4" s="3" t="s">
        <v>324</v>
      </c>
      <c r="D4" s="3"/>
      <c r="E4" s="3" t="s">
        <v>28</v>
      </c>
      <c r="F4" s="4">
        <f ca="1">NOW()</f>
        <v>44088.383192361114</v>
      </c>
      <c r="G4" s="3" t="s">
        <v>31</v>
      </c>
      <c r="H4" s="3" t="s">
        <v>284</v>
      </c>
      <c r="I4" s="3" t="s">
        <v>31</v>
      </c>
      <c r="J4" s="3" t="s">
        <v>29</v>
      </c>
      <c r="K4" s="3" t="s">
        <v>29</v>
      </c>
      <c r="L4" s="3" t="s">
        <v>295</v>
      </c>
      <c r="M4" s="3" t="s">
        <v>325</v>
      </c>
      <c r="N4" t="s">
        <v>306</v>
      </c>
      <c r="O4" t="s">
        <v>315</v>
      </c>
      <c r="P4" s="3" t="s">
        <v>64</v>
      </c>
      <c r="Q4" s="3" t="s">
        <v>64</v>
      </c>
    </row>
    <row r="5" spans="1:17">
      <c r="A5" s="3" t="s">
        <v>26</v>
      </c>
      <c r="B5" s="3" t="s">
        <v>27</v>
      </c>
      <c r="C5" s="3" t="s">
        <v>324</v>
      </c>
      <c r="D5" s="3"/>
      <c r="E5" s="3" t="s">
        <v>28</v>
      </c>
      <c r="F5" s="4">
        <f ca="1">NOW()</f>
        <v>44088.383192361114</v>
      </c>
      <c r="G5" s="3" t="s">
        <v>31</v>
      </c>
      <c r="H5" s="3" t="s">
        <v>206</v>
      </c>
      <c r="I5" s="3" t="s">
        <v>31</v>
      </c>
      <c r="J5" s="3" t="s">
        <v>29</v>
      </c>
      <c r="K5" s="3" t="s">
        <v>29</v>
      </c>
      <c r="L5" s="3" t="s">
        <v>295</v>
      </c>
      <c r="M5" s="3" t="s">
        <v>172</v>
      </c>
      <c r="N5" t="s">
        <v>306</v>
      </c>
      <c r="O5" t="s">
        <v>210</v>
      </c>
      <c r="P5" s="3" t="s">
        <v>64</v>
      </c>
      <c r="Q5" s="3" t="s">
        <v>64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E9" sqref="E9"/>
    </sheetView>
  </sheetViews>
  <sheetFormatPr defaultRowHeight="14"/>
  <sheetData>
    <row r="1" spans="1:1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124</v>
      </c>
      <c r="I1" t="s">
        <v>214</v>
      </c>
      <c r="J1" t="s">
        <v>215</v>
      </c>
      <c r="K1" t="s">
        <v>216</v>
      </c>
      <c r="L1" t="s">
        <v>161</v>
      </c>
      <c r="M1" s="1" t="s">
        <v>17</v>
      </c>
      <c r="N1" t="s">
        <v>349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350</v>
      </c>
    </row>
    <row r="3" spans="1:14">
      <c r="A3" s="2" t="s">
        <v>351</v>
      </c>
      <c r="B3" s="2" t="s">
        <v>352</v>
      </c>
      <c r="C3" s="2" t="s">
        <v>338</v>
      </c>
      <c r="D3" s="2" t="s">
        <v>340</v>
      </c>
      <c r="E3" s="2" t="s">
        <v>341</v>
      </c>
      <c r="F3" s="2" t="s">
        <v>342</v>
      </c>
      <c r="G3" s="2" t="s">
        <v>343</v>
      </c>
      <c r="H3" s="2" t="s">
        <v>353</v>
      </c>
      <c r="I3" s="2" t="s">
        <v>354</v>
      </c>
      <c r="J3" s="3" t="s">
        <v>355</v>
      </c>
      <c r="K3" s="2" t="s">
        <v>356</v>
      </c>
      <c r="L3" s="3" t="s">
        <v>357</v>
      </c>
      <c r="M3" s="2" t="s">
        <v>339</v>
      </c>
      <c r="N3" s="7" t="s">
        <v>347</v>
      </c>
    </row>
    <row r="4" spans="1:14">
      <c r="A4" s="3" t="s">
        <v>344</v>
      </c>
      <c r="B4" s="3" t="s">
        <v>345</v>
      </c>
      <c r="C4" s="3" t="s">
        <v>358</v>
      </c>
      <c r="D4" s="3" t="s">
        <v>359</v>
      </c>
      <c r="E4" s="3" t="s">
        <v>348</v>
      </c>
      <c r="F4" s="4">
        <f t="shared" ref="F4" ca="1" si="0">NOW()</f>
        <v>44088.383192361114</v>
      </c>
      <c r="G4" s="3" t="s">
        <v>360</v>
      </c>
      <c r="H4" s="3" t="s">
        <v>359</v>
      </c>
      <c r="I4" s="3" t="s">
        <v>361</v>
      </c>
      <c r="J4" t="s">
        <v>280</v>
      </c>
      <c r="K4" s="3" t="s">
        <v>370</v>
      </c>
      <c r="M4" s="3" t="s">
        <v>346</v>
      </c>
      <c r="N4" s="3" t="s">
        <v>362</v>
      </c>
    </row>
  </sheetData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Z1" workbookViewId="0">
      <selection activeCell="AJ17" sqref="AJ17"/>
    </sheetView>
  </sheetViews>
  <sheetFormatPr defaultRowHeight="14"/>
  <cols>
    <col min="6" max="6" width="15.5" customWidth="1"/>
  </cols>
  <sheetData>
    <row r="1" spans="1:14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124</v>
      </c>
      <c r="I1" t="s">
        <v>214</v>
      </c>
      <c r="J1" t="s">
        <v>215</v>
      </c>
      <c r="K1" t="s">
        <v>221</v>
      </c>
      <c r="L1" t="s">
        <v>161</v>
      </c>
      <c r="M1" s="1" t="s">
        <v>17</v>
      </c>
      <c r="N1" t="s">
        <v>168</v>
      </c>
    </row>
    <row r="2" spans="1:14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10</v>
      </c>
      <c r="K2" t="s">
        <v>8</v>
      </c>
      <c r="L2" t="s">
        <v>10</v>
      </c>
      <c r="M2" t="s">
        <v>10</v>
      </c>
      <c r="N2" t="s">
        <v>169</v>
      </c>
    </row>
    <row r="3" spans="1:14">
      <c r="A3" s="2" t="s">
        <v>170</v>
      </c>
      <c r="B3" s="2" t="s">
        <v>171</v>
      </c>
      <c r="C3" s="2" t="s">
        <v>131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136</v>
      </c>
      <c r="I3" s="2" t="s">
        <v>217</v>
      </c>
      <c r="J3" s="3" t="s">
        <v>218</v>
      </c>
      <c r="K3" s="2" t="s">
        <v>222</v>
      </c>
      <c r="L3" s="3" t="s">
        <v>186</v>
      </c>
      <c r="M3" s="2" t="s">
        <v>143</v>
      </c>
      <c r="N3" s="7" t="s">
        <v>144</v>
      </c>
    </row>
    <row r="4" spans="1:14">
      <c r="A4" s="3" t="s">
        <v>145</v>
      </c>
      <c r="B4" s="3" t="s">
        <v>146</v>
      </c>
      <c r="C4" s="3" t="s">
        <v>223</v>
      </c>
      <c r="D4" s="3" t="s">
        <v>172</v>
      </c>
      <c r="E4" s="3" t="s">
        <v>148</v>
      </c>
      <c r="F4" s="4">
        <f t="shared" ref="F4" ca="1" si="0">NOW()</f>
        <v>44088.383192361114</v>
      </c>
      <c r="G4" s="3" t="s">
        <v>203</v>
      </c>
      <c r="H4" s="3" t="s">
        <v>172</v>
      </c>
      <c r="I4" s="3" t="s">
        <v>204</v>
      </c>
      <c r="J4" t="s">
        <v>208</v>
      </c>
      <c r="K4" s="3" t="s">
        <v>172</v>
      </c>
      <c r="M4" s="3" t="s">
        <v>155</v>
      </c>
      <c r="N4" s="3" t="s">
        <v>224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F20" sqref="F20"/>
    </sheetView>
  </sheetViews>
  <sheetFormatPr defaultRowHeight="14"/>
  <cols>
    <col min="6" max="6" width="16.5" bestFit="1" customWidth="1"/>
  </cols>
  <sheetData>
    <row r="1" spans="1:16">
      <c r="A1" t="s">
        <v>0</v>
      </c>
      <c r="B1" t="s">
        <v>2</v>
      </c>
      <c r="C1" t="s">
        <v>4</v>
      </c>
      <c r="D1" t="s">
        <v>7</v>
      </c>
      <c r="E1" t="s">
        <v>5</v>
      </c>
      <c r="F1" t="s">
        <v>11</v>
      </c>
      <c r="G1" t="s">
        <v>6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15</v>
      </c>
      <c r="N1" t="s">
        <v>16</v>
      </c>
      <c r="O1" s="1" t="s">
        <v>17</v>
      </c>
      <c r="P1" t="s">
        <v>129</v>
      </c>
    </row>
    <row r="2" spans="1:16">
      <c r="A2" t="s">
        <v>1</v>
      </c>
      <c r="B2" t="s">
        <v>3</v>
      </c>
      <c r="C2" t="s">
        <v>1</v>
      </c>
      <c r="D2" t="s">
        <v>8</v>
      </c>
      <c r="E2" t="s">
        <v>1</v>
      </c>
      <c r="F2" t="s">
        <v>12</v>
      </c>
      <c r="G2" t="s">
        <v>1</v>
      </c>
      <c r="H2" t="s">
        <v>9</v>
      </c>
      <c r="I2" t="s">
        <v>10</v>
      </c>
      <c r="J2" t="s">
        <v>13</v>
      </c>
      <c r="K2" t="s">
        <v>13</v>
      </c>
      <c r="L2" t="s">
        <v>14</v>
      </c>
      <c r="M2" t="s">
        <v>13</v>
      </c>
      <c r="N2" t="s">
        <v>13</v>
      </c>
      <c r="O2" t="s">
        <v>10</v>
      </c>
      <c r="P2" t="s">
        <v>130</v>
      </c>
    </row>
    <row r="3" spans="1:16" s="7" customFormat="1">
      <c r="A3" s="2" t="s">
        <v>18</v>
      </c>
      <c r="B3" s="2" t="s">
        <v>19</v>
      </c>
      <c r="C3" s="2" t="s">
        <v>131</v>
      </c>
      <c r="D3" s="2" t="s">
        <v>132</v>
      </c>
      <c r="E3" s="2" t="s">
        <v>133</v>
      </c>
      <c r="F3" s="2" t="s">
        <v>134</v>
      </c>
      <c r="G3" s="2" t="s">
        <v>135</v>
      </c>
      <c r="H3" s="2" t="s">
        <v>136</v>
      </c>
      <c r="I3" s="2" t="s">
        <v>137</v>
      </c>
      <c r="J3" s="2" t="s">
        <v>138</v>
      </c>
      <c r="K3" s="2" t="s">
        <v>139</v>
      </c>
      <c r="L3" s="2" t="s">
        <v>140</v>
      </c>
      <c r="M3" s="2" t="s">
        <v>141</v>
      </c>
      <c r="N3" s="2" t="s">
        <v>142</v>
      </c>
      <c r="O3" s="2" t="s">
        <v>143</v>
      </c>
      <c r="P3" s="7" t="s">
        <v>144</v>
      </c>
    </row>
    <row r="4" spans="1:16">
      <c r="A4" s="3" t="s">
        <v>145</v>
      </c>
      <c r="B4" s="3" t="s">
        <v>146</v>
      </c>
      <c r="C4" s="3" t="s">
        <v>147</v>
      </c>
      <c r="D4" s="3" t="s">
        <v>29</v>
      </c>
      <c r="E4" s="3" t="s">
        <v>148</v>
      </c>
      <c r="F4" s="4">
        <f ca="1">NOW()</f>
        <v>44088.383192361114</v>
      </c>
      <c r="G4" s="3" t="s">
        <v>149</v>
      </c>
      <c r="H4" s="3" t="s">
        <v>29</v>
      </c>
      <c r="I4" s="3" t="s">
        <v>150</v>
      </c>
      <c r="J4" s="3" t="s">
        <v>64</v>
      </c>
      <c r="K4" s="3" t="s">
        <v>151</v>
      </c>
      <c r="L4" t="s">
        <v>152</v>
      </c>
      <c r="M4" s="3" t="s">
        <v>153</v>
      </c>
      <c r="N4" s="3" t="s">
        <v>154</v>
      </c>
      <c r="O4" s="3" t="s">
        <v>155</v>
      </c>
      <c r="P4" s="3" t="s">
        <v>156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req</vt:lpstr>
      <vt:lpstr>rtn</vt:lpstr>
      <vt:lpstr>reqbak</vt:lpstr>
      <vt:lpstr>NewOrderSingle</vt:lpstr>
      <vt:lpstr>OrderCancelRequest</vt:lpstr>
      <vt:lpstr>ExecutionReport</vt:lpstr>
      <vt:lpstr>MassQuote</vt:lpstr>
      <vt:lpstr>MassQuoteAcknowledgement</vt:lpstr>
      <vt:lpstr>QuoteCancel</vt:lpstr>
      <vt:lpstr>Reject</vt:lpstr>
      <vt:lpstr>BusinessMessageReject</vt:lpstr>
      <vt:lpstr>OnRspUserLogin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2020-09-14T01:18:19Z</dcterms:modified>
</cp:coreProperties>
</file>