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9925" yWindow="0" windowWidth="22260" windowHeight="12645" tabRatio="888" activeTab="7"/>
  </bookViews>
  <sheets>
    <sheet name="req" sheetId="4" r:id="rId1"/>
    <sheet name="rtn" sheetId="6" r:id="rId2"/>
    <sheet name="casedescription" sheetId="15" r:id="rId3"/>
    <sheet name="NewOrderSingle" sheetId="2" r:id="rId4"/>
    <sheet name="OrderCancelRequest" sheetId="3" r:id="rId5"/>
    <sheet name="OrderCancelReplaceRequest" sheetId="5" r:id="rId6"/>
    <sheet name="ExecutionReporttest" sheetId="9" r:id="rId7"/>
    <sheet name="ExecutionReport" sheetId="10" r:id="rId8"/>
    <sheet name="MassQuote" sheetId="14" state="hidden" r:id="rId9"/>
    <sheet name="MassQuoteAcknowledgement" sheetId="16" state="hidden" r:id="rId10"/>
    <sheet name="OrderStatusRequest" sheetId="18" state="hidden" r:id="rId11"/>
    <sheet name="SecurityDefinitionRequest" sheetId="19" state="hidden" r:id="rId12"/>
    <sheet name="SecurityDefinition" sheetId="20" state="hidden" r:id="rId13"/>
    <sheet name="QuoteCancel" sheetId="17" state="hidden" r:id="rId14"/>
    <sheet name="Reject" sheetId="21" state="hidden" r:id="rId15"/>
    <sheet name="BusinessMessageReject" sheetId="12" state="hidden" r:id="rId16"/>
    <sheet name="OnRspUserLogin" sheetId="8" r:id="rId1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0" l="1"/>
  <c r="D9" i="6"/>
  <c r="B9" i="6"/>
  <c r="F7" i="10"/>
  <c r="D7" i="6"/>
  <c r="B7" i="6"/>
  <c r="F10" i="2"/>
  <c r="D8" i="15"/>
  <c r="B8" i="15"/>
  <c r="D8" i="4"/>
  <c r="B8" i="4"/>
  <c r="D7" i="4"/>
  <c r="B7" i="4"/>
  <c r="F9" i="2"/>
  <c r="D7" i="15"/>
  <c r="B7" i="15"/>
  <c r="F12" i="10"/>
  <c r="F11" i="10"/>
  <c r="F9" i="10"/>
  <c r="F8" i="10"/>
  <c r="F7" i="2"/>
  <c r="F6" i="2"/>
  <c r="D6" i="15"/>
  <c r="B6" i="15"/>
  <c r="D5" i="15"/>
  <c r="B5" i="15"/>
  <c r="D4" i="15"/>
  <c r="B4" i="15"/>
  <c r="D3" i="15"/>
  <c r="B3" i="15"/>
  <c r="D2" i="15"/>
  <c r="B2" i="15"/>
  <c r="F18" i="10"/>
  <c r="F17" i="10"/>
  <c r="F8" i="2"/>
  <c r="D6" i="4"/>
  <c r="B6" i="4"/>
  <c r="F16" i="10"/>
  <c r="F15" i="10"/>
  <c r="F14" i="10"/>
  <c r="F13" i="10"/>
  <c r="D5" i="4"/>
  <c r="B5" i="4"/>
  <c r="F4" i="21"/>
  <c r="F4" i="20"/>
  <c r="F4" i="19"/>
  <c r="F4" i="18"/>
  <c r="D14" i="6"/>
  <c r="B14" i="6"/>
  <c r="D12" i="6"/>
  <c r="B12" i="6"/>
  <c r="F7" i="16"/>
  <c r="F6" i="16"/>
  <c r="F4" i="17"/>
  <c r="F5" i="9"/>
  <c r="F4" i="9"/>
  <c r="F5" i="16"/>
  <c r="F4" i="16"/>
  <c r="F4" i="14"/>
  <c r="F6" i="10"/>
  <c r="F5" i="10"/>
  <c r="F4" i="10"/>
  <c r="D16" i="6"/>
  <c r="B16" i="6"/>
  <c r="D17" i="6"/>
  <c r="B17" i="6"/>
  <c r="D13" i="6"/>
  <c r="B13" i="6"/>
  <c r="D15" i="6"/>
  <c r="B15" i="6"/>
  <c r="D4" i="4"/>
  <c r="B4" i="4"/>
  <c r="D3" i="6"/>
  <c r="B3" i="6"/>
  <c r="D4" i="6"/>
  <c r="B4" i="6"/>
  <c r="D5" i="6"/>
  <c r="B5" i="6"/>
  <c r="D6" i="6"/>
  <c r="B6" i="6"/>
  <c r="D8" i="6"/>
  <c r="B8" i="6"/>
  <c r="D10" i="6"/>
  <c r="B10" i="6"/>
  <c r="D11" i="6"/>
  <c r="B11" i="6"/>
  <c r="D2" i="6"/>
  <c r="B2" i="6"/>
  <c r="D2" i="4"/>
  <c r="D3" i="4"/>
  <c r="B3" i="4"/>
  <c r="F4" i="12"/>
  <c r="F4" i="8"/>
  <c r="F4" i="5"/>
  <c r="F5" i="3"/>
  <c r="F4" i="3"/>
  <c r="F5" i="2"/>
  <c r="F4" i="2"/>
  <c r="B2" i="4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<sst xmlns="http://schemas.openxmlformats.org/spreadsheetml/2006/main" count="2247" uniqueCount="553">
  <si>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</si>
  <si>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</si>
  <si>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</si>
  <si>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</si>
  <si>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</si>
  <si>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</si>
  <si>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</si>
  <si>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</si>
  <si>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</si>
  <si>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</si>
  <si>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</si>
  <si>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</si>
  <si>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</si>
  <si>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</si>
  <si>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</si>
  <si>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</si>
  <si>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</si>
  <si>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</si>
  <si>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</si>
  <si>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</si>
  <si>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</si>
  <si>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</si>
  <si>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</si>
  <si>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</si>
  <si>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</si>
  <si>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</si>
  <si>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</si>
  <si>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</si>
  <si>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</si>
  <si>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</si>
  <si>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</si>
  <si>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</si>
  <si>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</si>
  <si>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</si>
  <si>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</si>
  <si>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</si>
  <si>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</si>
  <si>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</si>
  <si>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</si>
  <si>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</si>
  <si>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</si>
  <si>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</si>
  <si>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</si>
  <si>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</si>
  <si>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</si>
  <si>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</si>
  <si>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</si>
  <si>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</si>
  <si>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</si>
  <si>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</si>
  <si>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</si>
  <si>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</si>
  <si>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</si>
  <si>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</si>
  <si>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</si>
  <si>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</si>
  <si>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</si>
  <si>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</si>
  <si>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</si>
  <si>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</si>
  <si>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</si>
  <si>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</si>
  <si>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</si>
  <si>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</si>
  <si>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</si>
  <si>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</si>
  <si>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</si>
  <si>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</si>
  <si>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</si>
  <si>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</si>
  <si>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</si>
  <si>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</si>
  <si>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</si>
  <si>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</si>
  <si>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</si>
  <si>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</si>
  <si>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</si>
  <si>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</si>
  <si>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</si>
  <si>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</si>
  <si>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</si>
  <si>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</si>
  <si>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</si>
  <si>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</si>
  <si>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</si>
  <si>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</si>
  <si>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</si>
  <si>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</si>
  <si>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</si>
  <si>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</si>
  <si>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</si>
  <si>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</si>
  <si>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2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</si>
  <si>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</si>
  <si>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</si>
  <si>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</si>
  <si>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</si>
  <si>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</si>
  <si>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</si>
  <si>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SHFE</t>
    <phoneticPr fontId="2" type="noConversion"/>
  </si>
  <si>
    <t>F</t>
    <phoneticPr fontId="2" type="noConversion"/>
  </si>
  <si>
    <t>1</t>
    <phoneticPr fontId="2" type="noConversion"/>
  </si>
  <si>
    <t>0</t>
    <phoneticPr fontId="2" type="noConversion"/>
  </si>
  <si>
    <t>cu1202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</si>
  <si>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</si>
  <si>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</si>
  <si>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</si>
  <si>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</si>
  <si>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</si>
  <si>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</si>
  <si>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</si>
  <si>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</si>
  <si>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</si>
  <si>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</si>
  <si>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</si>
  <si>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</si>
  <si>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</si>
  <si>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</si>
  <si>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</si>
  <si>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</si>
  <si>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</si>
  <si>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</si>
  <si>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65000</t>
    <phoneticPr fontId="2" type="noConversion"/>
  </si>
  <si>
    <t>2</t>
    <phoneticPr fontId="2" type="noConversion"/>
  </si>
  <si>
    <t xml:space="preserve">          18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</si>
  <si>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</si>
  <si>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</si>
  <si>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</si>
  <si>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</si>
  <si>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</si>
  <si>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</si>
  <si>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</si>
  <si>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</si>
  <si>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</si>
  <si>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</si>
  <si>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</si>
  <si>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</si>
  <si>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</si>
  <si>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</si>
  <si>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</si>
  <si>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</si>
  <si>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</si>
  <si>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</si>
  <si>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</si>
  <si>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</si>
  <si>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</si>
  <si>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</si>
  <si>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</si>
  <si>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</si>
  <si>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</si>
  <si>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00001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</si>
  <si>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</si>
  <si>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</si>
  <si>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</si>
  <si>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</si>
  <si>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</si>
  <si>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</si>
  <si>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</si>
  <si>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</si>
  <si>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</si>
  <si>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</si>
  <si>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</si>
  <si>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</si>
  <si>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</si>
  <si>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</si>
  <si>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</si>
  <si>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</si>
  <si>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</si>
  <si>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</si>
  <si>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</si>
  <si>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</si>
  <si>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</si>
  <si>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</si>
  <si>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</si>
  <si>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</si>
  <si>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</si>
  <si>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</si>
  <si>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</si>
  <si>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</si>
  <si>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</si>
  <si>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</si>
  <si>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</si>
  <si>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</si>
  <si>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</si>
  <si>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</si>
  <si>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</si>
  <si>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</si>
  <si>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</si>
  <si>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</si>
  <si>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</si>
  <si>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</si>
  <si>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</si>
  <si>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</si>
  <si>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</si>
  <si>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</si>
  <si>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</si>
  <si>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</si>
  <si>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</si>
  <si>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</si>
  <si>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</si>
  <si>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</si>
  <si>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</si>
  <si>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</si>
  <si>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</si>
  <si>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00001</t>
    <phoneticPr fontId="2" type="noConversion"/>
  </si>
  <si>
    <t>61441</t>
    <phoneticPr fontId="2" type="noConversion"/>
  </si>
  <si>
    <t>00001</t>
    <phoneticPr fontId="2" type="noConversion"/>
  </si>
  <si>
    <t>0</t>
    <phoneticPr fontId="2" type="noConversion"/>
  </si>
  <si>
    <t>A</t>
    <phoneticPr fontId="2" type="noConversion"/>
  </si>
  <si>
    <t>2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</si>
  <si>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</si>
  <si>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</si>
  <si>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</si>
  <si>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</si>
  <si>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['35','40','54','77','44','38','39','150','20001','59','55','1','56','116']</t>
    <phoneticPr fontId="2" type="noConversion"/>
  </si>
  <si>
    <t>6</t>
    <phoneticPr fontId="2" type="noConversion"/>
  </si>
  <si>
    <t>RefSeqNum</t>
  </si>
  <si>
    <t>RefMsgType</t>
  </si>
  <si>
    <t>SessionRejectReason</t>
  </si>
  <si>
    <t>45</t>
    <phoneticPr fontId="2" type="noConversion"/>
  </si>
  <si>
    <t>372</t>
    <phoneticPr fontId="2" type="noConversion"/>
  </si>
  <si>
    <t>1</t>
    <phoneticPr fontId="2" type="noConversion"/>
  </si>
  <si>
    <t>BusinessRejectReason</t>
  </si>
  <si>
    <t>380</t>
    <phoneticPr fontId="2" type="noConversion"/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</si>
  <si>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</si>
  <si>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</si>
  <si>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</si>
  <si>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</si>
  <si>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</si>
  <si>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</si>
  <si>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2</t>
    <phoneticPr fontId="2" type="noConversion"/>
  </si>
  <si>
    <t>3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</si>
  <si>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</si>
  <si>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</si>
  <si>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</si>
  <si>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</si>
  <si>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</si>
  <si>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</si>
  <si>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</si>
  <si>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</si>
  <si>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</si>
  <si>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</si>
  <si>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</si>
  <si>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</si>
  <si>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</si>
  <si>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</si>
  <si>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</si>
  <si>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</si>
  <si>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</si>
  <si>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</si>
  <si>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</si>
  <si>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</si>
  <si>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</si>
  <si>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</si>
  <si>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</si>
  <si>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</si>
  <si>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</si>
  <si>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</si>
  <si>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</si>
  <si>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</si>
  <si>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</si>
  <si>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</si>
  <si>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</si>
  <si>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</si>
  <si>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</si>
  <si>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</si>
  <si>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</si>
  <si>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</si>
  <si>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</si>
  <si>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</si>
  <si>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</si>
  <si>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</si>
  <si>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</si>
  <si>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</si>
  <si>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</si>
  <si>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</si>
  <si>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</si>
  <si>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</si>
  <si>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</si>
  <si>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</si>
  <si>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</si>
  <si>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</si>
  <si>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</si>
  <si>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</si>
  <si>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</si>
  <si>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</si>
  <si>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</si>
  <si>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</si>
  <si>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</si>
  <si>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</si>
  <si>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</si>
  <si>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</si>
  <si>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7</t>
    <phoneticPr fontId="2" type="noConversion"/>
  </si>
  <si>
    <t>100</t>
    <phoneticPr fontId="2" type="noConversion"/>
  </si>
  <si>
    <t>1</t>
    <phoneticPr fontId="2" type="noConversion"/>
  </si>
  <si>
    <t>1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</si>
  <si>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</si>
  <si>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</si>
  <si>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</si>
  <si>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</si>
  <si>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</si>
  <si>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</si>
  <si>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cu1202c67000</t>
    <phoneticPr fontId="2" type="noConversion"/>
  </si>
  <si>
    <t>1</t>
    <phoneticPr fontId="2" type="noConversion"/>
  </si>
  <si>
    <t>O</t>
    <phoneticPr fontId="2" type="noConversion"/>
  </si>
  <si>
    <t>88</t>
    <phoneticPr fontId="2" type="noConversion"/>
  </si>
  <si>
    <t>2</t>
    <phoneticPr fontId="2" type="noConversion"/>
  </si>
  <si>
    <t>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</si>
  <si>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</si>
  <si>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</si>
  <si>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</si>
  <si>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</si>
  <si>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</si>
  <si>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</si>
  <si>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</si>
  <si>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</si>
  <si>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</si>
  <si>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</si>
  <si>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</si>
  <si>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</si>
  <si>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</si>
  <si>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</si>
  <si>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</si>
  <si>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</si>
  <si>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</si>
  <si>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</si>
  <si>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11</t>
    <phoneticPr fontId="2" type="noConversion"/>
  </si>
  <si>
    <t>22</t>
    <phoneticPr fontId="2" type="noConversion"/>
  </si>
  <si>
    <t>0</t>
  </si>
  <si>
    <t>0</t>
    <phoneticPr fontId="2" type="noConversion"/>
  </si>
  <si>
    <t>N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</si>
  <si>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</si>
  <si>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</si>
  <si>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</si>
  <si>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</si>
  <si>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</si>
  <si>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</si>
  <si>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</si>
  <si>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</si>
  <si>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</si>
  <si>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</si>
  <si>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</si>
  <si>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</si>
  <si>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</si>
  <si>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</si>
  <si>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</si>
  <si>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</si>
  <si>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</si>
  <si>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</si>
  <si>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</si>
  <si>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</si>
  <si>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</si>
  <si>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</si>
  <si>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</si>
  <si>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</si>
  <si>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</si>
  <si>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</si>
  <si>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</si>
  <si>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</si>
  <si>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</si>
  <si>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</si>
  <si>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</si>
  <si>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</si>
  <si>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</si>
  <si>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</si>
  <si>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</si>
  <si>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</si>
  <si>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</si>
  <si>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</si>
  <si>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</si>
  <si>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</si>
  <si>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</si>
  <si>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</si>
  <si>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</si>
  <si>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</si>
  <si>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</si>
  <si>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</si>
  <si>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</si>
  <si>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</si>
  <si>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</si>
  <si>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</si>
  <si>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</si>
  <si>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</si>
  <si>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</si>
  <si>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</si>
  <si>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</si>
  <si>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</si>
  <si>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</si>
  <si>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</si>
  <si>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</si>
  <si>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</si>
  <si>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</si>
  <si>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</si>
  <si>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</si>
  <si>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</si>
  <si>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</si>
  <si>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</si>
  <si>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</si>
  <si>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</si>
  <si>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</si>
  <si>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</si>
  <si>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</si>
  <si>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</si>
  <si>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</si>
  <si>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</si>
  <si>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</si>
  <si>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</si>
  <si>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</si>
  <si>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</si>
  <si>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</si>
  <si>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</si>
  <si>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</si>
  <si>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</si>
  <si>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</si>
  <si>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</si>
  <si>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</si>
  <si>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</si>
  <si>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</si>
  <si>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</si>
  <si>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</si>
  <si>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</si>
  <si>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</si>
  <si>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</si>
  <si>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</si>
  <si>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</si>
  <si>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</si>
  <si>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</si>
  <si>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</si>
  <si>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</si>
  <si>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</si>
  <si>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</si>
  <si>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</si>
  <si>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</si>
  <si>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</si>
  <si>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</si>
  <si>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</si>
  <si>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</si>
  <si>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</si>
  <si>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</si>
  <si>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</si>
  <si>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</si>
  <si>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</si>
  <si>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</si>
  <si>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</si>
  <si>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</si>
  <si>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</si>
  <si>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</si>
  <si>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</si>
  <si>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</si>
  <si>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</si>
  <si>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</si>
  <si>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</si>
  <si>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</si>
  <si>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</si>
  <si>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</si>
  <si>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</si>
  <si>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</si>
  <si>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</si>
  <si>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</si>
  <si>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</si>
  <si>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</si>
  <si>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cu1202</t>
    <phoneticPr fontId="2" type="noConversion"/>
  </si>
  <si>
    <t>['35','372','373']</t>
    <phoneticPr fontId="2" type="noConversion"/>
  </si>
  <si>
    <t>4</t>
    <phoneticPr fontId="2" type="noConversion"/>
  </si>
  <si>
    <t>2</t>
    <phoneticPr fontId="2" type="noConversion"/>
  </si>
  <si>
    <t>2</t>
    <phoneticPr fontId="2" type="noConversion"/>
  </si>
  <si>
    <t>31</t>
    <phoneticPr fontId="2" type="noConversion"/>
  </si>
  <si>
    <t>32</t>
    <phoneticPr fontId="2" type="noConversion"/>
  </si>
  <si>
    <t>LastPx</t>
    <phoneticPr fontId="2" type="noConversion"/>
  </si>
  <si>
    <t>LastQty</t>
  </si>
  <si>
    <t>FIX.4.2</t>
    <phoneticPr fontId="2" type="noConversion"/>
  </si>
  <si>
    <t>5</t>
    <phoneticPr fontId="2" type="noConversion"/>
  </si>
  <si>
    <t>C</t>
    <phoneticPr fontId="2" type="noConversion"/>
  </si>
  <si>
    <t>8</t>
    <phoneticPr fontId="2" type="noConversion"/>
  </si>
  <si>
    <t>84100</t>
    <phoneticPr fontId="2" type="noConversion"/>
  </si>
  <si>
    <t>00001</t>
    <phoneticPr fontId="2" type="noConversion"/>
  </si>
  <si>
    <t>64100</t>
    <phoneticPr fontId="2" type="noConversion"/>
  </si>
  <si>
    <t>1</t>
    <phoneticPr fontId="2" type="noConversion"/>
  </si>
  <si>
    <t>cu1202</t>
    <phoneticPr fontId="2" type="noConversion"/>
  </si>
  <si>
    <t>3</t>
    <phoneticPr fontId="2" type="noConversion"/>
  </si>
  <si>
    <t>0</t>
    <phoneticPr fontId="2" type="noConversion"/>
  </si>
  <si>
    <t>O</t>
    <phoneticPr fontId="2" type="noConversion"/>
  </si>
  <si>
    <t>SHFE</t>
    <phoneticPr fontId="2" type="noConversion"/>
  </si>
  <si>
    <t>N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</si>
  <si>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</si>
  <si>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</si>
  <si>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</si>
  <si>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D</t>
    <phoneticPr fontId="2" type="noConversion"/>
  </si>
  <si>
    <t>00001</t>
    <phoneticPr fontId="2" type="noConversion"/>
  </si>
  <si>
    <t>4444</t>
    <phoneticPr fontId="2" type="noConversion"/>
  </si>
  <si>
    <t>2</t>
    <phoneticPr fontId="2" type="noConversion"/>
  </si>
  <si>
    <t>cu1202</t>
    <phoneticPr fontId="2" type="noConversion"/>
  </si>
  <si>
    <t>4</t>
    <phoneticPr fontId="2" type="noConversion"/>
  </si>
  <si>
    <t>135</t>
    <phoneticPr fontId="2" type="noConversion"/>
  </si>
  <si>
    <t>3</t>
    <phoneticPr fontId="2" type="noConversion"/>
  </si>
  <si>
    <t>FIX.4.2</t>
    <phoneticPr fontId="2" type="noConversion"/>
  </si>
  <si>
    <t>111</t>
    <phoneticPr fontId="2" type="noConversion"/>
  </si>
  <si>
    <t>61441</t>
    <phoneticPr fontId="2" type="noConversion"/>
  </si>
  <si>
    <t>100</t>
    <phoneticPr fontId="2" type="noConversion"/>
  </si>
  <si>
    <t>FIX.4.2</t>
    <phoneticPr fontId="2" type="noConversion"/>
  </si>
  <si>
    <t>111</t>
    <phoneticPr fontId="2" type="noConversion"/>
  </si>
  <si>
    <t>4</t>
    <phoneticPr fontId="2" type="noConversion"/>
  </si>
  <si>
    <t>4</t>
    <phoneticPr fontId="2" type="noConversion"/>
  </si>
  <si>
    <t>报单被CTP拒绝</t>
    <phoneticPr fontId="2" type="noConversion"/>
  </si>
  <si>
    <t>报单被交易所拒绝</t>
    <phoneticPr fontId="2" type="noConversion"/>
  </si>
  <si>
    <t>普通报单买开64000-两手</t>
    <phoneticPr fontId="2" type="noConversion"/>
  </si>
  <si>
    <t>报单卖65000-一手（昨仓有两手）--不填开平</t>
    <phoneticPr fontId="2" type="noConversion"/>
  </si>
  <si>
    <t>2</t>
    <phoneticPr fontId="2" type="noConversion"/>
  </si>
  <si>
    <t>6</t>
    <phoneticPr fontId="2" type="noConversion"/>
  </si>
  <si>
    <t>1</t>
    <phoneticPr fontId="2" type="noConversion"/>
  </si>
  <si>
    <t>A</t>
    <phoneticPr fontId="2" type="noConversion"/>
  </si>
  <si>
    <t>0</t>
    <phoneticPr fontId="2" type="noConversion"/>
  </si>
  <si>
    <t>6</t>
    <phoneticPr fontId="2" type="noConversion"/>
  </si>
  <si>
    <t>6</t>
    <phoneticPr fontId="2" type="noConversion"/>
  </si>
  <si>
    <t>1</t>
    <phoneticPr fontId="2" type="noConversion"/>
  </si>
  <si>
    <t>1</t>
    <phoneticPr fontId="2" type="noConversion"/>
  </si>
  <si>
    <t>65000</t>
    <phoneticPr fontId="2" type="noConversion"/>
  </si>
  <si>
    <t>1</t>
    <phoneticPr fontId="2" type="noConversion"/>
  </si>
  <si>
    <t>普通报单买开63900-两手</t>
    <phoneticPr fontId="2" type="noConversion"/>
  </si>
  <si>
    <t>7</t>
    <phoneticPr fontId="2" type="noConversion"/>
  </si>
  <si>
    <t>63900</t>
    <phoneticPr fontId="2" type="noConversion"/>
  </si>
  <si>
    <t>8</t>
    <phoneticPr fontId="2" type="noConversion"/>
  </si>
  <si>
    <t>2</t>
    <phoneticPr fontId="2" type="noConversion"/>
  </si>
  <si>
    <t>3</t>
    <phoneticPr fontId="2" type="noConversion"/>
  </si>
  <si>
    <t>3</t>
    <phoneticPr fontId="2" type="noConversion"/>
  </si>
  <si>
    <t>2</t>
    <phoneticPr fontId="2" type="noConversion"/>
  </si>
  <si>
    <t>F</t>
    <phoneticPr fontId="2" type="noConversion"/>
  </si>
  <si>
    <t>FAK报单买开没有对手方自动撤销</t>
    <phoneticPr fontId="2" type="noConversion"/>
  </si>
  <si>
    <t>FOK报单卖平昨没有对手方自动撤销</t>
    <phoneticPr fontId="2" type="noConversion"/>
  </si>
  <si>
    <t>SplitOrginRef</t>
  </si>
  <si>
    <t>20012</t>
    <phoneticPr fontId="2" type="noConversion"/>
  </si>
  <si>
    <t>['35','40','54','77','44','38','39','150','20001','59','55','1','56','116','14','11','151']</t>
    <phoneticPr fontId="2" type="noConversion"/>
  </si>
  <si>
    <t>['35','40','54','77','44','38','39','150','20001','59','55','1','56','116','14','11','151']</t>
    <phoneticPr fontId="2" type="noConversion"/>
  </si>
  <si>
    <t>['35','40','54','77','44','38','39','150','20001','59','55','1','56','116','14','11','151']</t>
  </si>
  <si>
    <t>1</t>
    <phoneticPr fontId="2" type="noConversion"/>
  </si>
  <si>
    <t>2</t>
  </si>
  <si>
    <t>3</t>
  </si>
  <si>
    <t>4</t>
  </si>
  <si>
    <t>5</t>
  </si>
  <si>
    <t>6</t>
  </si>
  <si>
    <t>7</t>
  </si>
  <si>
    <t>0</t>
    <phoneticPr fontId="2" type="noConversion"/>
  </si>
  <si>
    <t>1</t>
    <phoneticPr fontId="2" type="noConversion"/>
  </si>
  <si>
    <t>2</t>
    <phoneticPr fontId="2" type="noConversion"/>
  </si>
  <si>
    <t>2</t>
    <phoneticPr fontId="2" type="noConversion"/>
  </si>
  <si>
    <t>3</t>
    <phoneticPr fontId="2" type="noConversion"/>
  </si>
  <si>
    <t>3</t>
    <phoneticPr fontId="2" type="noConversion"/>
  </si>
  <si>
    <t>4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</si>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</sst>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22" fontId="0" fillId="0" borderId="0" xfId="0" quotePrefix="1" applyNumberFormat="1"/>
    <xf numFmtId="0" fontId="0" fillId="0" borderId="0" xfId="0" quotePrefix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5" sqref="B5"/>
    </sheetView>
  </sheetViews>
  <sheetFormatPr defaultRowHeight="14.25"/>
  <cols>
    <col min="2" max="2" width="21.375" customWidth="1"/>
    <col min="3" max="3" width="18.125" customWidth="1"/>
  </cols>
  <sheetData>
    <row r="1" spans="1:4">
      <c r="A1" t="s">
        <v>70</v>
      </c>
      <c r="B1" s="5" t="s">
        <v>68</v>
      </c>
      <c r="C1" s="5" t="s">
        <v>228</v>
      </c>
      <c r="D1" s="5" t="s">
        <v>69</v>
      </c>
    </row>
    <row r="2" spans="1:4">
      <c r="A2" s="3" t="s">
        <v>534</v>
      </c>
      <c r="B2" s="6" t="str">
        <f t="shared" ref="B2:B8" si="0">HYPERLINK("#"&amp;C2&amp;"!A"&amp;(D2+3),C2)</f>
        <v>NewOrderSingle</v>
      </c>
      <c r="C2" t="s">
        <v>229</v>
      </c>
      <c r="D2">
        <f>COUNTIF(C$2:C2,C2)</f>
        <v>1</v>
      </c>
    </row>
    <row r="3" spans="1:4">
      <c r="A3" s="3" t="s">
        <v>535</v>
      </c>
      <c r="B3" s="6" t="str">
        <f t="shared" si="0"/>
        <v>NewOrderSingle</v>
      </c>
      <c r="C3" t="s">
        <v>229</v>
      </c>
      <c r="D3">
        <f>COUNTIF(C$2:C3,C3)</f>
        <v>2</v>
      </c>
    </row>
    <row r="4" spans="1:4">
      <c r="A4" s="3" t="s">
        <v>536</v>
      </c>
      <c r="B4" s="6" t="str">
        <f t="shared" si="0"/>
        <v>NewOrderSingle</v>
      </c>
      <c r="C4" t="s">
        <v>229</v>
      </c>
      <c r="D4">
        <f>COUNTIF(C$2:C4,C4)</f>
        <v>3</v>
      </c>
    </row>
    <row r="5" spans="1:4">
      <c r="A5" s="3" t="s">
        <v>537</v>
      </c>
      <c r="B5" s="6" t="str">
        <f t="shared" si="0"/>
        <v>NewOrderSingle</v>
      </c>
      <c r="C5" t="s">
        <v>229</v>
      </c>
      <c r="D5">
        <f>COUNTIF(C$2:C5,C5)</f>
        <v>4</v>
      </c>
    </row>
    <row r="6" spans="1:4">
      <c r="A6" s="3" t="s">
        <v>538</v>
      </c>
      <c r="B6" s="6" t="str">
        <f t="shared" si="0"/>
        <v>NewOrderSingle</v>
      </c>
      <c r="C6" t="s">
        <v>229</v>
      </c>
      <c r="D6">
        <f>COUNTIF(C$2:C6,C6)</f>
        <v>5</v>
      </c>
    </row>
    <row r="7" spans="1:4">
      <c r="A7" s="3" t="s">
        <v>539</v>
      </c>
      <c r="B7" s="6" t="str">
        <f t="shared" si="0"/>
        <v>NewOrderSingle</v>
      </c>
      <c r="C7" t="s">
        <v>229</v>
      </c>
      <c r="D7">
        <f>COUNTIF(C$2:C7,C7)</f>
        <v>6</v>
      </c>
    </row>
    <row r="8" spans="1:4">
      <c r="A8" s="3" t="s">
        <v>540</v>
      </c>
      <c r="B8" s="6" t="str">
        <f t="shared" si="0"/>
        <v>NewOrderSingle</v>
      </c>
      <c r="C8" t="s">
        <v>229</v>
      </c>
      <c r="D8">
        <f>COUNTIF(C$2:C8,C8)</f>
        <v>7</v>
      </c>
    </row>
    <row r="9" spans="1:4">
      <c r="B9" s="6"/>
    </row>
    <row r="10" spans="1:4">
      <c r="B10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7" sqref="B7"/>
    </sheetView>
  </sheetViews>
  <sheetFormatPr defaultRowHeight="14.25"/>
  <cols>
    <col min="2" max="2" width="16.25" customWidth="1"/>
    <col min="3" max="3" width="14.875" customWidth="1"/>
  </cols>
  <sheetData>
    <row r="1" spans="1:4">
      <c r="A1" t="s">
        <v>70</v>
      </c>
      <c r="B1" s="5" t="s">
        <v>68</v>
      </c>
      <c r="C1" s="5" t="s">
        <v>228</v>
      </c>
      <c r="D1" s="5" t="s">
        <v>69</v>
      </c>
    </row>
    <row r="2" spans="1:4">
      <c r="A2" s="3" t="s">
        <v>541</v>
      </c>
      <c r="B2" s="6" t="str">
        <f>HYPERLINK("#"&amp;C2&amp;"!A"&amp;(D2+3),C2)</f>
        <v>OnRspUserLogin</v>
      </c>
      <c r="C2" t="s">
        <v>226</v>
      </c>
      <c r="D2">
        <f>COUNTIF(C$2:C2,C2)</f>
        <v>1</v>
      </c>
    </row>
    <row r="3" spans="1:4" ht="18.75" customHeight="1">
      <c r="A3" s="3" t="s">
        <v>542</v>
      </c>
      <c r="B3" s="6" t="str">
        <f t="shared" ref="B3:B11" si="0">HYPERLINK("#"&amp;C3&amp;"!A"&amp;(D3+3),C3)</f>
        <v>ExecutionReport</v>
      </c>
      <c r="C3" t="s">
        <v>227</v>
      </c>
      <c r="D3">
        <f>COUNTIF(C$2:C3,C3)</f>
        <v>1</v>
      </c>
    </row>
    <row r="4" spans="1:4">
      <c r="A4" s="3" t="s">
        <v>543</v>
      </c>
      <c r="B4" s="6" t="str">
        <f t="shared" si="0"/>
        <v>ExecutionReport</v>
      </c>
      <c r="C4" t="s">
        <v>227</v>
      </c>
      <c r="D4">
        <f>COUNTIF(C$2:C4,C4)</f>
        <v>2</v>
      </c>
    </row>
    <row r="5" spans="1:4">
      <c r="A5" s="3" t="s">
        <v>544</v>
      </c>
      <c r="B5" s="6" t="str">
        <f t="shared" si="0"/>
        <v>ExecutionReport</v>
      </c>
      <c r="C5" t="s">
        <v>227</v>
      </c>
      <c r="D5">
        <f>COUNTIF(C$2:C5,C5)</f>
        <v>3</v>
      </c>
    </row>
    <row r="6" spans="1:4">
      <c r="A6" s="3" t="s">
        <v>545</v>
      </c>
      <c r="B6" s="6" t="str">
        <f t="shared" si="0"/>
        <v>ExecutionReport</v>
      </c>
      <c r="C6" t="s">
        <v>227</v>
      </c>
      <c r="D6">
        <f>COUNTIF(C$2:C6,C6)</f>
        <v>4</v>
      </c>
    </row>
    <row r="7" spans="1:4">
      <c r="A7" s="3" t="s">
        <v>524</v>
      </c>
      <c r="B7" s="6" t="str">
        <f t="shared" ref="B7" si="1">HYPERLINK("#"&amp;C7&amp;"!A"&amp;(D7+3),C7)</f>
        <v>ExecutionReport</v>
      </c>
      <c r="C7" t="s">
        <v>227</v>
      </c>
      <c r="D7">
        <f>COUNTIF(C$2:C7,C7)</f>
        <v>5</v>
      </c>
    </row>
    <row r="8" spans="1:4">
      <c r="A8" s="3" t="s">
        <v>546</v>
      </c>
      <c r="B8" s="6" t="str">
        <f t="shared" si="0"/>
        <v>ExecutionReport</v>
      </c>
      <c r="C8" t="s">
        <v>227</v>
      </c>
      <c r="D8">
        <f>COUNTIF(C$2:C8,C8)</f>
        <v>6</v>
      </c>
    </row>
    <row r="9" spans="1:4">
      <c r="A9" s="3" t="s">
        <v>547</v>
      </c>
      <c r="B9" s="6" t="str">
        <f t="shared" ref="B9" si="2">HYPERLINK("#"&amp;C9&amp;"!A"&amp;(D9+3),C9)</f>
        <v>ExecutionReport</v>
      </c>
      <c r="C9" t="s">
        <v>227</v>
      </c>
      <c r="D9">
        <f>COUNTIF(C$2:C9,C9)</f>
        <v>7</v>
      </c>
    </row>
    <row r="10" spans="1:4">
      <c r="A10" s="3" t="s">
        <v>547</v>
      </c>
      <c r="B10" s="6" t="str">
        <f t="shared" si="0"/>
        <v>ExecutionReport</v>
      </c>
      <c r="C10" t="s">
        <v>227</v>
      </c>
      <c r="D10">
        <f>COUNTIF(C$2:C10,C10)</f>
        <v>8</v>
      </c>
    </row>
    <row r="11" spans="1:4">
      <c r="A11" s="3" t="s">
        <v>548</v>
      </c>
      <c r="B11" s="6" t="str">
        <f t="shared" si="0"/>
        <v>ExecutionReport</v>
      </c>
      <c r="C11" t="s">
        <v>227</v>
      </c>
      <c r="D11">
        <f>COUNTIF(C$2:C11,C11)</f>
        <v>9</v>
      </c>
    </row>
    <row r="12" spans="1:4">
      <c r="A12" s="3" t="s">
        <v>549</v>
      </c>
      <c r="B12" s="6" t="str">
        <f t="shared" ref="B12" si="3">HYPERLINK("#"&amp;C12&amp;"!A"&amp;(D12+3),C12)</f>
        <v>ExecutionReport</v>
      </c>
      <c r="C12" t="s">
        <v>227</v>
      </c>
      <c r="D12">
        <f>COUNTIF(C$2:C12,C12)</f>
        <v>10</v>
      </c>
    </row>
    <row r="13" spans="1:4">
      <c r="A13" s="3" t="s">
        <v>549</v>
      </c>
      <c r="B13" s="6" t="str">
        <f t="shared" ref="B13:B15" si="4">HYPERLINK("#"&amp;C13&amp;"!A"&amp;(D13+3),C13)</f>
        <v>ExecutionReport</v>
      </c>
      <c r="C13" t="s">
        <v>227</v>
      </c>
      <c r="D13">
        <f>COUNTIF(C$2:C13,C13)</f>
        <v>11</v>
      </c>
    </row>
    <row r="14" spans="1:4">
      <c r="A14" s="3" t="s">
        <v>550</v>
      </c>
      <c r="B14" s="6" t="str">
        <f t="shared" ref="B14" si="5">HYPERLINK("#"&amp;C14&amp;"!A"&amp;(D14+3),C14)</f>
        <v>ExecutionReport</v>
      </c>
      <c r="C14" t="s">
        <v>227</v>
      </c>
      <c r="D14">
        <f>COUNTIF(C$2:C14,C14)</f>
        <v>12</v>
      </c>
    </row>
    <row r="15" spans="1:4">
      <c r="A15" s="3" t="s">
        <v>550</v>
      </c>
      <c r="B15" s="6" t="str">
        <f t="shared" si="4"/>
        <v>ExecutionReport</v>
      </c>
      <c r="C15" t="s">
        <v>227</v>
      </c>
      <c r="D15">
        <f>COUNTIF(C$2:C15,C15)</f>
        <v>13</v>
      </c>
    </row>
    <row r="16" spans="1:4">
      <c r="A16" s="3" t="s">
        <v>551</v>
      </c>
      <c r="B16" s="6" t="str">
        <f t="shared" ref="B16:B17" si="6">HYPERLINK("#"&amp;C16&amp;"!A"&amp;(D16+3),C16)</f>
        <v>ExecutionReport</v>
      </c>
      <c r="C16" t="s">
        <v>227</v>
      </c>
      <c r="D16">
        <f>COUNTIF(C$2:C16,C16)</f>
        <v>14</v>
      </c>
    </row>
    <row r="17" spans="1:4">
      <c r="A17" s="3" t="s">
        <v>552</v>
      </c>
      <c r="B17" s="6" t="str">
        <f t="shared" si="6"/>
        <v>ExecutionReport</v>
      </c>
      <c r="C17" t="s">
        <v>227</v>
      </c>
      <c r="D17">
        <f>COUNTIF(C$2:C17,C17)</f>
        <v>15</v>
      </c>
    </row>
    <row r="18" spans="1:4">
      <c r="B18" s="6"/>
    </row>
    <row r="19" spans="1:4">
      <c r="B19" s="6"/>
    </row>
    <row r="20" spans="1:4">
      <c r="B20" s="6"/>
    </row>
    <row r="21" spans="1:4">
      <c r="B21" s="6"/>
    </row>
    <row r="22" spans="1:4">
      <c r="B22" s="6"/>
    </row>
    <row r="23" spans="1:4">
      <c r="B23" s="6"/>
    </row>
    <row r="24" spans="1:4">
      <c r="B24" s="6"/>
    </row>
    <row r="25" spans="1:4">
      <c r="B25" s="6"/>
    </row>
    <row r="26" spans="1:4">
      <c r="B26" s="6"/>
    </row>
    <row r="27" spans="1:4">
      <c r="B27" s="6"/>
    </row>
    <row r="28" spans="1:4">
      <c r="B28" s="6"/>
    </row>
    <row r="29" spans="1:4">
      <c r="B29" s="6"/>
    </row>
    <row r="30" spans="1:4">
      <c r="B30" s="6"/>
    </row>
    <row r="31" spans="1:4">
      <c r="B31" s="6"/>
    </row>
    <row r="32" spans="1:4">
      <c r="B32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3"/>
  <sheetViews>
    <sheetView workbookViewId="0">
      <selection activeCell="E8" sqref="E8"/>
    </sheetView>
  </sheetViews>
  <sheetFormatPr defaultRowHeight="14.25"/>
  <cols>
    <col min="2" max="2" width="16.5" customWidth="1"/>
    <col min="3" max="3" width="15.75" customWidth="1"/>
    <col min="6" max="6" width="17.75" customWidth="1"/>
    <col min="11" max="11" width="14.5" customWidth="1"/>
    <col min="19" max="19" width="14.375" customWidth="1"/>
  </cols>
  <sheetData>
    <row r="1" spans="1:36" ht="15.75">
      <c r="A1" t="s">
        <v>70</v>
      </c>
      <c r="B1" s="5" t="s">
        <v>68</v>
      </c>
      <c r="C1" s="5" t="s">
        <v>228</v>
      </c>
      <c r="D1" s="5" t="s">
        <v>69</v>
      </c>
      <c r="AJ1" s="1"/>
    </row>
    <row r="2" spans="1:36">
      <c r="A2">
        <v>1</v>
      </c>
      <c r="B2" s="6" t="str">
        <f t="shared" ref="B2:B7" si="0">HYPERLINK("#"&amp;C2&amp;"!A"&amp;(D2+3),C2)</f>
        <v>NewOrderSingle</v>
      </c>
      <c r="C2" t="s">
        <v>229</v>
      </c>
      <c r="D2">
        <f>COUNTIF(C$2:C2,C2)</f>
        <v>1</v>
      </c>
      <c r="E2" t="s">
        <v>503</v>
      </c>
    </row>
    <row r="3" spans="1:36">
      <c r="A3">
        <v>2</v>
      </c>
      <c r="B3" s="6" t="str">
        <f t="shared" si="0"/>
        <v>NewOrderSingle</v>
      </c>
      <c r="C3" t="s">
        <v>229</v>
      </c>
      <c r="D3">
        <f>COUNTIF(C$2:C3,C3)</f>
        <v>2</v>
      </c>
      <c r="E3" s="2" t="s">
        <v>504</v>
      </c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AA3" s="3"/>
      <c r="AB3" s="3"/>
      <c r="AC3" s="3"/>
      <c r="AD3" s="3"/>
      <c r="AE3" s="3"/>
      <c r="AF3" s="3"/>
      <c r="AG3" s="3"/>
      <c r="AH3" s="3"/>
      <c r="AI3" s="3"/>
      <c r="AJ3" s="2"/>
    </row>
    <row r="4" spans="1:36">
      <c r="A4">
        <v>3</v>
      </c>
      <c r="B4" s="6" t="str">
        <f t="shared" si="0"/>
        <v>NewOrderSingle</v>
      </c>
      <c r="C4" t="s">
        <v>229</v>
      </c>
      <c r="D4">
        <f>COUNTIF(C$2:C4,C4)</f>
        <v>3</v>
      </c>
      <c r="E4" s="2" t="s">
        <v>527</v>
      </c>
      <c r="F4" s="4"/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s="3"/>
      <c r="U4" s="3"/>
      <c r="AA4" s="3"/>
      <c r="AB4" s="3"/>
      <c r="AC4" s="3"/>
      <c r="AD4" s="3"/>
      <c r="AE4" s="3"/>
      <c r="AF4" s="3"/>
      <c r="AI4" s="3"/>
      <c r="AJ4" s="3"/>
    </row>
    <row r="5" spans="1:36">
      <c r="A5">
        <v>4</v>
      </c>
      <c r="B5" s="6" t="str">
        <f t="shared" si="0"/>
        <v>NewOrderSingle</v>
      </c>
      <c r="C5" t="s">
        <v>229</v>
      </c>
      <c r="D5">
        <f>COUNTIF(C$2:C5,C5)</f>
        <v>4</v>
      </c>
      <c r="E5" s="3" t="s">
        <v>528</v>
      </c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>
        <v>5</v>
      </c>
      <c r="B6" s="6" t="str">
        <f t="shared" si="0"/>
        <v>NewOrderSingle</v>
      </c>
      <c r="C6" t="s">
        <v>229</v>
      </c>
      <c r="D6">
        <f>COUNTIF(C$2:C6,C6)</f>
        <v>5</v>
      </c>
      <c r="E6" s="3" t="s">
        <v>505</v>
      </c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>
        <v>6</v>
      </c>
      <c r="B7" s="6" t="str">
        <f t="shared" si="0"/>
        <v>NewOrderSingle</v>
      </c>
      <c r="C7" t="s">
        <v>229</v>
      </c>
      <c r="D7">
        <f>COUNTIF(C$2:C7,C7)</f>
        <v>6</v>
      </c>
      <c r="E7" s="3" t="s">
        <v>506</v>
      </c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>
        <v>7</v>
      </c>
      <c r="B8" s="6" t="str">
        <f t="shared" ref="B8" si="1">HYPERLINK("#"&amp;C8&amp;"!A"&amp;(D8+3),C8)</f>
        <v>NewOrderSingle</v>
      </c>
      <c r="C8" t="s">
        <v>229</v>
      </c>
      <c r="D8">
        <f>COUNTIF(C$2:C8,C8)</f>
        <v>7</v>
      </c>
      <c r="E8" s="3" t="s">
        <v>518</v>
      </c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"/>
  <sheetViews>
    <sheetView workbookViewId="0">
      <selection activeCell="A7" sqref="A7:XFD7"/>
    </sheetView>
  </sheetViews>
  <sheetFormatPr defaultRowHeight="14.25"/>
  <cols>
    <col min="6" max="6" width="15.75" customWidth="1"/>
    <col min="7" max="7" width="14.62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126</v>
      </c>
      <c r="H1" t="s">
        <v>6</v>
      </c>
      <c r="I1" t="s">
        <v>32</v>
      </c>
      <c r="J1" t="s">
        <v>55</v>
      </c>
      <c r="K1" t="s">
        <v>34</v>
      </c>
      <c r="L1" t="s">
        <v>159</v>
      </c>
      <c r="M1" t="s">
        <v>54</v>
      </c>
      <c r="N1" t="s">
        <v>93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120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237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159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121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232</v>
      </c>
      <c r="H3" s="2" t="s">
        <v>22</v>
      </c>
      <c r="I3" s="3" t="s">
        <v>67</v>
      </c>
      <c r="J3" s="3" t="s">
        <v>71</v>
      </c>
      <c r="K3" s="3" t="s">
        <v>72</v>
      </c>
      <c r="L3" s="3" t="s">
        <v>235</v>
      </c>
      <c r="M3" s="3" t="s">
        <v>73</v>
      </c>
      <c r="N3" s="3" t="s">
        <v>94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3" t="s">
        <v>80</v>
      </c>
      <c r="V3" s="3" t="s">
        <v>81</v>
      </c>
      <c r="W3" s="3" t="s">
        <v>82</v>
      </c>
      <c r="X3" s="3" t="s">
        <v>83</v>
      </c>
      <c r="Y3" s="3" t="s">
        <v>84</v>
      </c>
      <c r="Z3">
        <v>432</v>
      </c>
      <c r="AA3" s="3" t="s">
        <v>85</v>
      </c>
      <c r="AB3" s="3" t="s">
        <v>119</v>
      </c>
      <c r="AC3" s="3" t="s">
        <v>118</v>
      </c>
      <c r="AD3" s="3" t="s">
        <v>233</v>
      </c>
      <c r="AE3" s="3" t="s">
        <v>234</v>
      </c>
      <c r="AF3" s="3" t="s">
        <v>86</v>
      </c>
      <c r="AG3" s="3" t="s">
        <v>87</v>
      </c>
      <c r="AH3" s="3" t="s">
        <v>88</v>
      </c>
      <c r="AI3" s="3" t="s">
        <v>236</v>
      </c>
      <c r="AJ3" s="2" t="s">
        <v>25</v>
      </c>
    </row>
    <row r="4" spans="1:36">
      <c r="A4" s="3" t="s">
        <v>26</v>
      </c>
      <c r="B4" s="3" t="s">
        <v>27</v>
      </c>
      <c r="C4" s="3" t="s">
        <v>89</v>
      </c>
      <c r="D4" s="3"/>
      <c r="E4" s="3" t="s">
        <v>31</v>
      </c>
      <c r="F4" s="4">
        <f t="shared" ref="F4:F10" ca="1" si="0">NOW()</f>
        <v>44265.404203935184</v>
      </c>
      <c r="G4" s="4"/>
      <c r="H4" s="3" t="s">
        <v>28</v>
      </c>
      <c r="I4" s="3" t="s">
        <v>31</v>
      </c>
      <c r="J4" s="3" t="s">
        <v>64</v>
      </c>
      <c r="K4" s="3" t="s">
        <v>91</v>
      </c>
      <c r="L4" s="3"/>
      <c r="M4" s="3" t="s">
        <v>64</v>
      </c>
      <c r="N4" s="3" t="s">
        <v>95</v>
      </c>
      <c r="O4" s="3" t="s">
        <v>523</v>
      </c>
      <c r="P4" s="3" t="s">
        <v>66</v>
      </c>
      <c r="Q4" s="3" t="s">
        <v>60</v>
      </c>
      <c r="R4" s="3" t="s">
        <v>67</v>
      </c>
      <c r="S4" t="s">
        <v>61</v>
      </c>
      <c r="T4" s="3" t="s">
        <v>64</v>
      </c>
      <c r="U4" s="3" t="s">
        <v>96</v>
      </c>
      <c r="V4" t="s">
        <v>472</v>
      </c>
      <c r="W4">
        <v>0</v>
      </c>
      <c r="X4">
        <v>0</v>
      </c>
      <c r="Y4" t="s">
        <v>63</v>
      </c>
      <c r="AF4" s="3" t="s">
        <v>65</v>
      </c>
      <c r="AG4" t="s">
        <v>330</v>
      </c>
      <c r="AJ4" s="3" t="s">
        <v>30</v>
      </c>
    </row>
    <row r="5" spans="1:36">
      <c r="A5" s="3" t="s">
        <v>26</v>
      </c>
      <c r="B5" s="3" t="s">
        <v>27</v>
      </c>
      <c r="C5" s="3" t="s">
        <v>90</v>
      </c>
      <c r="D5" s="3"/>
      <c r="E5" s="3" t="s">
        <v>31</v>
      </c>
      <c r="F5" s="4">
        <f t="shared" ca="1" si="0"/>
        <v>44265.404203935184</v>
      </c>
      <c r="G5" s="4"/>
      <c r="H5" s="3" t="s">
        <v>28</v>
      </c>
      <c r="I5" s="3" t="s">
        <v>31</v>
      </c>
      <c r="J5" s="3" t="s">
        <v>64</v>
      </c>
      <c r="K5" s="3" t="s">
        <v>92</v>
      </c>
      <c r="L5" s="3"/>
      <c r="M5" s="3" t="s">
        <v>64</v>
      </c>
      <c r="N5" s="3" t="s">
        <v>95</v>
      </c>
      <c r="O5" s="3" t="s">
        <v>59</v>
      </c>
      <c r="P5" s="3" t="s">
        <v>66</v>
      </c>
      <c r="Q5" s="3" t="s">
        <v>474</v>
      </c>
      <c r="R5" s="3" t="s">
        <v>59</v>
      </c>
      <c r="S5" t="s">
        <v>61</v>
      </c>
      <c r="T5" s="3" t="s">
        <v>64</v>
      </c>
      <c r="U5" s="3" t="s">
        <v>96</v>
      </c>
      <c r="V5" t="s">
        <v>62</v>
      </c>
      <c r="W5">
        <v>0</v>
      </c>
      <c r="X5">
        <v>0</v>
      </c>
      <c r="Y5" t="s">
        <v>63</v>
      </c>
      <c r="AF5" s="3" t="s">
        <v>59</v>
      </c>
      <c r="AG5" t="s">
        <v>330</v>
      </c>
      <c r="AJ5" s="3" t="s">
        <v>30</v>
      </c>
    </row>
    <row r="6" spans="1:36">
      <c r="A6" s="3" t="s">
        <v>26</v>
      </c>
      <c r="B6" s="3" t="s">
        <v>27</v>
      </c>
      <c r="C6" s="3" t="s">
        <v>89</v>
      </c>
      <c r="D6" s="3"/>
      <c r="E6" s="3" t="s">
        <v>475</v>
      </c>
      <c r="F6" s="4">
        <f t="shared" ca="1" si="0"/>
        <v>44265.404203935184</v>
      </c>
      <c r="G6" s="4"/>
      <c r="H6" s="3" t="s">
        <v>28</v>
      </c>
      <c r="I6" s="3" t="s">
        <v>31</v>
      </c>
      <c r="J6" s="3" t="s">
        <v>64</v>
      </c>
      <c r="K6" s="3" t="s">
        <v>494</v>
      </c>
      <c r="L6" s="3"/>
      <c r="M6" s="3" t="s">
        <v>64</v>
      </c>
      <c r="N6" s="3" t="s">
        <v>95</v>
      </c>
      <c r="O6" s="3" t="s">
        <v>29</v>
      </c>
      <c r="P6" s="3" t="s">
        <v>66</v>
      </c>
      <c r="Q6" s="3" t="s">
        <v>476</v>
      </c>
      <c r="R6" s="3" t="s">
        <v>477</v>
      </c>
      <c r="S6" t="s">
        <v>478</v>
      </c>
      <c r="T6" s="3" t="s">
        <v>479</v>
      </c>
      <c r="U6" s="3" t="s">
        <v>480</v>
      </c>
      <c r="V6" t="s">
        <v>481</v>
      </c>
      <c r="W6">
        <v>0</v>
      </c>
      <c r="X6">
        <v>0</v>
      </c>
      <c r="Y6" t="s">
        <v>482</v>
      </c>
      <c r="AF6" s="3" t="s">
        <v>477</v>
      </c>
      <c r="AG6" t="s">
        <v>483</v>
      </c>
      <c r="AJ6" s="3" t="s">
        <v>484</v>
      </c>
    </row>
    <row r="7" spans="1:36">
      <c r="A7" s="3" t="s">
        <v>485</v>
      </c>
      <c r="B7" s="3" t="s">
        <v>486</v>
      </c>
      <c r="C7" s="3" t="s">
        <v>487</v>
      </c>
      <c r="D7" s="3"/>
      <c r="E7" s="3" t="s">
        <v>488</v>
      </c>
      <c r="F7" s="4">
        <f t="shared" ca="1" si="0"/>
        <v>44265.404203935184</v>
      </c>
      <c r="G7" s="4"/>
      <c r="H7" s="3" t="s">
        <v>489</v>
      </c>
      <c r="I7" s="3" t="s">
        <v>488</v>
      </c>
      <c r="J7" s="3" t="s">
        <v>480</v>
      </c>
      <c r="K7" s="3" t="s">
        <v>463</v>
      </c>
      <c r="L7" s="3"/>
      <c r="M7" s="3" t="s">
        <v>480</v>
      </c>
      <c r="N7" s="3" t="s">
        <v>479</v>
      </c>
      <c r="O7" s="3" t="s">
        <v>477</v>
      </c>
      <c r="P7" s="3" t="s">
        <v>490</v>
      </c>
      <c r="Q7" s="3" t="s">
        <v>476</v>
      </c>
      <c r="R7" s="3" t="s">
        <v>522</v>
      </c>
      <c r="S7" t="s">
        <v>491</v>
      </c>
      <c r="T7" s="3" t="s">
        <v>492</v>
      </c>
      <c r="U7" s="3" t="s">
        <v>480</v>
      </c>
      <c r="V7" t="s">
        <v>100</v>
      </c>
      <c r="W7">
        <v>0</v>
      </c>
      <c r="X7">
        <v>0</v>
      </c>
      <c r="Y7" t="s">
        <v>482</v>
      </c>
      <c r="AF7" s="3" t="s">
        <v>477</v>
      </c>
      <c r="AG7" t="s">
        <v>483</v>
      </c>
      <c r="AJ7" s="3" t="s">
        <v>493</v>
      </c>
    </row>
    <row r="8" spans="1:36">
      <c r="A8" s="3" t="s">
        <v>26</v>
      </c>
      <c r="B8" s="3" t="s">
        <v>27</v>
      </c>
      <c r="C8" s="3" t="s">
        <v>89</v>
      </c>
      <c r="D8" s="3"/>
      <c r="E8" s="3" t="s">
        <v>31</v>
      </c>
      <c r="F8" s="4">
        <f t="shared" ca="1" si="0"/>
        <v>44265.404203935184</v>
      </c>
      <c r="G8" s="4"/>
      <c r="H8" s="3" t="s">
        <v>28</v>
      </c>
      <c r="I8" s="3" t="s">
        <v>31</v>
      </c>
      <c r="J8" s="3" t="s">
        <v>64</v>
      </c>
      <c r="K8" s="3" t="s">
        <v>471</v>
      </c>
      <c r="L8" s="3"/>
      <c r="M8" s="3" t="s">
        <v>64</v>
      </c>
      <c r="N8" s="3" t="s">
        <v>95</v>
      </c>
      <c r="O8" s="3" t="s">
        <v>507</v>
      </c>
      <c r="P8" s="3" t="s">
        <v>66</v>
      </c>
      <c r="Q8" s="3" t="s">
        <v>60</v>
      </c>
      <c r="R8" s="3" t="s">
        <v>67</v>
      </c>
      <c r="S8" t="s">
        <v>61</v>
      </c>
      <c r="T8" s="3" t="s">
        <v>64</v>
      </c>
      <c r="U8" s="3" t="s">
        <v>96</v>
      </c>
      <c r="V8" t="s">
        <v>62</v>
      </c>
      <c r="W8">
        <v>0</v>
      </c>
      <c r="X8">
        <v>0</v>
      </c>
      <c r="Y8" t="s">
        <v>63</v>
      </c>
      <c r="AF8" s="3" t="s">
        <v>65</v>
      </c>
      <c r="AG8" t="s">
        <v>153</v>
      </c>
      <c r="AJ8" s="3" t="s">
        <v>30</v>
      </c>
    </row>
    <row r="9" spans="1:36">
      <c r="A9" s="3" t="s">
        <v>26</v>
      </c>
      <c r="B9" s="3" t="s">
        <v>27</v>
      </c>
      <c r="C9" s="3" t="s">
        <v>89</v>
      </c>
      <c r="D9" s="3"/>
      <c r="E9" s="3" t="s">
        <v>31</v>
      </c>
      <c r="F9" s="4">
        <f t="shared" ca="1" si="0"/>
        <v>44265.404203935184</v>
      </c>
      <c r="G9" s="4"/>
      <c r="H9" s="3" t="s">
        <v>28</v>
      </c>
      <c r="I9" s="3" t="s">
        <v>31</v>
      </c>
      <c r="J9" s="3" t="s">
        <v>64</v>
      </c>
      <c r="K9" s="3" t="s">
        <v>508</v>
      </c>
      <c r="L9" s="3"/>
      <c r="M9" s="3" t="s">
        <v>64</v>
      </c>
      <c r="N9" s="3" t="s">
        <v>95</v>
      </c>
      <c r="O9" s="3" t="s">
        <v>509</v>
      </c>
      <c r="P9" s="3" t="s">
        <v>66</v>
      </c>
      <c r="Q9" s="3" t="s">
        <v>516</v>
      </c>
      <c r="R9" s="3" t="s">
        <v>507</v>
      </c>
      <c r="S9" t="s">
        <v>61</v>
      </c>
      <c r="T9" s="3" t="s">
        <v>64</v>
      </c>
      <c r="U9" s="3" t="s">
        <v>64</v>
      </c>
      <c r="W9">
        <v>0</v>
      </c>
      <c r="X9">
        <v>0</v>
      </c>
      <c r="Y9" t="s">
        <v>63</v>
      </c>
      <c r="AF9" s="3" t="s">
        <v>29</v>
      </c>
      <c r="AG9" t="s">
        <v>153</v>
      </c>
      <c r="AJ9" s="3" t="s">
        <v>30</v>
      </c>
    </row>
    <row r="10" spans="1:36">
      <c r="A10" s="3" t="s">
        <v>26</v>
      </c>
      <c r="B10" s="3" t="s">
        <v>27</v>
      </c>
      <c r="C10" s="3" t="s">
        <v>89</v>
      </c>
      <c r="D10" s="3"/>
      <c r="E10" s="3" t="s">
        <v>31</v>
      </c>
      <c r="F10" s="4">
        <f t="shared" ca="1" si="0"/>
        <v>44265.404203935184</v>
      </c>
      <c r="G10" s="4"/>
      <c r="H10" s="3" t="s">
        <v>28</v>
      </c>
      <c r="I10" s="3" t="s">
        <v>31</v>
      </c>
      <c r="J10" s="3" t="s">
        <v>64</v>
      </c>
      <c r="K10" s="3" t="s">
        <v>519</v>
      </c>
      <c r="L10" s="3"/>
      <c r="M10" s="3" t="s">
        <v>64</v>
      </c>
      <c r="N10" s="3" t="s">
        <v>95</v>
      </c>
      <c r="O10" s="3" t="s">
        <v>507</v>
      </c>
      <c r="P10" s="3" t="s">
        <v>66</v>
      </c>
      <c r="Q10" s="3" t="s">
        <v>520</v>
      </c>
      <c r="R10" s="3" t="s">
        <v>29</v>
      </c>
      <c r="S10" t="s">
        <v>61</v>
      </c>
      <c r="T10" s="3" t="s">
        <v>64</v>
      </c>
      <c r="U10" s="3" t="s">
        <v>64</v>
      </c>
      <c r="V10" t="s">
        <v>62</v>
      </c>
      <c r="W10">
        <v>0</v>
      </c>
      <c r="X10">
        <v>0</v>
      </c>
      <c r="Y10" t="s">
        <v>63</v>
      </c>
      <c r="AF10" s="3" t="s">
        <v>29</v>
      </c>
      <c r="AG10" t="s">
        <v>153</v>
      </c>
      <c r="AJ10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M4" sqref="M4"/>
    </sheetView>
  </sheetViews>
  <sheetFormatPr defaultRowHeight="14.25"/>
  <cols>
    <col min="6" max="6" width="16.125" customWidth="1"/>
    <col min="16" max="16" width="14.87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98</v>
      </c>
      <c r="K1" t="s">
        <v>40</v>
      </c>
      <c r="L1" t="s">
        <v>97</v>
      </c>
      <c r="M1" t="s">
        <v>37</v>
      </c>
      <c r="N1" t="s">
        <v>33</v>
      </c>
      <c r="O1" t="s">
        <v>48</v>
      </c>
      <c r="P1" t="s">
        <v>45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41</v>
      </c>
      <c r="L2" t="s">
        <v>10</v>
      </c>
      <c r="M2" t="s">
        <v>36</v>
      </c>
      <c r="N2" t="s">
        <v>10</v>
      </c>
      <c r="O2" t="s">
        <v>12</v>
      </c>
      <c r="P2" t="s">
        <v>46</v>
      </c>
      <c r="Q2" t="s">
        <v>13</v>
      </c>
      <c r="R2" t="s">
        <v>13</v>
      </c>
    </row>
    <row r="3" spans="1:18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104</v>
      </c>
      <c r="I3" s="3" t="s">
        <v>105</v>
      </c>
      <c r="J3" s="3" t="s">
        <v>106</v>
      </c>
      <c r="K3" s="3" t="s">
        <v>107</v>
      </c>
      <c r="L3" s="3" t="s">
        <v>108</v>
      </c>
      <c r="M3" s="3" t="s">
        <v>109</v>
      </c>
      <c r="N3" s="3" t="s">
        <v>110</v>
      </c>
      <c r="O3" s="3" t="s">
        <v>111</v>
      </c>
      <c r="P3" s="3" t="s">
        <v>112</v>
      </c>
      <c r="Q3" s="3" t="s">
        <v>113</v>
      </c>
      <c r="R3" s="3" t="s">
        <v>114</v>
      </c>
    </row>
    <row r="4" spans="1:18">
      <c r="A4" s="3" t="s">
        <v>26</v>
      </c>
      <c r="B4" s="3" t="s">
        <v>27</v>
      </c>
      <c r="C4" s="3" t="s">
        <v>100</v>
      </c>
      <c r="D4" s="3"/>
      <c r="E4" s="3" t="s">
        <v>31</v>
      </c>
      <c r="F4" s="4">
        <f ca="1">NOW()</f>
        <v>44265.404203935184</v>
      </c>
      <c r="G4" s="3" t="s">
        <v>28</v>
      </c>
      <c r="H4" s="3" t="s">
        <v>31</v>
      </c>
      <c r="I4" s="3" t="s">
        <v>326</v>
      </c>
      <c r="J4" s="3" t="s">
        <v>115</v>
      </c>
      <c r="K4" s="3" t="s">
        <v>101</v>
      </c>
      <c r="L4" s="3" t="s">
        <v>101</v>
      </c>
      <c r="M4" s="3" t="s">
        <v>101</v>
      </c>
      <c r="N4" t="s">
        <v>103</v>
      </c>
      <c r="P4" t="s">
        <v>99</v>
      </c>
      <c r="Q4" s="3" t="s">
        <v>102</v>
      </c>
      <c r="R4" s="3" t="s">
        <v>102</v>
      </c>
    </row>
    <row r="5" spans="1:18">
      <c r="A5" s="3" t="s">
        <v>26</v>
      </c>
      <c r="B5" s="3" t="s">
        <v>27</v>
      </c>
      <c r="C5" s="3" t="s">
        <v>100</v>
      </c>
      <c r="D5" s="3"/>
      <c r="E5" s="3" t="s">
        <v>31</v>
      </c>
      <c r="F5" s="4">
        <f ca="1">NOW()</f>
        <v>44265.404203935184</v>
      </c>
      <c r="G5" s="3" t="s">
        <v>28</v>
      </c>
      <c r="H5" s="3" t="s">
        <v>31</v>
      </c>
      <c r="I5" s="3" t="s">
        <v>327</v>
      </c>
      <c r="J5" s="3" t="s">
        <v>116</v>
      </c>
      <c r="K5" s="3" t="s">
        <v>101</v>
      </c>
      <c r="L5" s="3" t="s">
        <v>230</v>
      </c>
      <c r="M5" s="3" t="s">
        <v>101</v>
      </c>
      <c r="N5" t="s">
        <v>103</v>
      </c>
      <c r="P5" t="s">
        <v>99</v>
      </c>
      <c r="Q5" s="3" t="s">
        <v>102</v>
      </c>
      <c r="R5" s="3" t="s">
        <v>102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A4" sqref="A4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93</v>
      </c>
      <c r="K1" t="s">
        <v>98</v>
      </c>
      <c r="L1" t="s">
        <v>40</v>
      </c>
      <c r="M1" t="s">
        <v>97</v>
      </c>
      <c r="N1" t="s">
        <v>39</v>
      </c>
      <c r="O1" t="s">
        <v>37</v>
      </c>
      <c r="P1" t="s">
        <v>33</v>
      </c>
      <c r="Q1" t="s">
        <v>48</v>
      </c>
      <c r="R1" t="s">
        <v>38</v>
      </c>
      <c r="S1" t="s">
        <v>45</v>
      </c>
      <c r="T1" t="s">
        <v>120</v>
      </c>
      <c r="U1" t="s">
        <v>49</v>
      </c>
      <c r="V1" t="s">
        <v>51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36</v>
      </c>
      <c r="K2" t="s">
        <v>10</v>
      </c>
      <c r="L2" t="s">
        <v>41</v>
      </c>
      <c r="M2" t="s">
        <v>10</v>
      </c>
      <c r="N2" t="s">
        <v>39</v>
      </c>
      <c r="O2" t="s">
        <v>36</v>
      </c>
      <c r="P2" t="s">
        <v>10</v>
      </c>
      <c r="Q2" t="s">
        <v>12</v>
      </c>
      <c r="R2" t="s">
        <v>36</v>
      </c>
      <c r="S2" t="s">
        <v>46</v>
      </c>
      <c r="T2" t="s">
        <v>121</v>
      </c>
      <c r="U2" t="s">
        <v>50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104</v>
      </c>
      <c r="I3" s="3" t="s">
        <v>105</v>
      </c>
      <c r="J3" s="3" t="s">
        <v>94</v>
      </c>
      <c r="K3" s="3" t="s">
        <v>106</v>
      </c>
      <c r="L3" s="3" t="s">
        <v>107</v>
      </c>
      <c r="M3" s="3" t="s">
        <v>108</v>
      </c>
      <c r="N3" s="3" t="s">
        <v>76</v>
      </c>
      <c r="O3" s="3" t="s">
        <v>109</v>
      </c>
      <c r="P3" s="3" t="s">
        <v>110</v>
      </c>
      <c r="Q3" s="3" t="s">
        <v>111</v>
      </c>
      <c r="R3" s="3" t="s">
        <v>81</v>
      </c>
      <c r="S3" s="3" t="s">
        <v>112</v>
      </c>
      <c r="T3">
        <v>432</v>
      </c>
      <c r="U3" s="3" t="s">
        <v>85</v>
      </c>
      <c r="V3" s="3" t="s">
        <v>119</v>
      </c>
      <c r="W3" s="3" t="s">
        <v>113</v>
      </c>
      <c r="X3" s="3" t="s">
        <v>114</v>
      </c>
    </row>
    <row r="4" spans="1:24">
      <c r="A4" s="3" t="s">
        <v>26</v>
      </c>
      <c r="B4" s="3" t="s">
        <v>27</v>
      </c>
      <c r="C4" s="3" t="s">
        <v>117</v>
      </c>
      <c r="D4" s="3"/>
      <c r="E4" s="3" t="s">
        <v>31</v>
      </c>
      <c r="F4" s="4">
        <f ca="1">NOW()</f>
        <v>44265.404203935184</v>
      </c>
      <c r="G4" s="3" t="s">
        <v>28</v>
      </c>
      <c r="H4" s="3" t="s">
        <v>31</v>
      </c>
      <c r="I4" s="3" t="s">
        <v>67</v>
      </c>
      <c r="J4" s="3" t="s">
        <v>95</v>
      </c>
      <c r="K4" s="3" t="s">
        <v>124</v>
      </c>
      <c r="L4" s="3" t="s">
        <v>123</v>
      </c>
      <c r="M4" s="3" t="s">
        <v>231</v>
      </c>
      <c r="N4" s="3" t="s">
        <v>122</v>
      </c>
      <c r="O4" s="3" t="s">
        <v>67</v>
      </c>
      <c r="P4" t="s">
        <v>103</v>
      </c>
      <c r="R4" t="s">
        <v>62</v>
      </c>
      <c r="S4" t="s">
        <v>99</v>
      </c>
      <c r="W4" s="3" t="s">
        <v>102</v>
      </c>
      <c r="X4" s="3" t="s">
        <v>102</v>
      </c>
    </row>
    <row r="5" spans="1:24">
      <c r="J5" s="3"/>
      <c r="N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8"/>
  <sheetViews>
    <sheetView workbookViewId="0">
      <selection activeCell="M32" sqref="M32"/>
    </sheetView>
  </sheetViews>
  <sheetFormatPr defaultRowHeight="14.25"/>
  <cols>
    <col min="2" max="2" width="11.125" customWidth="1"/>
    <col min="6" max="6" width="15.125" customWidth="1"/>
    <col min="12" max="12" width="14" customWidth="1"/>
    <col min="45" max="45" width="9" customWidth="1"/>
  </cols>
  <sheetData>
    <row r="1" spans="1:47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158</v>
      </c>
      <c r="N1" t="s">
        <v>159</v>
      </c>
      <c r="O1" t="s">
        <v>160</v>
      </c>
      <c r="P1" t="s">
        <v>54</v>
      </c>
      <c r="Q1" t="s">
        <v>98</v>
      </c>
      <c r="R1" t="s">
        <v>40</v>
      </c>
      <c r="S1" t="s">
        <v>161</v>
      </c>
      <c r="T1" t="s">
        <v>35</v>
      </c>
      <c r="U1" t="s">
        <v>39</v>
      </c>
      <c r="V1" t="s">
        <v>37</v>
      </c>
      <c r="W1" t="s">
        <v>33</v>
      </c>
      <c r="X1" t="s">
        <v>162</v>
      </c>
      <c r="Y1" t="s">
        <v>42</v>
      </c>
      <c r="Z1" t="s">
        <v>48</v>
      </c>
      <c r="AA1" t="s">
        <v>163</v>
      </c>
      <c r="AB1" t="s">
        <v>38</v>
      </c>
      <c r="AC1" t="s">
        <v>44</v>
      </c>
      <c r="AD1" t="s">
        <v>43</v>
      </c>
      <c r="AE1" t="s">
        <v>164</v>
      </c>
      <c r="AF1" t="s">
        <v>165</v>
      </c>
      <c r="AG1" t="s">
        <v>166</v>
      </c>
      <c r="AH1" t="s">
        <v>167</v>
      </c>
      <c r="AI1" t="s">
        <v>45</v>
      </c>
      <c r="AJ1" t="s">
        <v>120</v>
      </c>
      <c r="AK1" t="s">
        <v>168</v>
      </c>
      <c r="AL1" t="s">
        <v>49</v>
      </c>
      <c r="AM1" t="s">
        <v>56</v>
      </c>
      <c r="AN1" t="s">
        <v>53</v>
      </c>
      <c r="AO1" t="s">
        <v>15</v>
      </c>
      <c r="AP1" t="s">
        <v>16</v>
      </c>
      <c r="AQ1" t="s">
        <v>58</v>
      </c>
      <c r="AR1" t="s">
        <v>237</v>
      </c>
      <c r="AS1" t="s">
        <v>296</v>
      </c>
      <c r="AT1" s="1" t="s">
        <v>17</v>
      </c>
      <c r="AU1" t="s">
        <v>169</v>
      </c>
    </row>
    <row r="2" spans="1:4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159</v>
      </c>
      <c r="O2" t="s">
        <v>10</v>
      </c>
      <c r="P2" t="s">
        <v>36</v>
      </c>
      <c r="Q2" t="s">
        <v>10</v>
      </c>
      <c r="R2" t="s">
        <v>41</v>
      </c>
      <c r="S2" t="s">
        <v>36</v>
      </c>
      <c r="T2" t="s">
        <v>36</v>
      </c>
      <c r="U2" t="s">
        <v>39</v>
      </c>
      <c r="V2" t="s">
        <v>36</v>
      </c>
      <c r="W2" t="s">
        <v>10</v>
      </c>
      <c r="X2" t="s">
        <v>10</v>
      </c>
      <c r="Y2" t="s">
        <v>36</v>
      </c>
      <c r="Z2" t="s">
        <v>47</v>
      </c>
      <c r="AA2" t="s">
        <v>121</v>
      </c>
      <c r="AB2" t="s">
        <v>36</v>
      </c>
      <c r="AC2" t="s">
        <v>39</v>
      </c>
      <c r="AD2" t="s">
        <v>41</v>
      </c>
      <c r="AE2" t="s">
        <v>36</v>
      </c>
      <c r="AF2" t="s">
        <v>41</v>
      </c>
      <c r="AG2" t="s">
        <v>47</v>
      </c>
      <c r="AH2" t="s">
        <v>10</v>
      </c>
      <c r="AI2" t="s">
        <v>46</v>
      </c>
      <c r="AJ2" t="s">
        <v>121</v>
      </c>
      <c r="AK2" t="s">
        <v>36</v>
      </c>
      <c r="AL2" t="s">
        <v>50</v>
      </c>
      <c r="AM2" t="s">
        <v>57</v>
      </c>
      <c r="AN2" t="s">
        <v>14</v>
      </c>
      <c r="AO2" t="s">
        <v>13</v>
      </c>
      <c r="AP2" t="s">
        <v>13</v>
      </c>
      <c r="AQ2" t="s">
        <v>57</v>
      </c>
      <c r="AR2" t="s">
        <v>57</v>
      </c>
      <c r="AS2" t="s">
        <v>57</v>
      </c>
      <c r="AT2" t="s">
        <v>10</v>
      </c>
      <c r="AU2" t="s">
        <v>170</v>
      </c>
    </row>
    <row r="3" spans="1:47">
      <c r="A3" s="2" t="s">
        <v>171</v>
      </c>
      <c r="B3" s="2" t="s">
        <v>172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173</v>
      </c>
      <c r="K3" s="3" t="s">
        <v>174</v>
      </c>
      <c r="L3" s="3" t="s">
        <v>175</v>
      </c>
      <c r="M3" s="3" t="s">
        <v>176</v>
      </c>
      <c r="N3" s="3" t="s">
        <v>177</v>
      </c>
      <c r="O3" s="3" t="s">
        <v>178</v>
      </c>
      <c r="P3" s="3" t="s">
        <v>179</v>
      </c>
      <c r="Q3" s="3" t="s">
        <v>180</v>
      </c>
      <c r="R3" s="3" t="s">
        <v>181</v>
      </c>
      <c r="S3" s="3" t="s">
        <v>182</v>
      </c>
      <c r="T3" s="3" t="s">
        <v>183</v>
      </c>
      <c r="U3" s="3" t="s">
        <v>184</v>
      </c>
      <c r="V3" s="3" t="s">
        <v>185</v>
      </c>
      <c r="W3" s="3" t="s">
        <v>186</v>
      </c>
      <c r="X3" s="3" t="s">
        <v>187</v>
      </c>
      <c r="Y3" s="3" t="s">
        <v>188</v>
      </c>
      <c r="Z3" s="3" t="s">
        <v>152</v>
      </c>
      <c r="AA3" s="3" t="s">
        <v>189</v>
      </c>
      <c r="AB3" s="3" t="s">
        <v>190</v>
      </c>
      <c r="AC3" s="3" t="s">
        <v>191</v>
      </c>
      <c r="AD3" s="3" t="s">
        <v>192</v>
      </c>
      <c r="AE3" s="3" t="s">
        <v>193</v>
      </c>
      <c r="AF3" s="3" t="s">
        <v>194</v>
      </c>
      <c r="AG3" s="3" t="s">
        <v>195</v>
      </c>
      <c r="AH3" s="3" t="s">
        <v>196</v>
      </c>
      <c r="AI3" s="3" t="s">
        <v>197</v>
      </c>
      <c r="AJ3" s="3" t="s">
        <v>198</v>
      </c>
      <c r="AK3" s="3" t="s">
        <v>199</v>
      </c>
      <c r="AL3" s="3" t="s">
        <v>200</v>
      </c>
      <c r="AM3" s="3" t="s">
        <v>201</v>
      </c>
      <c r="AN3" s="3" t="s">
        <v>202</v>
      </c>
      <c r="AO3" s="3" t="s">
        <v>142</v>
      </c>
      <c r="AP3" s="3" t="s">
        <v>143</v>
      </c>
      <c r="AQ3" s="3" t="s">
        <v>203</v>
      </c>
      <c r="AR3" s="3" t="s">
        <v>236</v>
      </c>
      <c r="AS3" s="3" t="s">
        <v>297</v>
      </c>
      <c r="AT3" s="2" t="s">
        <v>144</v>
      </c>
      <c r="AU3" s="7" t="s">
        <v>130</v>
      </c>
    </row>
    <row r="4" spans="1:47">
      <c r="A4" s="3" t="s">
        <v>146</v>
      </c>
      <c r="B4" s="3" t="s">
        <v>147</v>
      </c>
      <c r="C4" s="3" t="s">
        <v>171</v>
      </c>
      <c r="D4" s="3" t="s">
        <v>173</v>
      </c>
      <c r="E4" s="3" t="s">
        <v>149</v>
      </c>
      <c r="F4" s="4">
        <f t="shared" ref="F4:F5" ca="1" si="0">NOW()</f>
        <v>44265.404203935184</v>
      </c>
      <c r="G4" s="3" t="s">
        <v>206</v>
      </c>
      <c r="H4" s="3" t="s">
        <v>173</v>
      </c>
      <c r="I4" s="3" t="s">
        <v>205</v>
      </c>
      <c r="J4" s="3" t="s">
        <v>206</v>
      </c>
      <c r="K4" s="3" t="s">
        <v>207</v>
      </c>
      <c r="L4" s="3" t="s">
        <v>292</v>
      </c>
      <c r="M4" s="3" t="s">
        <v>207</v>
      </c>
      <c r="O4" s="3" t="s">
        <v>207</v>
      </c>
      <c r="P4" s="3" t="s">
        <v>207</v>
      </c>
      <c r="Q4" s="3" t="s">
        <v>207</v>
      </c>
      <c r="R4" s="3" t="s">
        <v>173</v>
      </c>
      <c r="S4" s="3" t="s">
        <v>208</v>
      </c>
      <c r="T4" s="3" t="s">
        <v>306</v>
      </c>
      <c r="U4" s="3" t="s">
        <v>305</v>
      </c>
      <c r="V4" s="3" t="s">
        <v>303</v>
      </c>
      <c r="W4" t="s">
        <v>302</v>
      </c>
      <c r="Y4" s="3" t="s">
        <v>307</v>
      </c>
      <c r="AB4" t="s">
        <v>304</v>
      </c>
      <c r="AE4" s="3" t="s">
        <v>208</v>
      </c>
      <c r="AF4" s="3" t="s">
        <v>294</v>
      </c>
      <c r="AI4" t="s">
        <v>213</v>
      </c>
      <c r="AK4" s="3" t="s">
        <v>173</v>
      </c>
      <c r="AM4" s="3" t="s">
        <v>173</v>
      </c>
      <c r="AO4" s="3" t="s">
        <v>154</v>
      </c>
      <c r="AR4" s="3"/>
      <c r="AT4" s="3" t="s">
        <v>156</v>
      </c>
      <c r="AU4" s="3" t="s">
        <v>214</v>
      </c>
    </row>
    <row r="5" spans="1:47">
      <c r="A5" s="3" t="s">
        <v>146</v>
      </c>
      <c r="B5" s="3" t="s">
        <v>147</v>
      </c>
      <c r="C5" s="3" t="s">
        <v>171</v>
      </c>
      <c r="D5" s="3" t="s">
        <v>173</v>
      </c>
      <c r="E5" s="3" t="s">
        <v>149</v>
      </c>
      <c r="F5" s="4">
        <f t="shared" ca="1" si="0"/>
        <v>44265.404203935184</v>
      </c>
      <c r="G5" s="3" t="s">
        <v>206</v>
      </c>
      <c r="H5" s="3" t="s">
        <v>173</v>
      </c>
      <c r="I5" s="3" t="s">
        <v>205</v>
      </c>
      <c r="J5" s="3" t="s">
        <v>206</v>
      </c>
      <c r="K5" s="3" t="s">
        <v>207</v>
      </c>
      <c r="L5" s="3" t="s">
        <v>292</v>
      </c>
      <c r="M5" s="3" t="s">
        <v>207</v>
      </c>
      <c r="O5" s="3" t="s">
        <v>207</v>
      </c>
      <c r="P5" s="3" t="s">
        <v>207</v>
      </c>
      <c r="Q5" s="3" t="s">
        <v>207</v>
      </c>
      <c r="R5" s="3" t="s">
        <v>173</v>
      </c>
      <c r="S5" s="3" t="s">
        <v>207</v>
      </c>
      <c r="T5" s="3" t="s">
        <v>306</v>
      </c>
      <c r="U5" s="3" t="s">
        <v>305</v>
      </c>
      <c r="V5" s="3" t="s">
        <v>303</v>
      </c>
      <c r="W5" t="s">
        <v>302</v>
      </c>
      <c r="Y5" s="3" t="s">
        <v>307</v>
      </c>
      <c r="AB5" t="s">
        <v>304</v>
      </c>
      <c r="AE5" s="3" t="s">
        <v>207</v>
      </c>
      <c r="AF5" s="3" t="s">
        <v>295</v>
      </c>
      <c r="AI5" t="s">
        <v>213</v>
      </c>
      <c r="AK5" s="3" t="s">
        <v>173</v>
      </c>
      <c r="AM5" s="3" t="s">
        <v>173</v>
      </c>
      <c r="AO5" s="3" t="s">
        <v>154</v>
      </c>
      <c r="AR5" s="3"/>
      <c r="AT5" s="3" t="s">
        <v>156</v>
      </c>
      <c r="AU5" s="3" t="s">
        <v>214</v>
      </c>
    </row>
    <row r="6" spans="1:47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  <c r="U6" s="3"/>
      <c r="V6" s="3"/>
      <c r="Y6" s="3"/>
      <c r="AE6" s="3"/>
      <c r="AF6" s="3"/>
      <c r="AK6" s="3"/>
      <c r="AM6" s="3"/>
      <c r="AO6" s="3"/>
      <c r="AT6" s="3"/>
      <c r="AU6" s="3"/>
    </row>
    <row r="7" spans="1:47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O7" s="3"/>
      <c r="P7" s="3"/>
      <c r="Q7" s="3"/>
      <c r="R7" s="3"/>
      <c r="S7" s="3"/>
      <c r="T7" s="3"/>
      <c r="U7" s="3"/>
      <c r="V7" s="3"/>
      <c r="Y7" s="3"/>
      <c r="AE7" s="3"/>
      <c r="AF7" s="3"/>
      <c r="AK7" s="3"/>
      <c r="AM7" s="3"/>
      <c r="AO7" s="3"/>
      <c r="AT7" s="3"/>
      <c r="AU7" s="3"/>
    </row>
    <row r="10" spans="1:47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Y10" s="3"/>
      <c r="AE10" s="3"/>
      <c r="AF10" s="3"/>
      <c r="AK10" s="3"/>
      <c r="AM10" s="3"/>
      <c r="AO10" s="3"/>
      <c r="AR10" s="3"/>
      <c r="AS10" s="3"/>
    </row>
    <row r="11" spans="1:47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O11" s="3"/>
      <c r="P11" s="3"/>
      <c r="Q11" s="3"/>
      <c r="R11" s="3"/>
      <c r="S11" s="3"/>
      <c r="T11" s="3"/>
      <c r="U11" s="3"/>
      <c r="V11" s="3"/>
      <c r="Y11" s="3"/>
      <c r="AE11" s="3"/>
      <c r="AF11" s="3"/>
      <c r="AK11" s="3"/>
      <c r="AM11" s="3"/>
      <c r="AO11" s="3"/>
      <c r="AR11" s="3"/>
      <c r="AS11" s="3"/>
    </row>
    <row r="12" spans="1:47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O12" s="3"/>
      <c r="P12" s="3"/>
      <c r="Q12" s="3"/>
      <c r="R12" s="3"/>
      <c r="S12" s="3"/>
      <c r="T12" s="3"/>
      <c r="U12" s="3"/>
      <c r="V12" s="3"/>
      <c r="Y12" s="3"/>
      <c r="AE12" s="3"/>
      <c r="AF12" s="3"/>
      <c r="AK12" s="3"/>
      <c r="AM12" s="3"/>
      <c r="AO12" s="3"/>
      <c r="AR12" s="3"/>
      <c r="AS12" s="3"/>
    </row>
    <row r="13" spans="1:47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Y13" s="3"/>
      <c r="AE13" s="3"/>
      <c r="AF13" s="3"/>
      <c r="AK13" s="3"/>
      <c r="AM13" s="3"/>
      <c r="AO13" s="3"/>
      <c r="AR13" s="3"/>
      <c r="AS13" s="3"/>
    </row>
    <row r="14" spans="1:47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Y14" s="3"/>
      <c r="AE14" s="3"/>
      <c r="AF14" s="3"/>
      <c r="AK14" s="3"/>
      <c r="AM14" s="3"/>
      <c r="AO14" s="3"/>
      <c r="AR14" s="3"/>
      <c r="AS14" s="3"/>
    </row>
    <row r="15" spans="1:47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Y15" s="3"/>
      <c r="AE15" s="3"/>
      <c r="AF15" s="3"/>
      <c r="AK15" s="3"/>
      <c r="AM15" s="3"/>
      <c r="AO15" s="3"/>
      <c r="AR15" s="3"/>
      <c r="AS15" s="3"/>
    </row>
    <row r="16" spans="1:47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Y16" s="3"/>
      <c r="AE16" s="3"/>
      <c r="AF16" s="3"/>
      <c r="AK16" s="3"/>
      <c r="AM16" s="3"/>
      <c r="AO16" s="3"/>
      <c r="AR16" s="3"/>
      <c r="AS16" s="3"/>
    </row>
    <row r="17" spans="1:45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Y17" s="3"/>
      <c r="AE17" s="3"/>
      <c r="AF17" s="3"/>
      <c r="AK17" s="3"/>
      <c r="AM17" s="3"/>
      <c r="AO17" s="3"/>
      <c r="AR17" s="3"/>
      <c r="AS17" s="3"/>
    </row>
    <row r="18" spans="1:45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Y18" s="3"/>
      <c r="AE18" s="3"/>
      <c r="AF18" s="3"/>
      <c r="AK18" s="3"/>
      <c r="AM18" s="3"/>
      <c r="AO18" s="3"/>
      <c r="AR18" s="3"/>
      <c r="AS18" s="3"/>
    </row>
    <row r="19" spans="1:45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Y19" s="3"/>
      <c r="AE19" s="3"/>
      <c r="AF19" s="3"/>
      <c r="AK19" s="3"/>
      <c r="AM19" s="3"/>
      <c r="AO19" s="3"/>
      <c r="AR19" s="3"/>
      <c r="AS19" s="3"/>
    </row>
    <row r="20" spans="1:45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Y20" s="3"/>
      <c r="AE20" s="3"/>
      <c r="AF20" s="3"/>
      <c r="AK20" s="3"/>
      <c r="AM20" s="3"/>
      <c r="AO20" s="3"/>
      <c r="AR20" s="3"/>
      <c r="AS20" s="3"/>
    </row>
    <row r="21" spans="1:4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E21" s="3"/>
      <c r="AF21" s="3"/>
      <c r="AK21" s="3"/>
      <c r="AM21" s="3"/>
      <c r="AO21" s="3"/>
      <c r="AR21" s="3"/>
      <c r="AS21" s="3"/>
    </row>
    <row r="22" spans="1:45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Y22" s="3"/>
      <c r="AE22" s="3"/>
      <c r="AF22" s="3"/>
      <c r="AK22" s="3"/>
      <c r="AM22" s="3"/>
      <c r="AO22" s="3"/>
      <c r="AR22" s="3"/>
      <c r="AS22" s="3"/>
    </row>
    <row r="23" spans="1:45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E23" s="3"/>
      <c r="AF23" s="3"/>
      <c r="AK23" s="3"/>
      <c r="AM23" s="3"/>
      <c r="AO23" s="3"/>
      <c r="AR23" s="3"/>
      <c r="AS23" s="3"/>
    </row>
    <row r="24" spans="1:45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E24" s="3"/>
      <c r="AF24" s="3"/>
      <c r="AK24" s="3"/>
      <c r="AM24" s="3"/>
      <c r="AO24" s="3"/>
      <c r="AR24" s="3"/>
      <c r="AS24" s="3"/>
    </row>
    <row r="25" spans="1:4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E25" s="3"/>
      <c r="AF25" s="3"/>
      <c r="AK25" s="3"/>
      <c r="AM25" s="3"/>
      <c r="AO25" s="3"/>
      <c r="AR25" s="3"/>
      <c r="AS25" s="3"/>
    </row>
    <row r="26" spans="1:45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Y26" s="3"/>
      <c r="AE26" s="3"/>
      <c r="AF26" s="3"/>
      <c r="AK26" s="3"/>
      <c r="AM26" s="3"/>
      <c r="AO26" s="3"/>
      <c r="AR26" s="3"/>
      <c r="AS26" s="3"/>
    </row>
    <row r="27" spans="1:45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Y27" s="3"/>
      <c r="AE27" s="3"/>
      <c r="AF27" s="3"/>
      <c r="AK27" s="3"/>
      <c r="AM27" s="3"/>
      <c r="AO27" s="3"/>
      <c r="AR27" s="3"/>
      <c r="AS27" s="3"/>
    </row>
    <row r="28" spans="1:45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Y28" s="3"/>
      <c r="AE28" s="3"/>
      <c r="AF28" s="3"/>
      <c r="AK28" s="3"/>
      <c r="AM28" s="3"/>
      <c r="AO28" s="3"/>
      <c r="AR28" s="3"/>
      <c r="AS28" s="3"/>
    </row>
    <row r="29" spans="1:45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Y29" s="3"/>
      <c r="AE29" s="3"/>
      <c r="AF29" s="3"/>
      <c r="AK29" s="3"/>
      <c r="AM29" s="3"/>
      <c r="AO29" s="3"/>
      <c r="AR29" s="3"/>
      <c r="AS29" s="3"/>
    </row>
    <row r="30" spans="1:45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Y30" s="3"/>
      <c r="AE30" s="3"/>
      <c r="AF30" s="3"/>
      <c r="AK30" s="3"/>
      <c r="AM30" s="3"/>
      <c r="AO30" s="3"/>
      <c r="AR30" s="3"/>
      <c r="AS30" s="3"/>
    </row>
    <row r="31" spans="1:45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Y31" s="3"/>
      <c r="AE31" s="3"/>
      <c r="AF31" s="3"/>
      <c r="AK31" s="3"/>
      <c r="AM31" s="3"/>
      <c r="AO31" s="3"/>
      <c r="AR31" s="3"/>
      <c r="AS31" s="3"/>
    </row>
    <row r="32" spans="1:45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Y32" s="3"/>
      <c r="AE32" s="3"/>
      <c r="AF32" s="3"/>
      <c r="AK32" s="3"/>
      <c r="AM32" s="3"/>
      <c r="AO32" s="3"/>
      <c r="AR32" s="3"/>
      <c r="AS32" s="3"/>
    </row>
    <row r="33" spans="1:45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Y33" s="3"/>
      <c r="AE33" s="3"/>
      <c r="AF33" s="3"/>
      <c r="AK33" s="3"/>
      <c r="AM33" s="3"/>
      <c r="AO33" s="3"/>
      <c r="AR33" s="3"/>
      <c r="AS33" s="3"/>
    </row>
    <row r="34" spans="1:45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Y34" s="3"/>
      <c r="AE34" s="3"/>
      <c r="AF34" s="3"/>
      <c r="AK34" s="3"/>
      <c r="AM34" s="3"/>
      <c r="AO34" s="3"/>
      <c r="AR34" s="3"/>
      <c r="AS34" s="3"/>
    </row>
    <row r="35" spans="1:45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Y35" s="3"/>
      <c r="AE35" s="3"/>
      <c r="AF35" s="3"/>
      <c r="AK35" s="3"/>
      <c r="AM35" s="3"/>
      <c r="AO35" s="3"/>
      <c r="AR35" s="3"/>
      <c r="AS35" s="3"/>
    </row>
    <row r="36" spans="1:45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Y36" s="3"/>
      <c r="AE36" s="3"/>
      <c r="AF36" s="3"/>
      <c r="AK36" s="3"/>
      <c r="AM36" s="3"/>
      <c r="AO36" s="3"/>
      <c r="AR36" s="3"/>
      <c r="AS36" s="3"/>
    </row>
    <row r="37" spans="1:45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Y37" s="3"/>
      <c r="AE37" s="3"/>
      <c r="AF37" s="3"/>
      <c r="AK37" s="3"/>
      <c r="AM37" s="3"/>
      <c r="AO37" s="3"/>
      <c r="AR37" s="3"/>
      <c r="AS37" s="3"/>
    </row>
    <row r="38" spans="1:45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Y38" s="3"/>
      <c r="AE38" s="3"/>
      <c r="AF38" s="3"/>
      <c r="AK38" s="3"/>
      <c r="AM38" s="3"/>
      <c r="AO38" s="3"/>
      <c r="AR38" s="3"/>
      <c r="AS38" s="3"/>
    </row>
    <row r="39" spans="1:45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Y39" s="3"/>
      <c r="AE39" s="3"/>
      <c r="AF39" s="3"/>
      <c r="AK39" s="3"/>
      <c r="AM39" s="3"/>
      <c r="AO39" s="3"/>
      <c r="AR39" s="3"/>
      <c r="AS39" s="3"/>
    </row>
    <row r="40" spans="1:45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Y40" s="3"/>
      <c r="AE40" s="3"/>
      <c r="AF40" s="3"/>
      <c r="AK40" s="3"/>
      <c r="AM40" s="3"/>
      <c r="AO40" s="3"/>
      <c r="AR40" s="3"/>
      <c r="AS40" s="3"/>
    </row>
    <row r="41" spans="1:45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Y41" s="3"/>
      <c r="AE41" s="3"/>
      <c r="AF41" s="3"/>
      <c r="AK41" s="3"/>
      <c r="AM41" s="3"/>
      <c r="AO41" s="3"/>
      <c r="AR41" s="3"/>
      <c r="AS41" s="3"/>
    </row>
    <row r="42" spans="1:45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Y42" s="3"/>
      <c r="AE42" s="3"/>
      <c r="AF42" s="3"/>
      <c r="AK42" s="3"/>
      <c r="AM42" s="3"/>
      <c r="AO42" s="3"/>
      <c r="AR42" s="3"/>
      <c r="AS42" s="3"/>
    </row>
    <row r="43" spans="1:45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Y43" s="3"/>
      <c r="AE43" s="3"/>
      <c r="AF43" s="3"/>
      <c r="AK43" s="3"/>
      <c r="AM43" s="3"/>
      <c r="AO43" s="3"/>
      <c r="AR43" s="3"/>
      <c r="AS43" s="3"/>
    </row>
    <row r="44" spans="1:45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Y44" s="3"/>
      <c r="AE44" s="3"/>
      <c r="AF44" s="3"/>
      <c r="AK44" s="3"/>
      <c r="AM44" s="3"/>
      <c r="AO44" s="3"/>
      <c r="AR44" s="3"/>
      <c r="AS44" s="3"/>
    </row>
    <row r="45" spans="1:45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Y45" s="3"/>
      <c r="AE45" s="3"/>
      <c r="AF45" s="3"/>
      <c r="AK45" s="3"/>
      <c r="AM45" s="3"/>
      <c r="AO45" s="3"/>
      <c r="AR45" s="3"/>
      <c r="AS45" s="3"/>
    </row>
    <row r="46" spans="1:45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Y46" s="3"/>
      <c r="AE46" s="3"/>
      <c r="AF46" s="3"/>
      <c r="AK46" s="3"/>
      <c r="AM46" s="3"/>
      <c r="AO46" s="3"/>
      <c r="AR46" s="3"/>
      <c r="AS46" s="3"/>
    </row>
    <row r="47" spans="1:45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Y47" s="3"/>
      <c r="AE47" s="3"/>
      <c r="AF47" s="3"/>
      <c r="AK47" s="3"/>
      <c r="AM47" s="3"/>
      <c r="AO47" s="3"/>
      <c r="AR47" s="3"/>
      <c r="AS47" s="3"/>
    </row>
    <row r="48" spans="1:45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Y48" s="3"/>
      <c r="AE48" s="3"/>
      <c r="AF48" s="3"/>
      <c r="AK48" s="3"/>
      <c r="AM48" s="3"/>
      <c r="AO48" s="3"/>
      <c r="AR48" s="3"/>
      <c r="AS48" s="3"/>
    </row>
    <row r="49" spans="1:45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Y49" s="3"/>
      <c r="AE49" s="3"/>
      <c r="AF49" s="3"/>
      <c r="AK49" s="3"/>
      <c r="AM49" s="3"/>
      <c r="AO49" s="3"/>
      <c r="AR49" s="3"/>
      <c r="AS49" s="3"/>
    </row>
    <row r="50" spans="1:45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Y50" s="3"/>
      <c r="AE50" s="3"/>
      <c r="AF50" s="3"/>
      <c r="AK50" s="3"/>
      <c r="AM50" s="3"/>
      <c r="AO50" s="3"/>
      <c r="AR50" s="3"/>
      <c r="AS50" s="3"/>
    </row>
    <row r="51" spans="1:45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Y51" s="3"/>
      <c r="AE51" s="3"/>
      <c r="AF51" s="3"/>
      <c r="AK51" s="3"/>
      <c r="AM51" s="3"/>
      <c r="AO51" s="3"/>
      <c r="AR51" s="3"/>
      <c r="AS51" s="3"/>
    </row>
    <row r="52" spans="1:45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Y52" s="3"/>
      <c r="AE52" s="3"/>
      <c r="AF52" s="3"/>
      <c r="AK52" s="3"/>
      <c r="AM52" s="3"/>
      <c r="AO52" s="3"/>
      <c r="AR52" s="3"/>
      <c r="AS52" s="3"/>
    </row>
    <row r="53" spans="1:45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Y53" s="3"/>
      <c r="AE53" s="3"/>
      <c r="AF53" s="3"/>
      <c r="AK53" s="3"/>
      <c r="AM53" s="3"/>
      <c r="AO53" s="3"/>
      <c r="AR53" s="3"/>
      <c r="AS53" s="3"/>
    </row>
    <row r="54" spans="1:45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Y54" s="3"/>
      <c r="AE54" s="3"/>
      <c r="AF54" s="3"/>
      <c r="AK54" s="3"/>
      <c r="AM54" s="3"/>
      <c r="AO54" s="3"/>
      <c r="AR54" s="3"/>
      <c r="AS54" s="3"/>
    </row>
    <row r="55" spans="1:45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Y55" s="3"/>
      <c r="AE55" s="3"/>
      <c r="AF55" s="3"/>
      <c r="AK55" s="3"/>
      <c r="AM55" s="3"/>
      <c r="AO55" s="3"/>
      <c r="AR55" s="3"/>
      <c r="AS55" s="3"/>
    </row>
    <row r="56" spans="1:4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Y56" s="3"/>
      <c r="AE56" s="3"/>
      <c r="AF56" s="3"/>
      <c r="AK56" s="3"/>
      <c r="AM56" s="3"/>
      <c r="AO56" s="3"/>
      <c r="AR56" s="3"/>
      <c r="AS56" s="3"/>
    </row>
    <row r="57" spans="1:45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Y57" s="3"/>
      <c r="AE57" s="3"/>
      <c r="AF57" s="3"/>
      <c r="AK57" s="3"/>
      <c r="AM57" s="3"/>
      <c r="AO57" s="3"/>
      <c r="AR57" s="3"/>
      <c r="AS57" s="3"/>
    </row>
    <row r="58" spans="1:45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Y58" s="3"/>
      <c r="AE58" s="3"/>
      <c r="AF58" s="3"/>
      <c r="AK58" s="3"/>
      <c r="AM58" s="3"/>
      <c r="AO58" s="3"/>
      <c r="AR58" s="3"/>
      <c r="AS58" s="3"/>
    </row>
    <row r="59" spans="1:45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Y59" s="3"/>
      <c r="AE59" s="3"/>
      <c r="AF59" s="3"/>
      <c r="AK59" s="3"/>
      <c r="AM59" s="3"/>
      <c r="AO59" s="3"/>
      <c r="AR59" s="3"/>
      <c r="AS59" s="3"/>
    </row>
    <row r="60" spans="1:45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Y60" s="3"/>
      <c r="AE60" s="3"/>
      <c r="AF60" s="3"/>
      <c r="AK60" s="3"/>
      <c r="AM60" s="3"/>
      <c r="AO60" s="3"/>
      <c r="AR60" s="3"/>
      <c r="AS60" s="3"/>
    </row>
    <row r="61" spans="1:45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Y61" s="3"/>
      <c r="AE61" s="3"/>
      <c r="AF61" s="3"/>
      <c r="AK61" s="3"/>
      <c r="AM61" s="3"/>
      <c r="AO61" s="3"/>
      <c r="AR61" s="3"/>
      <c r="AS61" s="3"/>
    </row>
    <row r="62" spans="1:45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Y62" s="3"/>
      <c r="AE62" s="3"/>
      <c r="AF62" s="3"/>
      <c r="AK62" s="3"/>
      <c r="AM62" s="3"/>
      <c r="AO62" s="3"/>
      <c r="AR62" s="3"/>
      <c r="AS62" s="3"/>
    </row>
    <row r="63" spans="1:45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Y63" s="3"/>
      <c r="AE63" s="3"/>
      <c r="AF63" s="3"/>
      <c r="AK63" s="3"/>
      <c r="AM63" s="3"/>
      <c r="AO63" s="3"/>
      <c r="AR63" s="3"/>
      <c r="AS63" s="3"/>
    </row>
    <row r="64" spans="1:45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Y64" s="3"/>
      <c r="AE64" s="3"/>
      <c r="AF64" s="3"/>
      <c r="AK64" s="3"/>
      <c r="AM64" s="3"/>
      <c r="AO64" s="3"/>
      <c r="AR64" s="3"/>
      <c r="AS64" s="3"/>
    </row>
    <row r="65" spans="1:45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Y65" s="3"/>
      <c r="AE65" s="3"/>
      <c r="AF65" s="3"/>
      <c r="AK65" s="3"/>
      <c r="AM65" s="3"/>
      <c r="AO65" s="3"/>
      <c r="AR65" s="3"/>
      <c r="AS65" s="3"/>
    </row>
    <row r="66" spans="1:45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Y66" s="3"/>
      <c r="AE66" s="3"/>
      <c r="AF66" s="3"/>
      <c r="AK66" s="3"/>
      <c r="AM66" s="3"/>
      <c r="AO66" s="3"/>
      <c r="AR66" s="3"/>
      <c r="AS66" s="3"/>
    </row>
    <row r="67" spans="1:45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Y67" s="3"/>
      <c r="AE67" s="3"/>
      <c r="AF67" s="3"/>
      <c r="AK67" s="3"/>
      <c r="AM67" s="3"/>
      <c r="AO67" s="3"/>
      <c r="AR67" s="3"/>
      <c r="AS67" s="3"/>
    </row>
    <row r="68" spans="1:45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Y68" s="3"/>
      <c r="AE68" s="3"/>
      <c r="AF68" s="3"/>
      <c r="AK68" s="3"/>
      <c r="AM68" s="3"/>
      <c r="AO68" s="3"/>
      <c r="AR68" s="3"/>
      <c r="AS68" s="3"/>
    </row>
    <row r="69" spans="1:45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Y69" s="3"/>
      <c r="AE69" s="3"/>
      <c r="AF69" s="3"/>
      <c r="AK69" s="3"/>
      <c r="AM69" s="3"/>
      <c r="AO69" s="3"/>
      <c r="AR69" s="3"/>
      <c r="AS69" s="3"/>
    </row>
    <row r="70" spans="1:45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Y70" s="3"/>
      <c r="AE70" s="3"/>
      <c r="AF70" s="3"/>
      <c r="AK70" s="3"/>
      <c r="AM70" s="3"/>
      <c r="AO70" s="3"/>
      <c r="AR70" s="3"/>
      <c r="AS70" s="3"/>
    </row>
    <row r="71" spans="1:45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Y71" s="3"/>
      <c r="AE71" s="3"/>
      <c r="AF71" s="3"/>
      <c r="AK71" s="3"/>
      <c r="AM71" s="3"/>
      <c r="AO71" s="3"/>
      <c r="AR71" s="3"/>
      <c r="AS71" s="3"/>
    </row>
    <row r="72" spans="1:45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Y72" s="3"/>
      <c r="AE72" s="3"/>
      <c r="AF72" s="3"/>
      <c r="AK72" s="3"/>
      <c r="AM72" s="3"/>
      <c r="AO72" s="3"/>
      <c r="AR72" s="3"/>
      <c r="AS72" s="3"/>
    </row>
    <row r="73" spans="1:45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Y73" s="3"/>
      <c r="AE73" s="3"/>
      <c r="AF73" s="3"/>
      <c r="AK73" s="3"/>
      <c r="AM73" s="3"/>
      <c r="AO73" s="3"/>
      <c r="AR73" s="3"/>
      <c r="AS73" s="3"/>
    </row>
    <row r="74" spans="1:45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Y74" s="3"/>
      <c r="AE74" s="3"/>
      <c r="AF74" s="3"/>
      <c r="AK74" s="3"/>
      <c r="AM74" s="3"/>
      <c r="AO74" s="3"/>
      <c r="AR74" s="3"/>
      <c r="AS74" s="3"/>
    </row>
    <row r="75" spans="1:45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Y75" s="3"/>
      <c r="AE75" s="3"/>
      <c r="AF75" s="3"/>
      <c r="AK75" s="3"/>
      <c r="AM75" s="3"/>
      <c r="AO75" s="3"/>
      <c r="AR75" s="3"/>
      <c r="AS75" s="3"/>
    </row>
    <row r="76" spans="1:45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Y76" s="3"/>
      <c r="AE76" s="3"/>
      <c r="AF76" s="3"/>
      <c r="AK76" s="3"/>
      <c r="AM76" s="3"/>
      <c r="AO76" s="3"/>
      <c r="AR76" s="3"/>
      <c r="AS76" s="3"/>
    </row>
    <row r="77" spans="1:45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Y77" s="3"/>
      <c r="AE77" s="3"/>
      <c r="AF77" s="3"/>
      <c r="AK77" s="3"/>
      <c r="AM77" s="3"/>
      <c r="AO77" s="3"/>
      <c r="AR77" s="3"/>
      <c r="AS77" s="3"/>
    </row>
    <row r="78" spans="1:45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Y78" s="3"/>
      <c r="AE78" s="3"/>
      <c r="AF78" s="3"/>
      <c r="AK78" s="3"/>
      <c r="AM78" s="3"/>
      <c r="AO78" s="3"/>
      <c r="AR78" s="3"/>
      <c r="AS78" s="3"/>
    </row>
    <row r="79" spans="1:45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Y79" s="3"/>
      <c r="AE79" s="3"/>
      <c r="AF79" s="3"/>
      <c r="AK79" s="3"/>
      <c r="AM79" s="3"/>
      <c r="AO79" s="3"/>
      <c r="AR79" s="3"/>
      <c r="AS79" s="3"/>
    </row>
    <row r="80" spans="1:45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Y80" s="3"/>
      <c r="AE80" s="3"/>
      <c r="AF80" s="3"/>
      <c r="AK80" s="3"/>
      <c r="AM80" s="3"/>
      <c r="AO80" s="3"/>
      <c r="AR80" s="3"/>
      <c r="AS80" s="3"/>
    </row>
    <row r="81" spans="1:45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Y81" s="3"/>
      <c r="AE81" s="3"/>
      <c r="AF81" s="3"/>
      <c r="AK81" s="3"/>
      <c r="AM81" s="3"/>
      <c r="AO81" s="3"/>
      <c r="AR81" s="3"/>
      <c r="AS81" s="3"/>
    </row>
    <row r="82" spans="1:45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Y82" s="3"/>
      <c r="AE82" s="3"/>
      <c r="AF82" s="3"/>
      <c r="AK82" s="3"/>
      <c r="AM82" s="3"/>
      <c r="AO82" s="3"/>
      <c r="AR82" s="3"/>
      <c r="AS82" s="3"/>
    </row>
    <row r="83" spans="1:45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Y83" s="3"/>
      <c r="AE83" s="3"/>
      <c r="AF83" s="3"/>
      <c r="AK83" s="3"/>
      <c r="AM83" s="3"/>
      <c r="AO83" s="3"/>
      <c r="AR83" s="3"/>
      <c r="AS83" s="3"/>
    </row>
    <row r="84" spans="1:45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Y84" s="3"/>
      <c r="AE84" s="3"/>
      <c r="AF84" s="3"/>
      <c r="AK84" s="3"/>
      <c r="AM84" s="3"/>
      <c r="AO84" s="3"/>
      <c r="AR84" s="3"/>
      <c r="AS84" s="3"/>
    </row>
    <row r="85" spans="1:45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Y85" s="3"/>
      <c r="AE85" s="3"/>
      <c r="AF85" s="3"/>
      <c r="AK85" s="3"/>
      <c r="AM85" s="3"/>
      <c r="AO85" s="3"/>
      <c r="AR85" s="3"/>
      <c r="AS85" s="3"/>
    </row>
    <row r="86" spans="1:45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Y86" s="3"/>
      <c r="AE86" s="3"/>
      <c r="AF86" s="3"/>
      <c r="AK86" s="3"/>
      <c r="AM86" s="3"/>
      <c r="AO86" s="3"/>
      <c r="AR86" s="3"/>
      <c r="AS86" s="3"/>
    </row>
    <row r="87" spans="1:45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Y87" s="3"/>
      <c r="AE87" s="3"/>
      <c r="AF87" s="3"/>
      <c r="AK87" s="3"/>
      <c r="AM87" s="3"/>
      <c r="AO87" s="3"/>
      <c r="AR87" s="3"/>
      <c r="AS87" s="3"/>
    </row>
    <row r="88" spans="1:45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Y88" s="3"/>
      <c r="AE88" s="3"/>
      <c r="AF88" s="3"/>
      <c r="AK88" s="3"/>
      <c r="AM88" s="3"/>
      <c r="AO88" s="3"/>
      <c r="AR88" s="3"/>
      <c r="AS88" s="3"/>
    </row>
    <row r="89" spans="1:45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Y89" s="3"/>
      <c r="AE89" s="3"/>
      <c r="AF89" s="3"/>
      <c r="AK89" s="3"/>
      <c r="AM89" s="3"/>
      <c r="AO89" s="3"/>
      <c r="AR89" s="3"/>
      <c r="AS89" s="3"/>
    </row>
    <row r="90" spans="1:45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Y90" s="3"/>
      <c r="AE90" s="3"/>
      <c r="AF90" s="3"/>
      <c r="AK90" s="3"/>
      <c r="AM90" s="3"/>
      <c r="AO90" s="3"/>
      <c r="AR90" s="3"/>
      <c r="AS90" s="3"/>
    </row>
    <row r="91" spans="1:45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Y91" s="3"/>
      <c r="AE91" s="3"/>
      <c r="AF91" s="3"/>
      <c r="AK91" s="3"/>
      <c r="AM91" s="3"/>
      <c r="AO91" s="3"/>
      <c r="AR91" s="3"/>
      <c r="AS91" s="3"/>
    </row>
    <row r="92" spans="1:45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Y92" s="3"/>
      <c r="AE92" s="3"/>
      <c r="AF92" s="3"/>
      <c r="AK92" s="3"/>
      <c r="AM92" s="3"/>
      <c r="AO92" s="3"/>
      <c r="AR92" s="3"/>
      <c r="AS92" s="3"/>
    </row>
    <row r="93" spans="1:45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Y93" s="3"/>
      <c r="AE93" s="3"/>
      <c r="AF93" s="3"/>
      <c r="AK93" s="3"/>
      <c r="AM93" s="3"/>
      <c r="AO93" s="3"/>
      <c r="AR93" s="3"/>
      <c r="AS93" s="3"/>
    </row>
    <row r="94" spans="1:45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Y94" s="3"/>
      <c r="AE94" s="3"/>
      <c r="AF94" s="3"/>
      <c r="AK94" s="3"/>
      <c r="AM94" s="3"/>
      <c r="AO94" s="3"/>
      <c r="AR94" s="3"/>
      <c r="AS94" s="3"/>
    </row>
    <row r="95" spans="1:45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Y95" s="3"/>
      <c r="AE95" s="3"/>
      <c r="AF95" s="3"/>
      <c r="AK95" s="3"/>
      <c r="AM95" s="3"/>
      <c r="AO95" s="3"/>
      <c r="AR95" s="3"/>
      <c r="AS95" s="3"/>
    </row>
    <row r="96" spans="1:45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Y96" s="3"/>
      <c r="AE96" s="3"/>
      <c r="AF96" s="3"/>
      <c r="AK96" s="3"/>
      <c r="AM96" s="3"/>
      <c r="AO96" s="3"/>
      <c r="AR96" s="3"/>
      <c r="AS96" s="3"/>
    </row>
    <row r="97" spans="1:45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Y97" s="3"/>
      <c r="AE97" s="3"/>
      <c r="AF97" s="3"/>
      <c r="AK97" s="3"/>
      <c r="AM97" s="3"/>
      <c r="AO97" s="3"/>
      <c r="AR97" s="3"/>
      <c r="AS97" s="3"/>
    </row>
    <row r="98" spans="1:45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Y98" s="3"/>
      <c r="AE98" s="3"/>
      <c r="AF98" s="3"/>
      <c r="AK98" s="3"/>
      <c r="AM98" s="3"/>
      <c r="AO98" s="3"/>
      <c r="AR98" s="3"/>
      <c r="AS98" s="3"/>
    </row>
    <row r="99" spans="1:45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Y99" s="3"/>
      <c r="AE99" s="3"/>
      <c r="AF99" s="3"/>
      <c r="AK99" s="3"/>
      <c r="AM99" s="3"/>
      <c r="AO99" s="3"/>
      <c r="AR99" s="3"/>
      <c r="AS99" s="3"/>
    </row>
    <row r="100" spans="1:4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Y100" s="3"/>
      <c r="AE100" s="3"/>
      <c r="AF100" s="3"/>
      <c r="AK100" s="3"/>
      <c r="AM100" s="3"/>
      <c r="AO100" s="3"/>
      <c r="AR100" s="3"/>
      <c r="AS100" s="3"/>
    </row>
    <row r="101" spans="1:4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Y101" s="3"/>
      <c r="AE101" s="3"/>
      <c r="AF101" s="3"/>
      <c r="AK101" s="3"/>
      <c r="AM101" s="3"/>
      <c r="AO101" s="3"/>
      <c r="AR101" s="3"/>
      <c r="AS101" s="3"/>
    </row>
    <row r="102" spans="1:4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Y102" s="3"/>
      <c r="AE102" s="3"/>
      <c r="AF102" s="3"/>
      <c r="AK102" s="3"/>
      <c r="AM102" s="3"/>
      <c r="AO102" s="3"/>
      <c r="AR102" s="3"/>
      <c r="AS102" s="3"/>
    </row>
    <row r="103" spans="1:4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Y103" s="3"/>
      <c r="AE103" s="3"/>
      <c r="AF103" s="3"/>
      <c r="AK103" s="3"/>
      <c r="AM103" s="3"/>
      <c r="AO103" s="3"/>
      <c r="AR103" s="3"/>
      <c r="AS103" s="3"/>
    </row>
    <row r="104" spans="1:4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Y104" s="3"/>
      <c r="AE104" s="3"/>
      <c r="AF104" s="3"/>
      <c r="AK104" s="3"/>
      <c r="AM104" s="3"/>
      <c r="AO104" s="3"/>
      <c r="AR104" s="3"/>
      <c r="AS104" s="3"/>
    </row>
    <row r="105" spans="1:4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Y105" s="3"/>
      <c r="AE105" s="3"/>
      <c r="AF105" s="3"/>
      <c r="AK105" s="3"/>
      <c r="AM105" s="3"/>
      <c r="AO105" s="3"/>
      <c r="AR105" s="3"/>
      <c r="AS105" s="3"/>
    </row>
    <row r="106" spans="1:4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Y106" s="3"/>
      <c r="AE106" s="3"/>
      <c r="AF106" s="3"/>
      <c r="AK106" s="3"/>
      <c r="AM106" s="3"/>
      <c r="AO106" s="3"/>
      <c r="AR106" s="3"/>
      <c r="AS106" s="3"/>
    </row>
    <row r="107" spans="1:4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Y107" s="3"/>
      <c r="AE107" s="3"/>
      <c r="AF107" s="3"/>
      <c r="AK107" s="3"/>
      <c r="AM107" s="3"/>
      <c r="AO107" s="3"/>
      <c r="AR107" s="3"/>
      <c r="AS107" s="3"/>
    </row>
    <row r="108" spans="1:4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Y108" s="3"/>
      <c r="AE108" s="3"/>
      <c r="AF108" s="3"/>
      <c r="AK108" s="3"/>
      <c r="AM108" s="3"/>
      <c r="AO108" s="3"/>
      <c r="AR108" s="3"/>
      <c r="AS108" s="3"/>
    </row>
    <row r="109" spans="1:4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Y109" s="3"/>
      <c r="AE109" s="3"/>
      <c r="AF109" s="3"/>
      <c r="AK109" s="3"/>
      <c r="AM109" s="3"/>
      <c r="AO109" s="3"/>
      <c r="AR109" s="3"/>
      <c r="AS109" s="3"/>
    </row>
    <row r="110" spans="1:4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Y110" s="3"/>
      <c r="AE110" s="3"/>
      <c r="AF110" s="3"/>
      <c r="AK110" s="3"/>
      <c r="AM110" s="3"/>
      <c r="AO110" s="3"/>
      <c r="AR110" s="3"/>
      <c r="AS110" s="3"/>
    </row>
    <row r="111" spans="1:4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Y111" s="3"/>
      <c r="AE111" s="3"/>
      <c r="AF111" s="3"/>
      <c r="AK111" s="3"/>
      <c r="AM111" s="3"/>
      <c r="AO111" s="3"/>
      <c r="AR111" s="3"/>
      <c r="AS111" s="3"/>
    </row>
    <row r="112" spans="1:4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Y112" s="3"/>
      <c r="AE112" s="3"/>
      <c r="AF112" s="3"/>
      <c r="AK112" s="3"/>
      <c r="AM112" s="3"/>
      <c r="AO112" s="3"/>
      <c r="AR112" s="3"/>
      <c r="AS112" s="3"/>
    </row>
    <row r="113" spans="1:4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Y113" s="3"/>
      <c r="AE113" s="3"/>
      <c r="AF113" s="3"/>
      <c r="AK113" s="3"/>
      <c r="AM113" s="3"/>
      <c r="AO113" s="3"/>
      <c r="AR113" s="3"/>
      <c r="AS113" s="3"/>
    </row>
    <row r="114" spans="1:4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Y114" s="3"/>
      <c r="AE114" s="3"/>
      <c r="AF114" s="3"/>
      <c r="AK114" s="3"/>
      <c r="AM114" s="3"/>
      <c r="AO114" s="3"/>
      <c r="AR114" s="3"/>
      <c r="AS114" s="3"/>
    </row>
    <row r="115" spans="1:4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Y115" s="3"/>
      <c r="AE115" s="3"/>
      <c r="AF115" s="3"/>
      <c r="AK115" s="3"/>
      <c r="AM115" s="3"/>
      <c r="AO115" s="3"/>
      <c r="AR115" s="3"/>
      <c r="AS115" s="3"/>
    </row>
    <row r="116" spans="1:4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Y116" s="3"/>
      <c r="AE116" s="3"/>
      <c r="AF116" s="3"/>
      <c r="AK116" s="3"/>
      <c r="AM116" s="3"/>
      <c r="AO116" s="3"/>
      <c r="AR116" s="3"/>
      <c r="AS116" s="3"/>
    </row>
    <row r="117" spans="1:4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Y117" s="3"/>
      <c r="AE117" s="3"/>
      <c r="AF117" s="3"/>
      <c r="AK117" s="3"/>
      <c r="AM117" s="3"/>
      <c r="AO117" s="3"/>
      <c r="AR117" s="3"/>
      <c r="AS117" s="3"/>
    </row>
    <row r="118" spans="1:4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Y118" s="3"/>
      <c r="AE118" s="3"/>
      <c r="AF118" s="3"/>
      <c r="AK118" s="3"/>
      <c r="AM118" s="3"/>
      <c r="AO118" s="3"/>
      <c r="AR118" s="3"/>
      <c r="AS118" s="3"/>
    </row>
    <row r="119" spans="1:4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Y119" s="3"/>
      <c r="AE119" s="3"/>
      <c r="AF119" s="3"/>
      <c r="AK119" s="3"/>
      <c r="AM119" s="3"/>
      <c r="AO119" s="3"/>
      <c r="AR119" s="3"/>
      <c r="AS119" s="3"/>
    </row>
    <row r="120" spans="1:4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Y120" s="3"/>
      <c r="AE120" s="3"/>
      <c r="AF120" s="3"/>
      <c r="AK120" s="3"/>
      <c r="AM120" s="3"/>
      <c r="AO120" s="3"/>
      <c r="AR120" s="3"/>
      <c r="AS120" s="3"/>
    </row>
    <row r="121" spans="1:4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Y121" s="3"/>
      <c r="AE121" s="3"/>
      <c r="AF121" s="3"/>
      <c r="AK121" s="3"/>
      <c r="AM121" s="3"/>
      <c r="AO121" s="3"/>
      <c r="AR121" s="3"/>
      <c r="AS121" s="3"/>
    </row>
    <row r="122" spans="1:4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Y122" s="3"/>
      <c r="AE122" s="3"/>
      <c r="AF122" s="3"/>
      <c r="AK122" s="3"/>
      <c r="AM122" s="3"/>
      <c r="AO122" s="3"/>
      <c r="AR122" s="3"/>
      <c r="AS122" s="3"/>
    </row>
    <row r="123" spans="1:4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Y123" s="3"/>
      <c r="AE123" s="3"/>
      <c r="AF123" s="3"/>
      <c r="AK123" s="3"/>
      <c r="AM123" s="3"/>
      <c r="AO123" s="3"/>
      <c r="AR123" s="3"/>
      <c r="AS123" s="3"/>
    </row>
    <row r="124" spans="1:4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Y124" s="3"/>
      <c r="AE124" s="3"/>
      <c r="AF124" s="3"/>
      <c r="AK124" s="3"/>
      <c r="AM124" s="3"/>
      <c r="AO124" s="3"/>
      <c r="AR124" s="3"/>
      <c r="AS124" s="3"/>
    </row>
    <row r="125" spans="1:4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Y125" s="3"/>
      <c r="AE125" s="3"/>
      <c r="AF125" s="3"/>
      <c r="AK125" s="3"/>
      <c r="AM125" s="3"/>
      <c r="AO125" s="3"/>
      <c r="AR125" s="3"/>
      <c r="AS125" s="3"/>
    </row>
    <row r="126" spans="1:4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Y126" s="3"/>
      <c r="AE126" s="3"/>
      <c r="AF126" s="3"/>
      <c r="AK126" s="3"/>
      <c r="AM126" s="3"/>
      <c r="AO126" s="3"/>
      <c r="AR126" s="3"/>
      <c r="AS126" s="3"/>
    </row>
    <row r="127" spans="1:4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Y127" s="3"/>
      <c r="AE127" s="3"/>
      <c r="AF127" s="3"/>
      <c r="AK127" s="3"/>
      <c r="AM127" s="3"/>
      <c r="AO127" s="3"/>
      <c r="AR127" s="3"/>
      <c r="AS127" s="3"/>
    </row>
    <row r="128" spans="1:4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Y128" s="3"/>
      <c r="AE128" s="3"/>
      <c r="AF128" s="3"/>
      <c r="AK128" s="3"/>
      <c r="AM128" s="3"/>
      <c r="AO128" s="3"/>
      <c r="AR128" s="3"/>
      <c r="AS128" s="3"/>
    </row>
    <row r="129" spans="1:4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Y129" s="3"/>
      <c r="AE129" s="3"/>
      <c r="AF129" s="3"/>
      <c r="AK129" s="3"/>
      <c r="AM129" s="3"/>
      <c r="AO129" s="3"/>
      <c r="AR129" s="3"/>
      <c r="AS129" s="3"/>
    </row>
    <row r="130" spans="1:4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Y130" s="3"/>
      <c r="AE130" s="3"/>
      <c r="AF130" s="3"/>
      <c r="AK130" s="3"/>
      <c r="AM130" s="3"/>
      <c r="AO130" s="3"/>
      <c r="AR130" s="3"/>
      <c r="AS130" s="3"/>
    </row>
    <row r="131" spans="1:4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Y131" s="3"/>
      <c r="AE131" s="3"/>
      <c r="AF131" s="3"/>
      <c r="AK131" s="3"/>
      <c r="AM131" s="3"/>
      <c r="AO131" s="3"/>
      <c r="AR131" s="3"/>
      <c r="AS131" s="3"/>
    </row>
    <row r="132" spans="1:4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Y132" s="3"/>
      <c r="AE132" s="3"/>
      <c r="AF132" s="3"/>
      <c r="AK132" s="3"/>
      <c r="AM132" s="3"/>
      <c r="AO132" s="3"/>
      <c r="AR132" s="3"/>
      <c r="AS132" s="3"/>
    </row>
    <row r="133" spans="1:4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Y133" s="3"/>
      <c r="AE133" s="3"/>
      <c r="AF133" s="3"/>
      <c r="AK133" s="3"/>
      <c r="AM133" s="3"/>
      <c r="AO133" s="3"/>
      <c r="AR133" s="3"/>
      <c r="AS133" s="3"/>
    </row>
    <row r="134" spans="1:4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Y134" s="3"/>
      <c r="AE134" s="3"/>
      <c r="AF134" s="3"/>
      <c r="AK134" s="3"/>
      <c r="AM134" s="3"/>
      <c r="AO134" s="3"/>
      <c r="AR134" s="3"/>
      <c r="AS134" s="3"/>
    </row>
    <row r="135" spans="1:4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Y135" s="3"/>
      <c r="AE135" s="3"/>
      <c r="AF135" s="3"/>
      <c r="AK135" s="3"/>
      <c r="AM135" s="3"/>
      <c r="AO135" s="3"/>
      <c r="AR135" s="3"/>
      <c r="AS135" s="3"/>
    </row>
    <row r="136" spans="1:4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Y136" s="3"/>
      <c r="AE136" s="3"/>
      <c r="AF136" s="3"/>
      <c r="AK136" s="3"/>
      <c r="AM136" s="3"/>
      <c r="AO136" s="3"/>
      <c r="AR136" s="3"/>
      <c r="AS136" s="3"/>
    </row>
    <row r="137" spans="1:4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Y137" s="3"/>
      <c r="AE137" s="3"/>
      <c r="AF137" s="3"/>
      <c r="AK137" s="3"/>
      <c r="AM137" s="3"/>
      <c r="AO137" s="3"/>
      <c r="AR137" s="3"/>
      <c r="AS137" s="3"/>
    </row>
    <row r="138" spans="1:4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Y138" s="3"/>
      <c r="AE138" s="3"/>
      <c r="AF138" s="3"/>
      <c r="AK138" s="3"/>
      <c r="AM138" s="3"/>
      <c r="AO138" s="3"/>
      <c r="AR138" s="3"/>
      <c r="AS138" s="3"/>
    </row>
    <row r="139" spans="1:4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Y139" s="3"/>
      <c r="AE139" s="3"/>
      <c r="AF139" s="3"/>
      <c r="AK139" s="3"/>
      <c r="AM139" s="3"/>
      <c r="AO139" s="3"/>
      <c r="AR139" s="3"/>
      <c r="AS139" s="3"/>
    </row>
    <row r="140" spans="1:4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Y140" s="3"/>
      <c r="AE140" s="3"/>
      <c r="AF140" s="3"/>
      <c r="AK140" s="3"/>
      <c r="AM140" s="3"/>
      <c r="AO140" s="3"/>
      <c r="AR140" s="3"/>
      <c r="AS140" s="3"/>
    </row>
    <row r="141" spans="1:4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Y141" s="3"/>
      <c r="AE141" s="3"/>
      <c r="AF141" s="3"/>
      <c r="AK141" s="3"/>
      <c r="AM141" s="3"/>
      <c r="AO141" s="3"/>
      <c r="AR141" s="3"/>
      <c r="AS141" s="3"/>
    </row>
    <row r="142" spans="1:4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Y142" s="3"/>
      <c r="AE142" s="3"/>
      <c r="AF142" s="3"/>
      <c r="AK142" s="3"/>
      <c r="AM142" s="3"/>
      <c r="AO142" s="3"/>
      <c r="AR142" s="3"/>
      <c r="AS142" s="3"/>
    </row>
    <row r="143" spans="1:4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Y143" s="3"/>
      <c r="AE143" s="3"/>
      <c r="AF143" s="3"/>
      <c r="AK143" s="3"/>
      <c r="AM143" s="3"/>
      <c r="AO143" s="3"/>
      <c r="AR143" s="3"/>
      <c r="AS143" s="3"/>
    </row>
    <row r="144" spans="1:4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Y144" s="3"/>
      <c r="AE144" s="3"/>
      <c r="AF144" s="3"/>
      <c r="AK144" s="3"/>
      <c r="AM144" s="3"/>
      <c r="AO144" s="3"/>
      <c r="AR144" s="3"/>
      <c r="AS144" s="3"/>
    </row>
    <row r="145" spans="1: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Y145" s="3"/>
      <c r="AE145" s="3"/>
      <c r="AF145" s="3"/>
      <c r="AK145" s="3"/>
      <c r="AM145" s="3"/>
      <c r="AO145" s="3"/>
      <c r="AR145" s="3"/>
      <c r="AS145" s="3"/>
    </row>
    <row r="146" spans="1:4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Y146" s="3"/>
      <c r="AE146" s="3"/>
      <c r="AF146" s="3"/>
      <c r="AK146" s="3"/>
      <c r="AM146" s="3"/>
      <c r="AO146" s="3"/>
      <c r="AR146" s="3"/>
      <c r="AS146" s="3"/>
    </row>
    <row r="147" spans="1:4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Y147" s="3"/>
      <c r="AE147" s="3"/>
      <c r="AF147" s="3"/>
      <c r="AK147" s="3"/>
      <c r="AM147" s="3"/>
      <c r="AO147" s="3"/>
      <c r="AR147" s="3"/>
      <c r="AS147" s="3"/>
    </row>
    <row r="148" spans="1:4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Y148" s="3"/>
      <c r="AE148" s="3"/>
      <c r="AF148" s="3"/>
      <c r="AK148" s="3"/>
      <c r="AM148" s="3"/>
      <c r="AO148" s="3"/>
      <c r="AR148" s="3"/>
      <c r="AS148" s="3"/>
    </row>
    <row r="149" spans="1:4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Y149" s="3"/>
      <c r="AE149" s="3"/>
      <c r="AF149" s="3"/>
      <c r="AK149" s="3"/>
      <c r="AM149" s="3"/>
      <c r="AO149" s="3"/>
      <c r="AR149" s="3"/>
      <c r="AS149" s="3"/>
    </row>
    <row r="150" spans="1:4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Y150" s="3"/>
      <c r="AE150" s="3"/>
      <c r="AF150" s="3"/>
      <c r="AK150" s="3"/>
      <c r="AM150" s="3"/>
      <c r="AO150" s="3"/>
      <c r="AR150" s="3"/>
      <c r="AS150" s="3"/>
    </row>
    <row r="151" spans="1:4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Y151" s="3"/>
      <c r="AE151" s="3"/>
      <c r="AF151" s="3"/>
      <c r="AK151" s="3"/>
      <c r="AM151" s="3"/>
      <c r="AO151" s="3"/>
      <c r="AR151" s="3"/>
      <c r="AS151" s="3"/>
    </row>
    <row r="152" spans="1:4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Y152" s="3"/>
      <c r="AE152" s="3"/>
      <c r="AF152" s="3"/>
      <c r="AK152" s="3"/>
      <c r="AM152" s="3"/>
      <c r="AO152" s="3"/>
      <c r="AR152" s="3"/>
      <c r="AS152" s="3"/>
    </row>
    <row r="153" spans="1:4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Y153" s="3"/>
      <c r="AE153" s="3"/>
      <c r="AF153" s="3"/>
      <c r="AK153" s="3"/>
      <c r="AM153" s="3"/>
      <c r="AO153" s="3"/>
      <c r="AR153" s="3"/>
      <c r="AS153" s="3"/>
    </row>
    <row r="154" spans="1:4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Y154" s="3"/>
      <c r="AE154" s="3"/>
      <c r="AF154" s="3"/>
      <c r="AK154" s="3"/>
      <c r="AM154" s="3"/>
      <c r="AO154" s="3"/>
      <c r="AR154" s="3"/>
      <c r="AS154" s="3"/>
    </row>
    <row r="155" spans="1:4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Y155" s="3"/>
      <c r="AE155" s="3"/>
      <c r="AF155" s="3"/>
      <c r="AK155" s="3"/>
      <c r="AM155" s="3"/>
      <c r="AO155" s="3"/>
      <c r="AR155" s="3"/>
      <c r="AS155" s="3"/>
    </row>
    <row r="156" spans="1:4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Y156" s="3"/>
      <c r="AE156" s="3"/>
      <c r="AF156" s="3"/>
      <c r="AK156" s="3"/>
      <c r="AM156" s="3"/>
      <c r="AO156" s="3"/>
      <c r="AR156" s="3"/>
      <c r="AS156" s="3"/>
    </row>
    <row r="157" spans="1:4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Y157" s="3"/>
      <c r="AE157" s="3"/>
      <c r="AF157" s="3"/>
      <c r="AK157" s="3"/>
      <c r="AM157" s="3"/>
      <c r="AO157" s="3"/>
      <c r="AR157" s="3"/>
      <c r="AS157" s="3"/>
    </row>
    <row r="158" spans="1:4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Y158" s="3"/>
      <c r="AE158" s="3"/>
      <c r="AF158" s="3"/>
      <c r="AK158" s="3"/>
      <c r="AM158" s="3"/>
      <c r="AO158" s="3"/>
      <c r="AR158" s="3"/>
      <c r="AS158" s="3"/>
    </row>
    <row r="159" spans="1:4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Y159" s="3"/>
      <c r="AE159" s="3"/>
      <c r="AF159" s="3"/>
      <c r="AK159" s="3"/>
      <c r="AM159" s="3"/>
      <c r="AO159" s="3"/>
      <c r="AR159" s="3"/>
      <c r="AS159" s="3"/>
    </row>
    <row r="160" spans="1:4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Y160" s="3"/>
      <c r="AE160" s="3"/>
      <c r="AF160" s="3"/>
      <c r="AK160" s="3"/>
      <c r="AM160" s="3"/>
      <c r="AO160" s="3"/>
      <c r="AR160" s="3"/>
      <c r="AS160" s="3"/>
    </row>
    <row r="161" spans="1:4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Y161" s="3"/>
      <c r="AE161" s="3"/>
      <c r="AF161" s="3"/>
      <c r="AK161" s="3"/>
      <c r="AM161" s="3"/>
      <c r="AO161" s="3"/>
      <c r="AR161" s="3"/>
      <c r="AS161" s="3"/>
    </row>
    <row r="162" spans="1:4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Y162" s="3"/>
      <c r="AE162" s="3"/>
      <c r="AF162" s="3"/>
      <c r="AK162" s="3"/>
      <c r="AM162" s="3"/>
      <c r="AO162" s="3"/>
      <c r="AR162" s="3"/>
      <c r="AS162" s="3"/>
    </row>
    <row r="163" spans="1:4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Y163" s="3"/>
      <c r="AE163" s="3"/>
      <c r="AF163" s="3"/>
      <c r="AK163" s="3"/>
      <c r="AM163" s="3"/>
      <c r="AO163" s="3"/>
      <c r="AR163" s="3"/>
      <c r="AS163" s="3"/>
    </row>
    <row r="164" spans="1:4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Y164" s="3"/>
      <c r="AE164" s="3"/>
      <c r="AF164" s="3"/>
      <c r="AK164" s="3"/>
      <c r="AM164" s="3"/>
      <c r="AO164" s="3"/>
      <c r="AR164" s="3"/>
      <c r="AS164" s="3"/>
    </row>
    <row r="165" spans="1:4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Y165" s="3"/>
      <c r="AE165" s="3"/>
      <c r="AF165" s="3"/>
      <c r="AK165" s="3"/>
      <c r="AM165" s="3"/>
      <c r="AO165" s="3"/>
      <c r="AR165" s="3"/>
      <c r="AS165" s="3"/>
    </row>
    <row r="166" spans="1:4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Y166" s="3"/>
      <c r="AE166" s="3"/>
      <c r="AF166" s="3"/>
      <c r="AK166" s="3"/>
      <c r="AM166" s="3"/>
      <c r="AO166" s="3"/>
      <c r="AR166" s="3"/>
      <c r="AS166" s="3"/>
    </row>
    <row r="167" spans="1:4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Y167" s="3"/>
      <c r="AE167" s="3"/>
      <c r="AF167" s="3"/>
      <c r="AK167" s="3"/>
      <c r="AM167" s="3"/>
      <c r="AO167" s="3"/>
      <c r="AR167" s="3"/>
      <c r="AS167" s="3"/>
    </row>
    <row r="168" spans="1:4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Y168" s="3"/>
      <c r="AE168" s="3"/>
      <c r="AF168" s="3"/>
      <c r="AK168" s="3"/>
      <c r="AM168" s="3"/>
      <c r="AO168" s="3"/>
      <c r="AR168" s="3"/>
      <c r="AS168" s="3"/>
    </row>
    <row r="169" spans="1:4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Y169" s="3"/>
      <c r="AE169" s="3"/>
      <c r="AF169" s="3"/>
      <c r="AK169" s="3"/>
      <c r="AM169" s="3"/>
      <c r="AO169" s="3"/>
      <c r="AR169" s="3"/>
      <c r="AS169" s="3"/>
    </row>
    <row r="170" spans="1:4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Y170" s="3"/>
      <c r="AE170" s="3"/>
      <c r="AF170" s="3"/>
      <c r="AK170" s="3"/>
      <c r="AM170" s="3"/>
      <c r="AO170" s="3"/>
      <c r="AR170" s="3"/>
      <c r="AS170" s="3"/>
    </row>
    <row r="171" spans="1:4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Y171" s="3"/>
      <c r="AE171" s="3"/>
      <c r="AF171" s="3"/>
      <c r="AK171" s="3"/>
      <c r="AM171" s="3"/>
      <c r="AO171" s="3"/>
      <c r="AR171" s="3"/>
      <c r="AS171" s="3"/>
    </row>
    <row r="172" spans="1:4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Y172" s="3"/>
      <c r="AE172" s="3"/>
      <c r="AF172" s="3"/>
      <c r="AK172" s="3"/>
      <c r="AM172" s="3"/>
      <c r="AO172" s="3"/>
      <c r="AR172" s="3"/>
      <c r="AS172" s="3"/>
    </row>
    <row r="173" spans="1:4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Y173" s="3"/>
      <c r="AE173" s="3"/>
      <c r="AF173" s="3"/>
      <c r="AK173" s="3"/>
      <c r="AM173" s="3"/>
      <c r="AO173" s="3"/>
      <c r="AR173" s="3"/>
      <c r="AS173" s="3"/>
    </row>
    <row r="174" spans="1:4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Y174" s="3"/>
      <c r="AE174" s="3"/>
      <c r="AF174" s="3"/>
      <c r="AK174" s="3"/>
      <c r="AM174" s="3"/>
      <c r="AO174" s="3"/>
      <c r="AR174" s="3"/>
      <c r="AS174" s="3"/>
    </row>
    <row r="175" spans="1:4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Y175" s="3"/>
      <c r="AE175" s="3"/>
      <c r="AF175" s="3"/>
      <c r="AK175" s="3"/>
      <c r="AM175" s="3"/>
      <c r="AO175" s="3"/>
      <c r="AR175" s="3"/>
      <c r="AS175" s="3"/>
    </row>
    <row r="176" spans="1:4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Y176" s="3"/>
      <c r="AE176" s="3"/>
      <c r="AF176" s="3"/>
      <c r="AK176" s="3"/>
      <c r="AM176" s="3"/>
      <c r="AO176" s="3"/>
      <c r="AR176" s="3"/>
      <c r="AS176" s="3"/>
    </row>
    <row r="177" spans="1:4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Y177" s="3"/>
      <c r="AE177" s="3"/>
      <c r="AF177" s="3"/>
      <c r="AK177" s="3"/>
      <c r="AM177" s="3"/>
      <c r="AO177" s="3"/>
      <c r="AR177" s="3"/>
      <c r="AS177" s="3"/>
    </row>
    <row r="178" spans="1:4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Y178" s="3"/>
      <c r="AE178" s="3"/>
      <c r="AF178" s="3"/>
      <c r="AK178" s="3"/>
      <c r="AM178" s="3"/>
      <c r="AO178" s="3"/>
      <c r="AR178" s="3"/>
      <c r="AS178" s="3"/>
    </row>
    <row r="179" spans="1:4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Y179" s="3"/>
      <c r="AE179" s="3"/>
      <c r="AF179" s="3"/>
      <c r="AK179" s="3"/>
      <c r="AM179" s="3"/>
      <c r="AO179" s="3"/>
      <c r="AR179" s="3"/>
      <c r="AS179" s="3"/>
    </row>
    <row r="180" spans="1:4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Y180" s="3"/>
      <c r="AE180" s="3"/>
      <c r="AF180" s="3"/>
      <c r="AK180" s="3"/>
      <c r="AM180" s="3"/>
      <c r="AO180" s="3"/>
      <c r="AR180" s="3"/>
      <c r="AS180" s="3"/>
    </row>
    <row r="181" spans="1:4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Y181" s="3"/>
      <c r="AE181" s="3"/>
      <c r="AF181" s="3"/>
      <c r="AK181" s="3"/>
      <c r="AM181" s="3"/>
      <c r="AO181" s="3"/>
      <c r="AR181" s="3"/>
      <c r="AS181" s="3"/>
    </row>
    <row r="182" spans="1:4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Y182" s="3"/>
      <c r="AE182" s="3"/>
      <c r="AF182" s="3"/>
      <c r="AK182" s="3"/>
      <c r="AM182" s="3"/>
      <c r="AO182" s="3"/>
      <c r="AR182" s="3"/>
      <c r="AS182" s="3"/>
    </row>
    <row r="183" spans="1:4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Y183" s="3"/>
      <c r="AE183" s="3"/>
      <c r="AF183" s="3"/>
      <c r="AK183" s="3"/>
      <c r="AM183" s="3"/>
      <c r="AO183" s="3"/>
      <c r="AR183" s="3"/>
      <c r="AS183" s="3"/>
    </row>
    <row r="184" spans="1:4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Y184" s="3"/>
      <c r="AE184" s="3"/>
      <c r="AF184" s="3"/>
      <c r="AK184" s="3"/>
      <c r="AM184" s="3"/>
      <c r="AO184" s="3"/>
      <c r="AR184" s="3"/>
      <c r="AS184" s="3"/>
    </row>
    <row r="185" spans="1:4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Y185" s="3"/>
      <c r="AE185" s="3"/>
      <c r="AF185" s="3"/>
      <c r="AK185" s="3"/>
      <c r="AM185" s="3"/>
      <c r="AO185" s="3"/>
      <c r="AR185" s="3"/>
      <c r="AS185" s="3"/>
    </row>
    <row r="186" spans="1:4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Y186" s="3"/>
      <c r="AE186" s="3"/>
      <c r="AF186" s="3"/>
      <c r="AK186" s="3"/>
      <c r="AM186" s="3"/>
      <c r="AO186" s="3"/>
      <c r="AR186" s="3"/>
      <c r="AS186" s="3"/>
    </row>
    <row r="187" spans="1:4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Y187" s="3"/>
      <c r="AE187" s="3"/>
      <c r="AF187" s="3"/>
      <c r="AK187" s="3"/>
      <c r="AM187" s="3"/>
      <c r="AO187" s="3"/>
      <c r="AR187" s="3"/>
      <c r="AS187" s="3"/>
    </row>
    <row r="188" spans="1:4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Y188" s="3"/>
      <c r="AE188" s="3"/>
      <c r="AF188" s="3"/>
      <c r="AK188" s="3"/>
      <c r="AM188" s="3"/>
      <c r="AO188" s="3"/>
      <c r="AR188" s="3"/>
      <c r="AS188" s="3"/>
    </row>
    <row r="189" spans="1:4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Y189" s="3"/>
      <c r="AE189" s="3"/>
      <c r="AF189" s="3"/>
      <c r="AK189" s="3"/>
      <c r="AM189" s="3"/>
      <c r="AO189" s="3"/>
      <c r="AR189" s="3"/>
      <c r="AS189" s="3"/>
    </row>
    <row r="190" spans="1:4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Y190" s="3"/>
      <c r="AE190" s="3"/>
      <c r="AF190" s="3"/>
      <c r="AK190" s="3"/>
      <c r="AM190" s="3"/>
      <c r="AO190" s="3"/>
      <c r="AR190" s="3"/>
      <c r="AS190" s="3"/>
    </row>
    <row r="191" spans="1:4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Y191" s="3"/>
      <c r="AE191" s="3"/>
      <c r="AF191" s="3"/>
      <c r="AK191" s="3"/>
      <c r="AM191" s="3"/>
      <c r="AO191" s="3"/>
      <c r="AR191" s="3"/>
      <c r="AS191" s="3"/>
    </row>
    <row r="192" spans="1:4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Y192" s="3"/>
      <c r="AE192" s="3"/>
      <c r="AF192" s="3"/>
      <c r="AK192" s="3"/>
      <c r="AM192" s="3"/>
      <c r="AO192" s="3"/>
      <c r="AR192" s="3"/>
      <c r="AS192" s="3"/>
    </row>
    <row r="193" spans="1:4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Y193" s="3"/>
      <c r="AE193" s="3"/>
      <c r="AF193" s="3"/>
      <c r="AK193" s="3"/>
      <c r="AM193" s="3"/>
      <c r="AO193" s="3"/>
      <c r="AR193" s="3"/>
      <c r="AS193" s="3"/>
    </row>
    <row r="194" spans="1:4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Y194" s="3"/>
      <c r="AE194" s="3"/>
      <c r="AF194" s="3"/>
      <c r="AK194" s="3"/>
      <c r="AM194" s="3"/>
      <c r="AO194" s="3"/>
      <c r="AR194" s="3"/>
      <c r="AS194" s="3"/>
    </row>
    <row r="195" spans="1:4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Y195" s="3"/>
      <c r="AE195" s="3"/>
      <c r="AF195" s="3"/>
      <c r="AK195" s="3"/>
      <c r="AM195" s="3"/>
      <c r="AO195" s="3"/>
      <c r="AR195" s="3"/>
      <c r="AS195" s="3"/>
    </row>
    <row r="196" spans="1:4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Y196" s="3"/>
      <c r="AE196" s="3"/>
      <c r="AF196" s="3"/>
      <c r="AK196" s="3"/>
      <c r="AM196" s="3"/>
      <c r="AO196" s="3"/>
      <c r="AR196" s="3"/>
      <c r="AS196" s="3"/>
    </row>
    <row r="197" spans="1:4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Y197" s="3"/>
      <c r="AE197" s="3"/>
      <c r="AF197" s="3"/>
      <c r="AK197" s="3"/>
      <c r="AM197" s="3"/>
      <c r="AO197" s="3"/>
      <c r="AR197" s="3"/>
      <c r="AS197" s="3"/>
    </row>
    <row r="198" spans="1:4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Y198" s="3"/>
      <c r="AE198" s="3"/>
      <c r="AF198" s="3"/>
      <c r="AK198" s="3"/>
      <c r="AM198" s="3"/>
      <c r="AO198" s="3"/>
      <c r="AR198" s="3"/>
      <c r="AS198" s="3"/>
    </row>
    <row r="199" spans="1:4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Y199" s="3"/>
      <c r="AE199" s="3"/>
      <c r="AF199" s="3"/>
      <c r="AK199" s="3"/>
      <c r="AM199" s="3"/>
      <c r="AO199" s="3"/>
      <c r="AR199" s="3"/>
      <c r="AS199" s="3"/>
    </row>
    <row r="200" spans="1:4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Y200" s="3"/>
      <c r="AE200" s="3"/>
      <c r="AF200" s="3"/>
      <c r="AK200" s="3"/>
      <c r="AM200" s="3"/>
      <c r="AO200" s="3"/>
      <c r="AR200" s="3"/>
      <c r="AS200" s="3"/>
    </row>
    <row r="201" spans="1:4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Y201" s="3"/>
      <c r="AE201" s="3"/>
      <c r="AF201" s="3"/>
      <c r="AK201" s="3"/>
      <c r="AM201" s="3"/>
      <c r="AO201" s="3"/>
      <c r="AR201" s="3"/>
      <c r="AS201" s="3"/>
    </row>
    <row r="202" spans="1:4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Y202" s="3"/>
      <c r="AE202" s="3"/>
      <c r="AF202" s="3"/>
      <c r="AK202" s="3"/>
      <c r="AM202" s="3"/>
      <c r="AO202" s="3"/>
      <c r="AR202" s="3"/>
      <c r="AS202" s="3"/>
    </row>
    <row r="203" spans="1:4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Y203" s="3"/>
      <c r="AE203" s="3"/>
      <c r="AF203" s="3"/>
      <c r="AK203" s="3"/>
      <c r="AM203" s="3"/>
      <c r="AO203" s="3"/>
      <c r="AR203" s="3"/>
      <c r="AS203" s="3"/>
    </row>
    <row r="204" spans="1:4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Y204" s="3"/>
      <c r="AE204" s="3"/>
      <c r="AF204" s="3"/>
      <c r="AK204" s="3"/>
      <c r="AM204" s="3"/>
      <c r="AO204" s="3"/>
      <c r="AR204" s="3"/>
      <c r="AS204" s="3"/>
    </row>
    <row r="205" spans="1:4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Y205" s="3"/>
      <c r="AE205" s="3"/>
      <c r="AF205" s="3"/>
      <c r="AK205" s="3"/>
      <c r="AM205" s="3"/>
      <c r="AO205" s="3"/>
      <c r="AR205" s="3"/>
      <c r="AS205" s="3"/>
    </row>
    <row r="206" spans="1:4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Y206" s="3"/>
      <c r="AE206" s="3"/>
      <c r="AF206" s="3"/>
      <c r="AK206" s="3"/>
      <c r="AM206" s="3"/>
      <c r="AO206" s="3"/>
      <c r="AR206" s="3"/>
      <c r="AS206" s="3"/>
    </row>
    <row r="207" spans="1:4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Y207" s="3"/>
      <c r="AE207" s="3"/>
      <c r="AF207" s="3"/>
      <c r="AK207" s="3"/>
      <c r="AM207" s="3"/>
      <c r="AO207" s="3"/>
      <c r="AR207" s="3"/>
      <c r="AS207" s="3"/>
    </row>
    <row r="208" spans="1:4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Y208" s="3"/>
      <c r="AE208" s="3"/>
      <c r="AF208" s="3"/>
      <c r="AK208" s="3"/>
      <c r="AM208" s="3"/>
      <c r="AO208" s="3"/>
      <c r="AR208" s="3"/>
      <c r="AS208" s="3"/>
    </row>
    <row r="209" spans="1:4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Y209" s="3"/>
      <c r="AE209" s="3"/>
      <c r="AF209" s="3"/>
      <c r="AK209" s="3"/>
      <c r="AM209" s="3"/>
      <c r="AO209" s="3"/>
      <c r="AR209" s="3"/>
      <c r="AS209" s="3"/>
    </row>
    <row r="210" spans="1:4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Y210" s="3"/>
      <c r="AE210" s="3"/>
      <c r="AF210" s="3"/>
      <c r="AK210" s="3"/>
      <c r="AM210" s="3"/>
      <c r="AO210" s="3"/>
      <c r="AR210" s="3"/>
      <c r="AS210" s="3"/>
    </row>
    <row r="211" spans="1:4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Y211" s="3"/>
      <c r="AE211" s="3"/>
      <c r="AF211" s="3"/>
      <c r="AK211" s="3"/>
      <c r="AM211" s="3"/>
      <c r="AO211" s="3"/>
      <c r="AR211" s="3"/>
      <c r="AS211" s="3"/>
    </row>
    <row r="212" spans="1:4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Y212" s="3"/>
      <c r="AE212" s="3"/>
      <c r="AF212" s="3"/>
      <c r="AK212" s="3"/>
      <c r="AM212" s="3"/>
      <c r="AO212" s="3"/>
      <c r="AR212" s="3"/>
      <c r="AS212" s="3"/>
    </row>
    <row r="213" spans="1:4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Y213" s="3"/>
      <c r="AE213" s="3"/>
      <c r="AF213" s="3"/>
      <c r="AK213" s="3"/>
      <c r="AM213" s="3"/>
      <c r="AO213" s="3"/>
      <c r="AR213" s="3"/>
      <c r="AS213" s="3"/>
    </row>
    <row r="214" spans="1:4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Y214" s="3"/>
      <c r="AE214" s="3"/>
      <c r="AF214" s="3"/>
      <c r="AK214" s="3"/>
      <c r="AM214" s="3"/>
      <c r="AO214" s="3"/>
      <c r="AR214" s="3"/>
      <c r="AS214" s="3"/>
    </row>
    <row r="215" spans="1:4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Y215" s="3"/>
      <c r="AE215" s="3"/>
      <c r="AF215" s="3"/>
      <c r="AK215" s="3"/>
      <c r="AM215" s="3"/>
      <c r="AO215" s="3"/>
      <c r="AR215" s="3"/>
      <c r="AS215" s="3"/>
    </row>
    <row r="216" spans="1:4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Y216" s="3"/>
      <c r="AE216" s="3"/>
      <c r="AF216" s="3"/>
      <c r="AK216" s="3"/>
      <c r="AM216" s="3"/>
      <c r="AO216" s="3"/>
      <c r="AR216" s="3"/>
      <c r="AS216" s="3"/>
    </row>
    <row r="217" spans="1:4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Y217" s="3"/>
      <c r="AE217" s="3"/>
      <c r="AF217" s="3"/>
      <c r="AK217" s="3"/>
      <c r="AM217" s="3"/>
      <c r="AO217" s="3"/>
      <c r="AR217" s="3"/>
      <c r="AS217" s="3"/>
    </row>
    <row r="218" spans="1:4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Y218" s="3"/>
      <c r="AE218" s="3"/>
      <c r="AF218" s="3"/>
      <c r="AK218" s="3"/>
      <c r="AM218" s="3"/>
      <c r="AO218" s="3"/>
      <c r="AR218" s="3"/>
      <c r="AS21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2"/>
  <sheetViews>
    <sheetView tabSelected="1" topLeftCell="W1" workbookViewId="0">
      <pane ySplit="3" topLeftCell="A4" activePane="bottomLeft" state="frozen"/>
      <selection activeCell="D1" sqref="D1"/>
      <selection pane="bottomLeft" activeCell="AH6" sqref="AH6"/>
    </sheetView>
  </sheetViews>
  <sheetFormatPr defaultRowHeight="14.25"/>
  <cols>
    <col min="6" max="6" width="15.125" customWidth="1"/>
    <col min="23" max="23" width="12.625" customWidth="1"/>
    <col min="48" max="48" width="6.75" customWidth="1"/>
  </cols>
  <sheetData>
    <row r="1" spans="1:50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55</v>
      </c>
      <c r="L1" t="s">
        <v>34</v>
      </c>
      <c r="M1" t="s">
        <v>158</v>
      </c>
      <c r="N1" t="s">
        <v>159</v>
      </c>
      <c r="O1" t="s">
        <v>160</v>
      </c>
      <c r="P1" t="s">
        <v>54</v>
      </c>
      <c r="Q1" t="s">
        <v>468</v>
      </c>
      <c r="R1" t="s">
        <v>469</v>
      </c>
      <c r="S1" t="s">
        <v>98</v>
      </c>
      <c r="T1" t="s">
        <v>40</v>
      </c>
      <c r="U1" t="s">
        <v>161</v>
      </c>
      <c r="V1" t="s">
        <v>35</v>
      </c>
      <c r="W1" t="s">
        <v>39</v>
      </c>
      <c r="X1" t="s">
        <v>37</v>
      </c>
      <c r="Y1" t="s">
        <v>33</v>
      </c>
      <c r="Z1" t="s">
        <v>162</v>
      </c>
      <c r="AA1" t="s">
        <v>42</v>
      </c>
      <c r="AB1" t="s">
        <v>48</v>
      </c>
      <c r="AC1" t="s">
        <v>163</v>
      </c>
      <c r="AD1" t="s">
        <v>38</v>
      </c>
      <c r="AE1" t="s">
        <v>44</v>
      </c>
      <c r="AF1" t="s">
        <v>43</v>
      </c>
      <c r="AG1" t="s">
        <v>164</v>
      </c>
      <c r="AH1" t="s">
        <v>165</v>
      </c>
      <c r="AI1" t="s">
        <v>166</v>
      </c>
      <c r="AJ1" t="s">
        <v>167</v>
      </c>
      <c r="AK1" t="s">
        <v>45</v>
      </c>
      <c r="AL1" t="s">
        <v>120</v>
      </c>
      <c r="AM1" t="s">
        <v>168</v>
      </c>
      <c r="AN1" t="s">
        <v>49</v>
      </c>
      <c r="AO1" t="s">
        <v>56</v>
      </c>
      <c r="AP1" t="s">
        <v>53</v>
      </c>
      <c r="AQ1" t="s">
        <v>15</v>
      </c>
      <c r="AR1" t="s">
        <v>16</v>
      </c>
      <c r="AS1" t="s">
        <v>58</v>
      </c>
      <c r="AT1" t="s">
        <v>237</v>
      </c>
      <c r="AU1" t="s">
        <v>296</v>
      </c>
      <c r="AV1" t="s">
        <v>529</v>
      </c>
      <c r="AW1" s="1" t="s">
        <v>17</v>
      </c>
      <c r="AX1" t="s">
        <v>169</v>
      </c>
    </row>
    <row r="2" spans="1:50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159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121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t="s">
        <v>121</v>
      </c>
      <c r="AM2" t="s">
        <v>36</v>
      </c>
      <c r="AN2" t="s">
        <v>50</v>
      </c>
      <c r="AO2" t="s">
        <v>57</v>
      </c>
      <c r="AP2" t="s">
        <v>14</v>
      </c>
      <c r="AQ2" t="s">
        <v>13</v>
      </c>
      <c r="AR2" t="s">
        <v>13</v>
      </c>
      <c r="AS2" t="s">
        <v>57</v>
      </c>
      <c r="AT2" t="s">
        <v>57</v>
      </c>
      <c r="AU2" t="s">
        <v>57</v>
      </c>
      <c r="AV2" t="s">
        <v>10</v>
      </c>
      <c r="AW2" t="s">
        <v>10</v>
      </c>
      <c r="AX2" t="s">
        <v>170</v>
      </c>
    </row>
    <row r="3" spans="1:50">
      <c r="A3" s="2" t="s">
        <v>171</v>
      </c>
      <c r="B3" s="2" t="s">
        <v>172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3" t="s">
        <v>173</v>
      </c>
      <c r="K3" s="3" t="s">
        <v>174</v>
      </c>
      <c r="L3" s="3" t="s">
        <v>175</v>
      </c>
      <c r="M3" s="3" t="s">
        <v>176</v>
      </c>
      <c r="N3" s="3" t="s">
        <v>177</v>
      </c>
      <c r="O3" s="3" t="s">
        <v>178</v>
      </c>
      <c r="P3" s="3" t="s">
        <v>179</v>
      </c>
      <c r="Q3" s="3" t="s">
        <v>466</v>
      </c>
      <c r="R3" s="3" t="s">
        <v>467</v>
      </c>
      <c r="S3" s="3" t="s">
        <v>180</v>
      </c>
      <c r="T3" s="3" t="s">
        <v>181</v>
      </c>
      <c r="U3" s="3" t="s">
        <v>182</v>
      </c>
      <c r="V3" s="3" t="s">
        <v>183</v>
      </c>
      <c r="W3" s="3" t="s">
        <v>184</v>
      </c>
      <c r="X3" s="3" t="s">
        <v>185</v>
      </c>
      <c r="Y3" s="3" t="s">
        <v>186</v>
      </c>
      <c r="Z3" s="3" t="s">
        <v>187</v>
      </c>
      <c r="AA3" s="3" t="s">
        <v>188</v>
      </c>
      <c r="AB3" s="3" t="s">
        <v>152</v>
      </c>
      <c r="AC3" s="3" t="s">
        <v>189</v>
      </c>
      <c r="AD3" s="3" t="s">
        <v>190</v>
      </c>
      <c r="AE3" s="3" t="s">
        <v>191</v>
      </c>
      <c r="AF3" s="3" t="s">
        <v>192</v>
      </c>
      <c r="AG3" s="3" t="s">
        <v>193</v>
      </c>
      <c r="AH3" s="3" t="s">
        <v>194</v>
      </c>
      <c r="AI3" s="3" t="s">
        <v>195</v>
      </c>
      <c r="AJ3" s="3" t="s">
        <v>196</v>
      </c>
      <c r="AK3" s="3" t="s">
        <v>197</v>
      </c>
      <c r="AL3" s="3" t="s">
        <v>198</v>
      </c>
      <c r="AM3" s="3" t="s">
        <v>199</v>
      </c>
      <c r="AN3" s="3" t="s">
        <v>200</v>
      </c>
      <c r="AO3" s="3" t="s">
        <v>201</v>
      </c>
      <c r="AP3" s="3" t="s">
        <v>202</v>
      </c>
      <c r="AQ3" s="3" t="s">
        <v>142</v>
      </c>
      <c r="AR3" s="3" t="s">
        <v>143</v>
      </c>
      <c r="AS3" s="3" t="s">
        <v>203</v>
      </c>
      <c r="AT3" s="3" t="s">
        <v>236</v>
      </c>
      <c r="AU3" s="3" t="s">
        <v>297</v>
      </c>
      <c r="AV3" s="3" t="s">
        <v>530</v>
      </c>
      <c r="AW3" s="2" t="s">
        <v>144</v>
      </c>
      <c r="AX3" s="7" t="s">
        <v>130</v>
      </c>
    </row>
    <row r="4" spans="1:50">
      <c r="A4" s="3" t="s">
        <v>146</v>
      </c>
      <c r="B4" s="3" t="s">
        <v>147</v>
      </c>
      <c r="C4" s="3" t="s">
        <v>171</v>
      </c>
      <c r="D4" s="3" t="s">
        <v>173</v>
      </c>
      <c r="E4" s="3" t="s">
        <v>149</v>
      </c>
      <c r="F4" s="4">
        <f t="shared" ref="F4:F18" ca="1" si="0">NOW()</f>
        <v>44265.404203935184</v>
      </c>
      <c r="G4" s="3" t="s">
        <v>206</v>
      </c>
      <c r="H4" s="3" t="s">
        <v>173</v>
      </c>
      <c r="I4" s="3" t="s">
        <v>205</v>
      </c>
      <c r="J4" s="3" t="s">
        <v>206</v>
      </c>
      <c r="K4" s="3" t="s">
        <v>207</v>
      </c>
      <c r="L4" s="3" t="s">
        <v>173</v>
      </c>
      <c r="M4" s="3" t="s">
        <v>207</v>
      </c>
      <c r="O4" s="3" t="s">
        <v>207</v>
      </c>
      <c r="P4" s="3" t="s">
        <v>207</v>
      </c>
      <c r="Q4" s="3" t="s">
        <v>267</v>
      </c>
      <c r="R4" s="3" t="s">
        <v>267</v>
      </c>
      <c r="S4" s="3" t="s">
        <v>207</v>
      </c>
      <c r="T4" s="3" t="s">
        <v>524</v>
      </c>
      <c r="U4" s="3" t="s">
        <v>18</v>
      </c>
      <c r="V4" s="3" t="s">
        <v>209</v>
      </c>
      <c r="W4" s="3" t="s">
        <v>210</v>
      </c>
      <c r="X4" s="3" t="s">
        <v>173</v>
      </c>
      <c r="Y4" t="s">
        <v>211</v>
      </c>
      <c r="AA4" s="3" t="s">
        <v>207</v>
      </c>
      <c r="AD4" t="s">
        <v>472</v>
      </c>
      <c r="AE4" s="9" t="s">
        <v>329</v>
      </c>
      <c r="AF4" s="9" t="s">
        <v>329</v>
      </c>
      <c r="AG4" s="3" t="s">
        <v>473</v>
      </c>
      <c r="AH4" s="3" t="s">
        <v>96</v>
      </c>
      <c r="AK4" t="s">
        <v>213</v>
      </c>
      <c r="AM4" s="3" t="s">
        <v>173</v>
      </c>
      <c r="AO4" s="3" t="s">
        <v>173</v>
      </c>
      <c r="AQ4" s="3" t="s">
        <v>154</v>
      </c>
      <c r="AV4" s="3"/>
      <c r="AW4" s="3" t="s">
        <v>156</v>
      </c>
      <c r="AX4" s="3" t="s">
        <v>531</v>
      </c>
    </row>
    <row r="5" spans="1:50">
      <c r="A5" s="3" t="s">
        <v>146</v>
      </c>
      <c r="B5" s="3" t="s">
        <v>147</v>
      </c>
      <c r="C5" s="3" t="s">
        <v>171</v>
      </c>
      <c r="D5" s="3" t="s">
        <v>173</v>
      </c>
      <c r="E5" s="3" t="s">
        <v>149</v>
      </c>
      <c r="F5" s="4">
        <f t="shared" ca="1" si="0"/>
        <v>44265.404203935184</v>
      </c>
      <c r="G5" s="3" t="s">
        <v>206</v>
      </c>
      <c r="H5" s="3" t="s">
        <v>173</v>
      </c>
      <c r="I5" s="3" t="s">
        <v>205</v>
      </c>
      <c r="J5" s="3" t="s">
        <v>206</v>
      </c>
      <c r="K5" s="3" t="s">
        <v>207</v>
      </c>
      <c r="L5" s="3" t="s">
        <v>209</v>
      </c>
      <c r="M5" s="3" t="s">
        <v>207</v>
      </c>
      <c r="O5" s="3" t="s">
        <v>207</v>
      </c>
      <c r="P5" s="3" t="s">
        <v>207</v>
      </c>
      <c r="Q5" s="3" t="s">
        <v>267</v>
      </c>
      <c r="R5" s="3" t="s">
        <v>267</v>
      </c>
      <c r="S5" s="3" t="s">
        <v>207</v>
      </c>
      <c r="T5" s="3" t="s">
        <v>173</v>
      </c>
      <c r="U5" t="s">
        <v>208</v>
      </c>
      <c r="V5" s="3" t="s">
        <v>209</v>
      </c>
      <c r="W5" s="3" t="s">
        <v>474</v>
      </c>
      <c r="X5" s="3" t="s">
        <v>173</v>
      </c>
      <c r="Y5" t="s">
        <v>211</v>
      </c>
      <c r="AA5" s="3" t="s">
        <v>207</v>
      </c>
      <c r="AD5" t="s">
        <v>212</v>
      </c>
      <c r="AE5" s="9" t="s">
        <v>328</v>
      </c>
      <c r="AF5" s="9" t="s">
        <v>328</v>
      </c>
      <c r="AG5" t="s">
        <v>208</v>
      </c>
      <c r="AH5" s="3" t="s">
        <v>173</v>
      </c>
      <c r="AK5" t="s">
        <v>213</v>
      </c>
      <c r="AM5" s="3" t="s">
        <v>173</v>
      </c>
      <c r="AO5" s="3" t="s">
        <v>173</v>
      </c>
      <c r="AQ5" s="3" t="s">
        <v>154</v>
      </c>
      <c r="AV5" s="3"/>
      <c r="AW5" s="3" t="s">
        <v>156</v>
      </c>
      <c r="AX5" s="3" t="s">
        <v>532</v>
      </c>
    </row>
    <row r="6" spans="1:50">
      <c r="A6" s="3" t="s">
        <v>146</v>
      </c>
      <c r="B6" s="3" t="s">
        <v>147</v>
      </c>
      <c r="C6" s="3" t="s">
        <v>171</v>
      </c>
      <c r="D6" s="3" t="s">
        <v>173</v>
      </c>
      <c r="E6" s="3" t="s">
        <v>149</v>
      </c>
      <c r="F6" s="4">
        <f t="shared" ca="1" si="0"/>
        <v>44265.404203935184</v>
      </c>
      <c r="G6" s="3" t="s">
        <v>206</v>
      </c>
      <c r="H6" s="3" t="s">
        <v>173</v>
      </c>
      <c r="I6" s="3" t="s">
        <v>205</v>
      </c>
      <c r="J6" s="3" t="s">
        <v>206</v>
      </c>
      <c r="K6" s="3" t="s">
        <v>207</v>
      </c>
      <c r="L6" s="3" t="s">
        <v>209</v>
      </c>
      <c r="M6" s="3" t="s">
        <v>207</v>
      </c>
      <c r="O6" s="3" t="s">
        <v>207</v>
      </c>
      <c r="P6" s="3" t="s">
        <v>207</v>
      </c>
      <c r="Q6" s="3" t="s">
        <v>267</v>
      </c>
      <c r="R6" s="3" t="s">
        <v>267</v>
      </c>
      <c r="S6" s="3" t="s">
        <v>207</v>
      </c>
      <c r="T6" s="3" t="s">
        <v>173</v>
      </c>
      <c r="U6" s="3" t="s">
        <v>171</v>
      </c>
      <c r="V6" s="3" t="s">
        <v>209</v>
      </c>
      <c r="W6" s="3" t="s">
        <v>474</v>
      </c>
      <c r="X6" s="3" t="s">
        <v>173</v>
      </c>
      <c r="Y6" t="s">
        <v>211</v>
      </c>
      <c r="AA6" s="3" t="s">
        <v>328</v>
      </c>
      <c r="AD6" t="s">
        <v>212</v>
      </c>
      <c r="AE6" s="9" t="s">
        <v>328</v>
      </c>
      <c r="AF6" s="9" t="s">
        <v>328</v>
      </c>
      <c r="AG6" s="3" t="s">
        <v>521</v>
      </c>
      <c r="AH6" s="3" t="s">
        <v>96</v>
      </c>
      <c r="AK6" t="s">
        <v>213</v>
      </c>
      <c r="AM6" s="3" t="s">
        <v>173</v>
      </c>
      <c r="AO6" s="3" t="s">
        <v>173</v>
      </c>
      <c r="AQ6" s="3" t="s">
        <v>154</v>
      </c>
      <c r="AV6" s="3"/>
      <c r="AW6" s="3" t="s">
        <v>156</v>
      </c>
      <c r="AX6" s="3" t="s">
        <v>533</v>
      </c>
    </row>
    <row r="7" spans="1:50">
      <c r="A7" s="3" t="s">
        <v>146</v>
      </c>
      <c r="B7" s="3" t="s">
        <v>496</v>
      </c>
      <c r="C7" s="3" t="s">
        <v>18</v>
      </c>
      <c r="D7" s="3" t="s">
        <v>29</v>
      </c>
      <c r="E7" s="3" t="s">
        <v>489</v>
      </c>
      <c r="F7" s="4">
        <f t="shared" ca="1" si="0"/>
        <v>44265.404203935184</v>
      </c>
      <c r="G7" s="3" t="s">
        <v>206</v>
      </c>
      <c r="H7" s="3" t="s">
        <v>29</v>
      </c>
      <c r="I7" s="3" t="s">
        <v>497</v>
      </c>
      <c r="J7" s="3" t="s">
        <v>206</v>
      </c>
      <c r="K7" s="3" t="s">
        <v>64</v>
      </c>
      <c r="L7" s="3" t="s">
        <v>95</v>
      </c>
      <c r="M7" s="3" t="s">
        <v>64</v>
      </c>
      <c r="O7" s="3" t="s">
        <v>64</v>
      </c>
      <c r="P7" s="3" t="s">
        <v>64</v>
      </c>
      <c r="Q7" s="3" t="s">
        <v>64</v>
      </c>
      <c r="R7" s="3" t="s">
        <v>64</v>
      </c>
      <c r="S7" s="3" t="s">
        <v>64</v>
      </c>
      <c r="T7" s="3" t="s">
        <v>29</v>
      </c>
      <c r="U7" t="s">
        <v>148</v>
      </c>
      <c r="V7" s="3" t="s">
        <v>66</v>
      </c>
      <c r="W7" s="3" t="s">
        <v>476</v>
      </c>
      <c r="X7" s="3" t="s">
        <v>29</v>
      </c>
      <c r="Y7" t="s">
        <v>211</v>
      </c>
      <c r="AA7" s="3" t="s">
        <v>95</v>
      </c>
      <c r="AD7" t="s">
        <v>62</v>
      </c>
      <c r="AE7" s="9" t="s">
        <v>328</v>
      </c>
      <c r="AF7" s="9" t="s">
        <v>328</v>
      </c>
      <c r="AG7" t="s">
        <v>148</v>
      </c>
      <c r="AH7" s="3" t="s">
        <v>29</v>
      </c>
      <c r="AK7" t="s">
        <v>482</v>
      </c>
      <c r="AM7" s="3" t="s">
        <v>29</v>
      </c>
      <c r="AO7" s="3" t="s">
        <v>29</v>
      </c>
      <c r="AQ7" s="3" t="s">
        <v>293</v>
      </c>
      <c r="AW7" s="3" t="s">
        <v>156</v>
      </c>
      <c r="AX7" s="3" t="s">
        <v>533</v>
      </c>
    </row>
    <row r="8" spans="1:50">
      <c r="A8" s="3" t="s">
        <v>495</v>
      </c>
      <c r="B8" s="3" t="s">
        <v>496</v>
      </c>
      <c r="C8" s="3" t="s">
        <v>18</v>
      </c>
      <c r="D8" s="3" t="s">
        <v>29</v>
      </c>
      <c r="E8" s="3" t="s">
        <v>489</v>
      </c>
      <c r="F8" s="4">
        <f t="shared" ca="1" si="0"/>
        <v>44265.404203935184</v>
      </c>
      <c r="G8" s="3" t="s">
        <v>488</v>
      </c>
      <c r="H8" s="3" t="s">
        <v>29</v>
      </c>
      <c r="I8" s="3" t="s">
        <v>497</v>
      </c>
      <c r="J8" s="3" t="s">
        <v>488</v>
      </c>
      <c r="K8" s="3" t="s">
        <v>64</v>
      </c>
      <c r="L8" s="3" t="s">
        <v>95</v>
      </c>
      <c r="M8" s="3" t="s">
        <v>64</v>
      </c>
      <c r="O8" s="3" t="s">
        <v>64</v>
      </c>
      <c r="P8" s="3" t="s">
        <v>64</v>
      </c>
      <c r="Q8" s="3" t="s">
        <v>64</v>
      </c>
      <c r="R8" s="3" t="s">
        <v>64</v>
      </c>
      <c r="S8" s="3" t="s">
        <v>64</v>
      </c>
      <c r="T8" s="3" t="s">
        <v>29</v>
      </c>
      <c r="U8" s="3" t="s">
        <v>64</v>
      </c>
      <c r="V8" s="3" t="s">
        <v>66</v>
      </c>
      <c r="W8" s="3" t="s">
        <v>476</v>
      </c>
      <c r="X8" s="3" t="s">
        <v>29</v>
      </c>
      <c r="Y8" t="s">
        <v>491</v>
      </c>
      <c r="AA8" s="3" t="s">
        <v>95</v>
      </c>
      <c r="AD8" t="s">
        <v>212</v>
      </c>
      <c r="AE8" s="9" t="s">
        <v>328</v>
      </c>
      <c r="AF8" s="9" t="s">
        <v>328</v>
      </c>
      <c r="AG8" s="3" t="s">
        <v>64</v>
      </c>
      <c r="AH8" s="3" t="s">
        <v>29</v>
      </c>
      <c r="AK8" t="s">
        <v>482</v>
      </c>
      <c r="AM8" s="3" t="s">
        <v>29</v>
      </c>
      <c r="AO8" s="3" t="s">
        <v>29</v>
      </c>
      <c r="AQ8" s="3" t="s">
        <v>498</v>
      </c>
      <c r="AW8" s="3" t="s">
        <v>493</v>
      </c>
      <c r="AX8" s="3" t="s">
        <v>533</v>
      </c>
    </row>
    <row r="9" spans="1:50">
      <c r="A9" s="3" t="s">
        <v>499</v>
      </c>
      <c r="B9" s="3" t="s">
        <v>500</v>
      </c>
      <c r="C9" s="3" t="s">
        <v>18</v>
      </c>
      <c r="D9" s="3" t="s">
        <v>29</v>
      </c>
      <c r="E9" s="3" t="s">
        <v>489</v>
      </c>
      <c r="F9" s="4">
        <f t="shared" ca="1" si="0"/>
        <v>44265.404203935184</v>
      </c>
      <c r="G9" s="3" t="s">
        <v>488</v>
      </c>
      <c r="H9" s="3" t="s">
        <v>29</v>
      </c>
      <c r="I9" s="3" t="s">
        <v>497</v>
      </c>
      <c r="J9" s="3" t="s">
        <v>488</v>
      </c>
      <c r="K9" s="3" t="s">
        <v>64</v>
      </c>
      <c r="L9" s="3" t="s">
        <v>95</v>
      </c>
      <c r="M9" s="3" t="s">
        <v>64</v>
      </c>
      <c r="O9" s="3" t="s">
        <v>64</v>
      </c>
      <c r="P9" s="3" t="s">
        <v>64</v>
      </c>
      <c r="Q9" s="3" t="s">
        <v>64</v>
      </c>
      <c r="R9" s="3" t="s">
        <v>64</v>
      </c>
      <c r="S9" s="3" t="s">
        <v>64</v>
      </c>
      <c r="T9" s="3" t="s">
        <v>29</v>
      </c>
      <c r="U9" s="3" t="s">
        <v>463</v>
      </c>
      <c r="V9" s="3" t="s">
        <v>66</v>
      </c>
      <c r="W9" s="3" t="s">
        <v>476</v>
      </c>
      <c r="X9" s="3" t="s">
        <v>29</v>
      </c>
      <c r="Y9" t="s">
        <v>491</v>
      </c>
      <c r="AA9" s="3" t="s">
        <v>95</v>
      </c>
      <c r="AD9" t="s">
        <v>212</v>
      </c>
      <c r="AE9" s="9" t="s">
        <v>328</v>
      </c>
      <c r="AF9" s="9" t="s">
        <v>328</v>
      </c>
      <c r="AG9" s="3" t="s">
        <v>463</v>
      </c>
      <c r="AH9" s="3" t="s">
        <v>96</v>
      </c>
      <c r="AK9" t="s">
        <v>482</v>
      </c>
      <c r="AM9" s="3" t="s">
        <v>29</v>
      </c>
      <c r="AO9" s="3" t="s">
        <v>29</v>
      </c>
      <c r="AQ9" s="3" t="s">
        <v>498</v>
      </c>
      <c r="AV9" s="3"/>
      <c r="AW9" s="3" t="s">
        <v>493</v>
      </c>
      <c r="AX9" s="3" t="s">
        <v>533</v>
      </c>
    </row>
    <row r="10" spans="1:50">
      <c r="A10" s="3" t="s">
        <v>499</v>
      </c>
      <c r="B10" s="3" t="s">
        <v>147</v>
      </c>
      <c r="C10" s="3" t="s">
        <v>18</v>
      </c>
      <c r="D10" s="3" t="s">
        <v>29</v>
      </c>
      <c r="E10" s="3" t="s">
        <v>489</v>
      </c>
      <c r="F10" s="4">
        <f t="shared" ca="1" si="0"/>
        <v>44265.404203935184</v>
      </c>
      <c r="G10" s="3" t="s">
        <v>206</v>
      </c>
      <c r="H10" s="3" t="s">
        <v>29</v>
      </c>
      <c r="I10" s="3" t="s">
        <v>497</v>
      </c>
      <c r="J10" s="3" t="s">
        <v>206</v>
      </c>
      <c r="K10" s="3" t="s">
        <v>64</v>
      </c>
      <c r="L10" s="3" t="s">
        <v>501</v>
      </c>
      <c r="M10" s="3" t="s">
        <v>64</v>
      </c>
      <c r="O10" s="3" t="s">
        <v>64</v>
      </c>
      <c r="P10" s="3" t="s">
        <v>64</v>
      </c>
      <c r="Q10" s="3" t="s">
        <v>64</v>
      </c>
      <c r="R10" s="3" t="s">
        <v>64</v>
      </c>
      <c r="S10" s="3" t="s">
        <v>64</v>
      </c>
      <c r="T10" s="3" t="s">
        <v>29</v>
      </c>
      <c r="U10" t="s">
        <v>148</v>
      </c>
      <c r="V10" s="3" t="s">
        <v>66</v>
      </c>
      <c r="W10" s="3" t="s">
        <v>476</v>
      </c>
      <c r="X10" s="3" t="s">
        <v>92</v>
      </c>
      <c r="Y10" t="s">
        <v>211</v>
      </c>
      <c r="AA10" s="3" t="s">
        <v>463</v>
      </c>
      <c r="AD10" t="s">
        <v>526</v>
      </c>
      <c r="AE10" s="9" t="s">
        <v>328</v>
      </c>
      <c r="AF10" s="9" t="s">
        <v>328</v>
      </c>
      <c r="AG10" t="s">
        <v>148</v>
      </c>
      <c r="AH10" s="3" t="s">
        <v>29</v>
      </c>
      <c r="AK10" t="s">
        <v>482</v>
      </c>
      <c r="AM10" s="3" t="s">
        <v>29</v>
      </c>
      <c r="AO10" s="3" t="s">
        <v>29</v>
      </c>
      <c r="AQ10" s="3" t="s">
        <v>293</v>
      </c>
      <c r="AV10" s="3"/>
      <c r="AW10" s="3" t="s">
        <v>156</v>
      </c>
      <c r="AX10" s="3" t="s">
        <v>533</v>
      </c>
    </row>
    <row r="11" spans="1:50">
      <c r="A11" s="3" t="s">
        <v>499</v>
      </c>
      <c r="B11" s="3" t="s">
        <v>500</v>
      </c>
      <c r="C11" s="3" t="s">
        <v>18</v>
      </c>
      <c r="D11" s="3" t="s">
        <v>29</v>
      </c>
      <c r="E11" s="3" t="s">
        <v>489</v>
      </c>
      <c r="F11" s="4">
        <f t="shared" ca="1" si="0"/>
        <v>44265.404203935184</v>
      </c>
      <c r="G11" s="3" t="s">
        <v>488</v>
      </c>
      <c r="H11" s="3" t="s">
        <v>29</v>
      </c>
      <c r="I11" s="3" t="s">
        <v>497</v>
      </c>
      <c r="J11" s="3" t="s">
        <v>488</v>
      </c>
      <c r="K11" s="3" t="s">
        <v>64</v>
      </c>
      <c r="L11" s="3" t="s">
        <v>501</v>
      </c>
      <c r="M11" s="3" t="s">
        <v>64</v>
      </c>
      <c r="O11" s="3" t="s">
        <v>64</v>
      </c>
      <c r="P11" s="3" t="s">
        <v>64</v>
      </c>
      <c r="Q11" s="3" t="s">
        <v>64</v>
      </c>
      <c r="R11" s="3" t="s">
        <v>64</v>
      </c>
      <c r="S11" s="3" t="s">
        <v>64</v>
      </c>
      <c r="T11" s="3" t="s">
        <v>29</v>
      </c>
      <c r="U11" s="3" t="s">
        <v>64</v>
      </c>
      <c r="V11" s="3" t="s">
        <v>66</v>
      </c>
      <c r="W11" s="3" t="s">
        <v>476</v>
      </c>
      <c r="X11" s="3" t="s">
        <v>92</v>
      </c>
      <c r="Y11" t="s">
        <v>491</v>
      </c>
      <c r="AA11" s="3" t="s">
        <v>463</v>
      </c>
      <c r="AD11" t="s">
        <v>526</v>
      </c>
      <c r="AE11" s="9" t="s">
        <v>328</v>
      </c>
      <c r="AF11" s="9" t="s">
        <v>328</v>
      </c>
      <c r="AG11" s="3" t="s">
        <v>64</v>
      </c>
      <c r="AH11" s="3" t="s">
        <v>29</v>
      </c>
      <c r="AK11" t="s">
        <v>482</v>
      </c>
      <c r="AM11" s="3" t="s">
        <v>29</v>
      </c>
      <c r="AO11" s="3" t="s">
        <v>29</v>
      </c>
      <c r="AQ11" s="3" t="s">
        <v>498</v>
      </c>
      <c r="AV11" s="3"/>
      <c r="AW11" s="3" t="s">
        <v>493</v>
      </c>
      <c r="AX11" s="3" t="s">
        <v>533</v>
      </c>
    </row>
    <row r="12" spans="1:50">
      <c r="A12" s="3" t="s">
        <v>499</v>
      </c>
      <c r="B12" s="3" t="s">
        <v>500</v>
      </c>
      <c r="C12" s="3" t="s">
        <v>18</v>
      </c>
      <c r="D12" s="3" t="s">
        <v>29</v>
      </c>
      <c r="E12" s="3" t="s">
        <v>489</v>
      </c>
      <c r="F12" s="4">
        <f t="shared" ca="1" si="0"/>
        <v>44265.404203935184</v>
      </c>
      <c r="G12" s="3" t="s">
        <v>488</v>
      </c>
      <c r="H12" s="3" t="s">
        <v>29</v>
      </c>
      <c r="I12" s="3" t="s">
        <v>497</v>
      </c>
      <c r="J12" s="3" t="s">
        <v>488</v>
      </c>
      <c r="K12" s="3" t="s">
        <v>64</v>
      </c>
      <c r="L12" s="3" t="s">
        <v>502</v>
      </c>
      <c r="M12" s="3" t="s">
        <v>64</v>
      </c>
      <c r="O12" s="3" t="s">
        <v>64</v>
      </c>
      <c r="P12" s="3" t="s">
        <v>64</v>
      </c>
      <c r="Q12" s="3" t="s">
        <v>64</v>
      </c>
      <c r="R12" s="3" t="s">
        <v>64</v>
      </c>
      <c r="S12" s="3" t="s">
        <v>64</v>
      </c>
      <c r="T12" s="3" t="s">
        <v>29</v>
      </c>
      <c r="U12" s="3" t="s">
        <v>463</v>
      </c>
      <c r="V12" s="3" t="s">
        <v>66</v>
      </c>
      <c r="W12" s="3" t="s">
        <v>476</v>
      </c>
      <c r="X12" s="3" t="s">
        <v>525</v>
      </c>
      <c r="Y12" t="s">
        <v>491</v>
      </c>
      <c r="AA12" s="3" t="s">
        <v>463</v>
      </c>
      <c r="AD12" t="s">
        <v>100</v>
      </c>
      <c r="AE12" s="9" t="s">
        <v>328</v>
      </c>
      <c r="AF12" s="9" t="s">
        <v>328</v>
      </c>
      <c r="AG12" s="3" t="s">
        <v>463</v>
      </c>
      <c r="AH12" s="3" t="s">
        <v>96</v>
      </c>
      <c r="AK12" t="s">
        <v>482</v>
      </c>
      <c r="AM12" s="3" t="s">
        <v>29</v>
      </c>
      <c r="AO12" s="3" t="s">
        <v>29</v>
      </c>
      <c r="AQ12" s="3" t="s">
        <v>498</v>
      </c>
      <c r="AV12" s="3"/>
      <c r="AW12" s="3" t="s">
        <v>493</v>
      </c>
      <c r="AX12" s="3" t="s">
        <v>533</v>
      </c>
    </row>
    <row r="13" spans="1:50">
      <c r="A13" s="3" t="s">
        <v>146</v>
      </c>
      <c r="B13" s="3" t="s">
        <v>147</v>
      </c>
      <c r="C13" s="3" t="s">
        <v>171</v>
      </c>
      <c r="D13" s="3" t="s">
        <v>173</v>
      </c>
      <c r="E13" s="3" t="s">
        <v>149</v>
      </c>
      <c r="F13" s="4">
        <f t="shared" ca="1" si="0"/>
        <v>44265.404203935184</v>
      </c>
      <c r="G13" s="3" t="s">
        <v>150</v>
      </c>
      <c r="H13" s="3" t="s">
        <v>173</v>
      </c>
      <c r="I13" s="3" t="s">
        <v>205</v>
      </c>
      <c r="J13" s="3" t="s">
        <v>150</v>
      </c>
      <c r="K13" s="3" t="s">
        <v>207</v>
      </c>
      <c r="L13" s="3" t="s">
        <v>291</v>
      </c>
      <c r="M13" s="3" t="s">
        <v>207</v>
      </c>
      <c r="O13" s="3" t="s">
        <v>207</v>
      </c>
      <c r="P13" s="3" t="s">
        <v>207</v>
      </c>
      <c r="Q13" s="3" t="s">
        <v>267</v>
      </c>
      <c r="R13" s="3" t="s">
        <v>267</v>
      </c>
      <c r="S13" s="3" t="s">
        <v>207</v>
      </c>
      <c r="T13" s="3" t="s">
        <v>464</v>
      </c>
      <c r="U13" s="3" t="s">
        <v>510</v>
      </c>
      <c r="V13" s="3" t="s">
        <v>209</v>
      </c>
      <c r="W13" s="3" t="s">
        <v>210</v>
      </c>
      <c r="X13" s="3" t="s">
        <v>173</v>
      </c>
      <c r="Y13" t="s">
        <v>211</v>
      </c>
      <c r="AA13" s="3" t="s">
        <v>207</v>
      </c>
      <c r="AD13" t="s">
        <v>212</v>
      </c>
      <c r="AE13" s="9" t="s">
        <v>329</v>
      </c>
      <c r="AF13" s="9" t="s">
        <v>329</v>
      </c>
      <c r="AG13" s="3" t="s">
        <v>208</v>
      </c>
      <c r="AH13" s="3" t="s">
        <v>123</v>
      </c>
      <c r="AK13" t="s">
        <v>213</v>
      </c>
      <c r="AM13" s="3" t="s">
        <v>173</v>
      </c>
      <c r="AO13" s="3" t="s">
        <v>173</v>
      </c>
      <c r="AQ13" s="3" t="s">
        <v>154</v>
      </c>
      <c r="AV13" s="3"/>
      <c r="AW13" s="3" t="s">
        <v>156</v>
      </c>
      <c r="AX13" s="3" t="s">
        <v>533</v>
      </c>
    </row>
    <row r="14" spans="1:50">
      <c r="A14" s="3" t="s">
        <v>470</v>
      </c>
      <c r="B14" s="3" t="s">
        <v>147</v>
      </c>
      <c r="C14" s="3" t="s">
        <v>171</v>
      </c>
      <c r="D14" s="3" t="s">
        <v>173</v>
      </c>
      <c r="E14" s="3" t="s">
        <v>149</v>
      </c>
      <c r="F14" s="4">
        <f t="shared" ca="1" si="0"/>
        <v>44265.404203935184</v>
      </c>
      <c r="G14" s="3" t="s">
        <v>150</v>
      </c>
      <c r="H14" s="3" t="s">
        <v>173</v>
      </c>
      <c r="I14" s="3" t="s">
        <v>205</v>
      </c>
      <c r="J14" s="3" t="s">
        <v>150</v>
      </c>
      <c r="K14" s="3" t="s">
        <v>207</v>
      </c>
      <c r="L14" s="3" t="s">
        <v>291</v>
      </c>
      <c r="M14" s="3" t="s">
        <v>207</v>
      </c>
      <c r="O14" s="3" t="s">
        <v>207</v>
      </c>
      <c r="P14" s="3" t="s">
        <v>207</v>
      </c>
      <c r="Q14" s="3" t="s">
        <v>267</v>
      </c>
      <c r="R14" s="3" t="s">
        <v>267</v>
      </c>
      <c r="S14" s="3" t="s">
        <v>207</v>
      </c>
      <c r="T14" s="3" t="s">
        <v>464</v>
      </c>
      <c r="U14" s="3" t="s">
        <v>511</v>
      </c>
      <c r="V14" s="3" t="s">
        <v>209</v>
      </c>
      <c r="W14" s="3" t="s">
        <v>210</v>
      </c>
      <c r="X14" s="3" t="s">
        <v>173</v>
      </c>
      <c r="Y14" t="s">
        <v>211</v>
      </c>
      <c r="AA14" s="3" t="s">
        <v>207</v>
      </c>
      <c r="AD14" t="s">
        <v>212</v>
      </c>
      <c r="AE14" s="9" t="s">
        <v>329</v>
      </c>
      <c r="AF14" s="9" t="s">
        <v>329</v>
      </c>
      <c r="AG14" s="3" t="s">
        <v>64</v>
      </c>
      <c r="AH14" s="3" t="s">
        <v>66</v>
      </c>
      <c r="AK14" t="s">
        <v>213</v>
      </c>
      <c r="AM14" s="3" t="s">
        <v>173</v>
      </c>
      <c r="AO14" s="3" t="s">
        <v>173</v>
      </c>
      <c r="AQ14" s="3" t="s">
        <v>154</v>
      </c>
      <c r="AV14" s="3"/>
      <c r="AW14" s="3" t="s">
        <v>156</v>
      </c>
      <c r="AX14" s="3" t="s">
        <v>533</v>
      </c>
    </row>
    <row r="15" spans="1:50">
      <c r="A15" s="3" t="s">
        <v>146</v>
      </c>
      <c r="B15" s="3" t="s">
        <v>147</v>
      </c>
      <c r="C15" s="3" t="s">
        <v>171</v>
      </c>
      <c r="D15" s="3" t="s">
        <v>173</v>
      </c>
      <c r="E15" s="3" t="s">
        <v>149</v>
      </c>
      <c r="F15" s="4">
        <f t="shared" ca="1" si="0"/>
        <v>44265.404203935184</v>
      </c>
      <c r="G15" s="3" t="s">
        <v>150</v>
      </c>
      <c r="H15" s="3" t="s">
        <v>173</v>
      </c>
      <c r="I15" s="3" t="s">
        <v>205</v>
      </c>
      <c r="J15" s="3" t="s">
        <v>150</v>
      </c>
      <c r="K15" s="3" t="s">
        <v>207</v>
      </c>
      <c r="L15" s="3" t="s">
        <v>512</v>
      </c>
      <c r="M15" s="3" t="s">
        <v>207</v>
      </c>
      <c r="O15" s="3" t="s">
        <v>207</v>
      </c>
      <c r="P15" s="3" t="s">
        <v>207</v>
      </c>
      <c r="Q15" s="3" t="s">
        <v>64</v>
      </c>
      <c r="R15" s="3" t="s">
        <v>64</v>
      </c>
      <c r="S15" s="3" t="s">
        <v>207</v>
      </c>
      <c r="T15" s="3" t="s">
        <v>514</v>
      </c>
      <c r="U15" s="3" t="s">
        <v>510</v>
      </c>
      <c r="V15" s="3" t="s">
        <v>209</v>
      </c>
      <c r="W15" s="3" t="s">
        <v>516</v>
      </c>
      <c r="X15" s="3" t="s">
        <v>66</v>
      </c>
      <c r="Y15" t="s">
        <v>211</v>
      </c>
      <c r="AA15" s="3" t="s">
        <v>207</v>
      </c>
      <c r="AD15" t="s">
        <v>100</v>
      </c>
      <c r="AE15" s="9" t="s">
        <v>329</v>
      </c>
      <c r="AF15" s="9" t="s">
        <v>329</v>
      </c>
      <c r="AG15" s="3" t="s">
        <v>208</v>
      </c>
      <c r="AH15" s="3" t="s">
        <v>517</v>
      </c>
      <c r="AK15" t="s">
        <v>213</v>
      </c>
      <c r="AM15" s="3" t="s">
        <v>173</v>
      </c>
      <c r="AO15" s="3" t="s">
        <v>173</v>
      </c>
      <c r="AQ15" s="3" t="s">
        <v>154</v>
      </c>
      <c r="AV15" s="3"/>
      <c r="AW15" s="3" t="s">
        <v>156</v>
      </c>
      <c r="AX15" s="3" t="s">
        <v>533</v>
      </c>
    </row>
    <row r="16" spans="1:50">
      <c r="A16" s="3" t="s">
        <v>146</v>
      </c>
      <c r="B16" s="3" t="s">
        <v>147</v>
      </c>
      <c r="C16" s="3" t="s">
        <v>171</v>
      </c>
      <c r="D16" s="3" t="s">
        <v>173</v>
      </c>
      <c r="E16" s="3" t="s">
        <v>149</v>
      </c>
      <c r="F16" s="4">
        <f t="shared" ca="1" si="0"/>
        <v>44265.404203935184</v>
      </c>
      <c r="G16" s="3" t="s">
        <v>150</v>
      </c>
      <c r="H16" s="3" t="s">
        <v>173</v>
      </c>
      <c r="I16" s="3" t="s">
        <v>205</v>
      </c>
      <c r="J16" s="3" t="s">
        <v>150</v>
      </c>
      <c r="K16" s="3" t="s">
        <v>207</v>
      </c>
      <c r="L16" s="3" t="s">
        <v>513</v>
      </c>
      <c r="M16" s="3" t="s">
        <v>207</v>
      </c>
      <c r="O16" s="3" t="s">
        <v>207</v>
      </c>
      <c r="P16" s="3" t="s">
        <v>207</v>
      </c>
      <c r="Q16" s="3" t="s">
        <v>267</v>
      </c>
      <c r="R16" s="3" t="s">
        <v>267</v>
      </c>
      <c r="S16" s="3" t="s">
        <v>207</v>
      </c>
      <c r="T16" s="3" t="s">
        <v>515</v>
      </c>
      <c r="U16" s="3" t="s">
        <v>511</v>
      </c>
      <c r="V16" s="3" t="s">
        <v>209</v>
      </c>
      <c r="W16" s="3" t="s">
        <v>516</v>
      </c>
      <c r="X16" s="3" t="s">
        <v>123</v>
      </c>
      <c r="Y16" t="s">
        <v>211</v>
      </c>
      <c r="AA16" s="3" t="s">
        <v>267</v>
      </c>
      <c r="AD16" t="s">
        <v>100</v>
      </c>
      <c r="AE16" s="9" t="s">
        <v>328</v>
      </c>
      <c r="AF16" s="9" t="s">
        <v>328</v>
      </c>
      <c r="AG16" s="3" t="s">
        <v>64</v>
      </c>
      <c r="AH16" s="3" t="s">
        <v>29</v>
      </c>
      <c r="AK16" t="s">
        <v>213</v>
      </c>
      <c r="AM16" s="3" t="s">
        <v>173</v>
      </c>
      <c r="AO16" s="3" t="s">
        <v>173</v>
      </c>
      <c r="AQ16" s="3" t="s">
        <v>154</v>
      </c>
      <c r="AV16" s="3"/>
      <c r="AW16" s="3" t="s">
        <v>156</v>
      </c>
      <c r="AX16" s="3" t="s">
        <v>533</v>
      </c>
    </row>
    <row r="17" spans="1:50">
      <c r="A17" s="3" t="s">
        <v>146</v>
      </c>
      <c r="B17" s="3" t="s">
        <v>147</v>
      </c>
      <c r="C17" s="3" t="s">
        <v>171</v>
      </c>
      <c r="D17" s="3" t="s">
        <v>173</v>
      </c>
      <c r="E17" s="3" t="s">
        <v>149</v>
      </c>
      <c r="F17" s="4">
        <f t="shared" ca="1" si="0"/>
        <v>44265.404203935184</v>
      </c>
      <c r="G17" s="3" t="s">
        <v>204</v>
      </c>
      <c r="H17" s="3" t="s">
        <v>173</v>
      </c>
      <c r="I17" s="3" t="s">
        <v>205</v>
      </c>
      <c r="J17" s="3" t="s">
        <v>150</v>
      </c>
      <c r="K17" s="3" t="s">
        <v>207</v>
      </c>
      <c r="L17" s="3" t="s">
        <v>292</v>
      </c>
      <c r="M17" s="3" t="s">
        <v>207</v>
      </c>
      <c r="O17" s="3" t="s">
        <v>207</v>
      </c>
      <c r="P17" s="3" t="s">
        <v>207</v>
      </c>
      <c r="Q17" s="3" t="s">
        <v>267</v>
      </c>
      <c r="R17" s="3" t="s">
        <v>267</v>
      </c>
      <c r="S17" s="3" t="s">
        <v>207</v>
      </c>
      <c r="T17" s="3" t="s">
        <v>465</v>
      </c>
      <c r="U17" t="s">
        <v>208</v>
      </c>
      <c r="V17" s="3" t="s">
        <v>209</v>
      </c>
      <c r="W17" s="3" t="s">
        <v>520</v>
      </c>
      <c r="X17" s="3" t="s">
        <v>173</v>
      </c>
      <c r="Y17" t="s">
        <v>211</v>
      </c>
      <c r="AA17" s="3" t="s">
        <v>207</v>
      </c>
      <c r="AD17" t="s">
        <v>62</v>
      </c>
      <c r="AE17" s="9" t="s">
        <v>267</v>
      </c>
      <c r="AF17" s="9" t="s">
        <v>267</v>
      </c>
      <c r="AG17" t="s">
        <v>208</v>
      </c>
      <c r="AH17" s="3" t="s">
        <v>123</v>
      </c>
      <c r="AK17" t="s">
        <v>213</v>
      </c>
      <c r="AM17" s="3" t="s">
        <v>173</v>
      </c>
      <c r="AO17" s="3" t="s">
        <v>173</v>
      </c>
      <c r="AQ17" s="3" t="s">
        <v>154</v>
      </c>
      <c r="AV17" s="3"/>
      <c r="AW17" s="3" t="s">
        <v>156</v>
      </c>
      <c r="AX17" s="3" t="s">
        <v>533</v>
      </c>
    </row>
    <row r="18" spans="1:50">
      <c r="A18" s="3" t="s">
        <v>146</v>
      </c>
      <c r="B18" s="3" t="s">
        <v>147</v>
      </c>
      <c r="C18" s="3" t="s">
        <v>171</v>
      </c>
      <c r="D18" s="3" t="s">
        <v>173</v>
      </c>
      <c r="E18" s="3" t="s">
        <v>149</v>
      </c>
      <c r="F18" s="4">
        <f t="shared" ca="1" si="0"/>
        <v>44265.404203935184</v>
      </c>
      <c r="G18" s="3" t="s">
        <v>150</v>
      </c>
      <c r="H18" s="3" t="s">
        <v>173</v>
      </c>
      <c r="I18" s="3" t="s">
        <v>205</v>
      </c>
      <c r="J18" s="3" t="s">
        <v>150</v>
      </c>
      <c r="K18" s="3" t="s">
        <v>207</v>
      </c>
      <c r="L18" s="3" t="s">
        <v>292</v>
      </c>
      <c r="M18" s="3" t="s">
        <v>207</v>
      </c>
      <c r="O18" s="3" t="s">
        <v>207</v>
      </c>
      <c r="P18" s="3" t="s">
        <v>207</v>
      </c>
      <c r="Q18" s="3" t="s">
        <v>267</v>
      </c>
      <c r="R18" s="3" t="s">
        <v>267</v>
      </c>
      <c r="S18" s="3" t="s">
        <v>207</v>
      </c>
      <c r="T18" s="3" t="s">
        <v>464</v>
      </c>
      <c r="U18" s="3" t="s">
        <v>207</v>
      </c>
      <c r="V18" s="3" t="s">
        <v>209</v>
      </c>
      <c r="W18" s="3" t="s">
        <v>520</v>
      </c>
      <c r="X18" s="3" t="s">
        <v>173</v>
      </c>
      <c r="Y18" t="s">
        <v>211</v>
      </c>
      <c r="AA18" s="3" t="s">
        <v>207</v>
      </c>
      <c r="AD18" t="s">
        <v>62</v>
      </c>
      <c r="AE18" s="9" t="s">
        <v>329</v>
      </c>
      <c r="AF18" s="9" t="s">
        <v>329</v>
      </c>
      <c r="AG18" s="3" t="s">
        <v>207</v>
      </c>
      <c r="AH18" s="3" t="s">
        <v>123</v>
      </c>
      <c r="AK18" t="s">
        <v>213</v>
      </c>
      <c r="AM18" s="3" t="s">
        <v>173</v>
      </c>
      <c r="AO18" s="3" t="s">
        <v>173</v>
      </c>
      <c r="AQ18" s="3" t="s">
        <v>154</v>
      </c>
      <c r="AW18" s="3" t="s">
        <v>156</v>
      </c>
      <c r="AX18" s="3" t="s">
        <v>533</v>
      </c>
    </row>
    <row r="19" spans="1:50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W19" s="3"/>
      <c r="X19" s="3"/>
      <c r="AA19" s="3"/>
      <c r="AE19" s="9"/>
      <c r="AF19" s="9"/>
      <c r="AG19" s="3"/>
      <c r="AH19" s="3"/>
      <c r="AM19" s="3"/>
      <c r="AO19" s="3"/>
      <c r="AQ19" s="3"/>
      <c r="AV19" s="3"/>
      <c r="AW19" s="3"/>
      <c r="AX19" s="3"/>
    </row>
    <row r="20" spans="1:50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Y20" s="3"/>
      <c r="AC20" s="9"/>
      <c r="AD20" s="9"/>
      <c r="AE20" s="3"/>
      <c r="AF20" s="3"/>
      <c r="AK20" s="3"/>
      <c r="AM20" s="3"/>
      <c r="AO20" s="3"/>
      <c r="AT20" s="3"/>
      <c r="AU20" s="3"/>
      <c r="AV20" s="3"/>
    </row>
    <row r="21" spans="1:50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C21" s="9"/>
      <c r="AD21" s="9"/>
      <c r="AE21" s="3"/>
      <c r="AF21" s="3"/>
      <c r="AK21" s="3"/>
      <c r="AM21" s="3"/>
      <c r="AO21" s="3"/>
      <c r="AT21" s="3"/>
      <c r="AU21" s="3"/>
      <c r="AV21" s="3"/>
    </row>
    <row r="22" spans="1:50">
      <c r="AV22" s="3"/>
    </row>
    <row r="23" spans="1:50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C23" s="9"/>
      <c r="AD23" s="9"/>
      <c r="AE23" s="3"/>
      <c r="AF23" s="3"/>
      <c r="AK23" s="3"/>
      <c r="AM23" s="3"/>
      <c r="AO23" s="3"/>
      <c r="AT23" s="3"/>
      <c r="AU23" s="3"/>
    </row>
    <row r="24" spans="1:50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C24" s="9"/>
      <c r="AD24" s="9"/>
      <c r="AE24" s="3"/>
      <c r="AF24" s="3"/>
      <c r="AK24" s="3"/>
      <c r="AM24" s="3"/>
      <c r="AO24" s="3"/>
      <c r="AR24" s="3"/>
      <c r="AT24" s="3"/>
      <c r="AU24" s="3"/>
      <c r="AV24" s="3"/>
    </row>
    <row r="25" spans="1:50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C25" s="9"/>
      <c r="AD25" s="9"/>
      <c r="AE25" s="3"/>
      <c r="AF25" s="3"/>
      <c r="AK25" s="3"/>
      <c r="AM25" s="3"/>
      <c r="AO25" s="3"/>
      <c r="AR25" s="3"/>
      <c r="AT25" s="3"/>
      <c r="AU25" s="3"/>
      <c r="AV25" s="3"/>
    </row>
    <row r="26" spans="1:50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Y26" s="3"/>
      <c r="AC26" s="9"/>
      <c r="AD26" s="9"/>
      <c r="AE26" s="3"/>
      <c r="AF26" s="3"/>
      <c r="AK26" s="3"/>
      <c r="AM26" s="3"/>
      <c r="AO26" s="3"/>
      <c r="AT26" s="3"/>
      <c r="AU26" s="3"/>
    </row>
    <row r="27" spans="1:50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Y27" s="3"/>
      <c r="AC27" s="9"/>
      <c r="AD27" s="9"/>
      <c r="AE27" s="3"/>
      <c r="AF27" s="3"/>
      <c r="AK27" s="3"/>
      <c r="AM27" s="3"/>
      <c r="AO27" s="3"/>
      <c r="AT27" s="3"/>
      <c r="AU27" s="3"/>
    </row>
    <row r="32" spans="1:50">
      <c r="AR32" s="3"/>
      <c r="AS3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238</v>
      </c>
      <c r="J1" t="s">
        <v>239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  <c r="U1" t="s">
        <v>33</v>
      </c>
      <c r="V1" t="s">
        <v>45</v>
      </c>
      <c r="W1" t="s">
        <v>246</v>
      </c>
      <c r="X1" t="s">
        <v>247</v>
      </c>
      <c r="Y1" t="s">
        <v>308</v>
      </c>
      <c r="Z1" t="s">
        <v>309</v>
      </c>
      <c r="AA1" t="s">
        <v>38</v>
      </c>
      <c r="AB1" t="s">
        <v>56</v>
      </c>
      <c r="AC1" t="s">
        <v>245</v>
      </c>
      <c r="AD1" t="s">
        <v>33</v>
      </c>
      <c r="AE1" t="s">
        <v>45</v>
      </c>
      <c r="AF1" t="s">
        <v>246</v>
      </c>
      <c r="AG1" t="s">
        <v>247</v>
      </c>
      <c r="AH1" t="s">
        <v>308</v>
      </c>
      <c r="AI1" t="s">
        <v>309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240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221</v>
      </c>
      <c r="I3" s="3" t="s">
        <v>248</v>
      </c>
      <c r="J3" s="3" t="s">
        <v>249</v>
      </c>
      <c r="K3" s="3" t="s">
        <v>85</v>
      </c>
      <c r="L3" s="3" t="s">
        <v>119</v>
      </c>
      <c r="M3" s="3" t="s">
        <v>118</v>
      </c>
      <c r="N3" s="3" t="s">
        <v>233</v>
      </c>
      <c r="O3" s="3" t="s">
        <v>234</v>
      </c>
      <c r="P3" s="3" t="s">
        <v>250</v>
      </c>
      <c r="Q3" s="3" t="s">
        <v>253</v>
      </c>
      <c r="R3" s="3" t="s">
        <v>254</v>
      </c>
      <c r="S3" s="3" t="s">
        <v>255</v>
      </c>
      <c r="T3" s="3" t="s">
        <v>256</v>
      </c>
      <c r="U3" s="3" t="s">
        <v>258</v>
      </c>
      <c r="V3" s="3" t="s">
        <v>259</v>
      </c>
      <c r="W3" s="3" t="s">
        <v>280</v>
      </c>
      <c r="X3" s="3" t="s">
        <v>272</v>
      </c>
      <c r="Y3" s="3" t="s">
        <v>261</v>
      </c>
      <c r="Z3" s="3" t="s">
        <v>262</v>
      </c>
      <c r="AA3" s="3" t="s">
        <v>263</v>
      </c>
      <c r="AB3" s="3" t="s">
        <v>264</v>
      </c>
      <c r="AC3" s="3" t="s">
        <v>269</v>
      </c>
      <c r="AD3" s="3" t="s">
        <v>270</v>
      </c>
      <c r="AE3" s="3" t="s">
        <v>271</v>
      </c>
      <c r="AF3" s="3" t="s">
        <v>284</v>
      </c>
      <c r="AG3" s="3" t="s">
        <v>285</v>
      </c>
      <c r="AH3" s="3" t="s">
        <v>273</v>
      </c>
      <c r="AI3" s="3" t="s">
        <v>274</v>
      </c>
      <c r="AJ3" s="3" t="s">
        <v>268</v>
      </c>
      <c r="AK3" s="3" t="s">
        <v>275</v>
      </c>
    </row>
    <row r="4" spans="1:37">
      <c r="A4" s="3" t="s">
        <v>26</v>
      </c>
      <c r="B4" s="3" t="s">
        <v>27</v>
      </c>
      <c r="C4" s="3" t="s">
        <v>278</v>
      </c>
      <c r="D4" s="3"/>
      <c r="E4" s="3" t="s">
        <v>31</v>
      </c>
      <c r="F4" s="4">
        <f ca="1">NOW()</f>
        <v>44265.404203935184</v>
      </c>
      <c r="G4" s="3" t="s">
        <v>28</v>
      </c>
      <c r="H4" s="3" t="s">
        <v>31</v>
      </c>
      <c r="I4" s="3" t="s">
        <v>252</v>
      </c>
      <c r="P4" s="3" t="s">
        <v>257</v>
      </c>
      <c r="Q4" s="3" t="s">
        <v>252</v>
      </c>
      <c r="R4" s="3" t="s">
        <v>251</v>
      </c>
      <c r="S4" s="3" t="s">
        <v>123</v>
      </c>
      <c r="T4" s="3" t="s">
        <v>291</v>
      </c>
      <c r="U4" t="s">
        <v>299</v>
      </c>
      <c r="V4" t="s">
        <v>279</v>
      </c>
      <c r="W4" s="3" t="s">
        <v>260</v>
      </c>
      <c r="X4" s="3" t="s">
        <v>260</v>
      </c>
      <c r="Y4" s="3" t="s">
        <v>293</v>
      </c>
      <c r="Z4" s="3" t="s">
        <v>257</v>
      </c>
      <c r="AA4" t="s">
        <v>276</v>
      </c>
      <c r="AB4" s="3" t="s">
        <v>257</v>
      </c>
      <c r="AC4" s="3" t="s">
        <v>215</v>
      </c>
      <c r="AD4" t="s">
        <v>299</v>
      </c>
      <c r="AE4" t="s">
        <v>279</v>
      </c>
      <c r="AF4" s="3" t="s">
        <v>265</v>
      </c>
      <c r="AG4" s="3" t="s">
        <v>266</v>
      </c>
      <c r="AH4" s="3" t="s">
        <v>267</v>
      </c>
      <c r="AI4" s="3" t="s">
        <v>260</v>
      </c>
      <c r="AJ4" t="s">
        <v>277</v>
      </c>
      <c r="AK4" s="3" t="s">
        <v>257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32</v>
      </c>
      <c r="K1" t="s">
        <v>162</v>
      </c>
      <c r="L1" t="s">
        <v>238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X1" t="s">
        <v>33</v>
      </c>
      <c r="Y1" t="s">
        <v>246</v>
      </c>
      <c r="Z1" t="s">
        <v>247</v>
      </c>
      <c r="AA1" t="s">
        <v>308</v>
      </c>
      <c r="AB1" t="s">
        <v>309</v>
      </c>
      <c r="AC1" t="s">
        <v>38</v>
      </c>
      <c r="AD1" t="s">
        <v>56</v>
      </c>
      <c r="AE1" t="s">
        <v>245</v>
      </c>
      <c r="AF1" t="s">
        <v>33</v>
      </c>
      <c r="AG1" t="s">
        <v>246</v>
      </c>
      <c r="AH1" t="s">
        <v>247</v>
      </c>
      <c r="AI1" t="s">
        <v>308</v>
      </c>
      <c r="AJ1" t="s">
        <v>309</v>
      </c>
      <c r="AK1" t="s">
        <v>38</v>
      </c>
      <c r="AL1" t="s">
        <v>56</v>
      </c>
      <c r="AM1" t="s">
        <v>286</v>
      </c>
      <c r="AN1" t="s">
        <v>15</v>
      </c>
      <c r="AO1" t="s">
        <v>16</v>
      </c>
      <c r="AP1" s="1" t="s">
        <v>17</v>
      </c>
      <c r="AQ1" t="s">
        <v>169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287</v>
      </c>
      <c r="AN2" t="s">
        <v>13</v>
      </c>
      <c r="AO2" t="s">
        <v>13</v>
      </c>
      <c r="AP2" t="s">
        <v>10</v>
      </c>
      <c r="AQ2" t="s">
        <v>170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137</v>
      </c>
      <c r="I3" s="2" t="s">
        <v>138</v>
      </c>
      <c r="J3" s="3" t="s">
        <v>221</v>
      </c>
      <c r="K3" s="3" t="s">
        <v>187</v>
      </c>
      <c r="L3" s="3" t="s">
        <v>248</v>
      </c>
      <c r="M3" s="3" t="s">
        <v>259</v>
      </c>
      <c r="N3" s="3" t="s">
        <v>85</v>
      </c>
      <c r="O3" s="3" t="s">
        <v>119</v>
      </c>
      <c r="P3" s="3" t="s">
        <v>118</v>
      </c>
      <c r="Q3" s="3" t="s">
        <v>233</v>
      </c>
      <c r="R3" s="3" t="s">
        <v>234</v>
      </c>
      <c r="S3" s="3" t="s">
        <v>250</v>
      </c>
      <c r="T3" s="3" t="s">
        <v>253</v>
      </c>
      <c r="U3" s="3" t="s">
        <v>254</v>
      </c>
      <c r="V3" s="3" t="s">
        <v>255</v>
      </c>
      <c r="W3" s="3" t="s">
        <v>256</v>
      </c>
      <c r="X3" s="3" t="s">
        <v>258</v>
      </c>
      <c r="Y3" s="3" t="s">
        <v>280</v>
      </c>
      <c r="Z3" s="3" t="s">
        <v>272</v>
      </c>
      <c r="AA3" s="3" t="s">
        <v>261</v>
      </c>
      <c r="AB3" s="3" t="s">
        <v>262</v>
      </c>
      <c r="AC3" s="3" t="s">
        <v>268</v>
      </c>
      <c r="AD3" s="3" t="s">
        <v>275</v>
      </c>
      <c r="AE3" s="3" t="s">
        <v>269</v>
      </c>
      <c r="AF3" s="3" t="s">
        <v>270</v>
      </c>
      <c r="AG3" s="3" t="s">
        <v>284</v>
      </c>
      <c r="AH3" s="3" t="s">
        <v>285</v>
      </c>
      <c r="AI3" s="3" t="s">
        <v>273</v>
      </c>
      <c r="AJ3" s="3" t="s">
        <v>274</v>
      </c>
      <c r="AK3" s="3" t="s">
        <v>289</v>
      </c>
      <c r="AL3" s="3" t="s">
        <v>290</v>
      </c>
      <c r="AM3" s="3" t="s">
        <v>288</v>
      </c>
      <c r="AN3" s="3" t="s">
        <v>142</v>
      </c>
      <c r="AO3" s="3" t="s">
        <v>143</v>
      </c>
      <c r="AP3" s="2" t="s">
        <v>144</v>
      </c>
      <c r="AQ3" s="7" t="s">
        <v>130</v>
      </c>
    </row>
    <row r="4" spans="1:43">
      <c r="A4" s="3" t="s">
        <v>26</v>
      </c>
      <c r="B4" s="3" t="s">
        <v>27</v>
      </c>
      <c r="C4" s="3" t="s">
        <v>283</v>
      </c>
      <c r="D4" s="3"/>
      <c r="E4" s="3" t="s">
        <v>28</v>
      </c>
      <c r="F4" s="4">
        <f ca="1">NOW()</f>
        <v>44265.404203935184</v>
      </c>
      <c r="G4" s="3" t="s">
        <v>31</v>
      </c>
      <c r="H4" s="3" t="s">
        <v>281</v>
      </c>
      <c r="I4" s="3" t="s">
        <v>282</v>
      </c>
      <c r="J4" s="3" t="s">
        <v>31</v>
      </c>
      <c r="L4" s="3" t="s">
        <v>266</v>
      </c>
      <c r="M4" t="s">
        <v>279</v>
      </c>
      <c r="S4" s="3" t="s">
        <v>257</v>
      </c>
      <c r="T4" s="3" t="s">
        <v>267</v>
      </c>
      <c r="U4" s="3" t="s">
        <v>251</v>
      </c>
      <c r="V4" s="3" t="s">
        <v>123</v>
      </c>
      <c r="W4" s="3" t="s">
        <v>323</v>
      </c>
      <c r="X4" t="s">
        <v>299</v>
      </c>
      <c r="Y4" s="3" t="s">
        <v>260</v>
      </c>
      <c r="Z4" s="3" t="s">
        <v>260</v>
      </c>
      <c r="AA4" s="3" t="s">
        <v>300</v>
      </c>
      <c r="AB4" s="3" t="s">
        <v>257</v>
      </c>
      <c r="AC4" t="s">
        <v>276</v>
      </c>
      <c r="AD4" s="3" t="s">
        <v>257</v>
      </c>
      <c r="AE4" s="3" t="s">
        <v>324</v>
      </c>
      <c r="AF4" t="s">
        <v>299</v>
      </c>
      <c r="AG4" s="3" t="s">
        <v>301</v>
      </c>
      <c r="AH4" s="3" t="s">
        <v>266</v>
      </c>
      <c r="AI4" s="3" t="s">
        <v>267</v>
      </c>
      <c r="AJ4" s="3" t="s">
        <v>260</v>
      </c>
      <c r="AK4" t="s">
        <v>277</v>
      </c>
      <c r="AL4" s="3" t="s">
        <v>257</v>
      </c>
      <c r="AM4" s="3" t="s">
        <v>144</v>
      </c>
      <c r="AQ4" s="3" t="s">
        <v>298</v>
      </c>
    </row>
    <row r="5" spans="1:43">
      <c r="A5" s="3" t="s">
        <v>26</v>
      </c>
      <c r="B5" s="3" t="s">
        <v>27</v>
      </c>
      <c r="C5" s="3" t="s">
        <v>283</v>
      </c>
      <c r="D5" s="3"/>
      <c r="E5" s="3" t="s">
        <v>28</v>
      </c>
      <c r="F5" s="4">
        <f ca="1">NOW()</f>
        <v>44265.404203935184</v>
      </c>
      <c r="G5" s="3" t="s">
        <v>31</v>
      </c>
      <c r="H5" s="3" t="s">
        <v>281</v>
      </c>
      <c r="I5" s="3" t="s">
        <v>282</v>
      </c>
      <c r="J5" s="3" t="s">
        <v>31</v>
      </c>
      <c r="L5" s="3" t="s">
        <v>266</v>
      </c>
      <c r="M5" t="s">
        <v>279</v>
      </c>
      <c r="S5" s="3" t="s">
        <v>257</v>
      </c>
      <c r="T5" s="3" t="s">
        <v>267</v>
      </c>
      <c r="U5" s="3" t="s">
        <v>251</v>
      </c>
      <c r="V5" s="3" t="s">
        <v>123</v>
      </c>
      <c r="W5" s="3" t="s">
        <v>323</v>
      </c>
      <c r="X5" t="s">
        <v>299</v>
      </c>
      <c r="Y5" s="3" t="s">
        <v>260</v>
      </c>
      <c r="Z5" s="3" t="s">
        <v>260</v>
      </c>
      <c r="AA5" s="3" t="s">
        <v>300</v>
      </c>
      <c r="AB5" s="3" t="s">
        <v>257</v>
      </c>
      <c r="AC5" t="s">
        <v>276</v>
      </c>
      <c r="AD5" s="3" t="s">
        <v>257</v>
      </c>
      <c r="AE5" s="3" t="s">
        <v>325</v>
      </c>
      <c r="AF5" t="s">
        <v>299</v>
      </c>
      <c r="AG5" s="3" t="s">
        <v>301</v>
      </c>
      <c r="AH5" s="3" t="s">
        <v>266</v>
      </c>
      <c r="AI5" s="3" t="s">
        <v>267</v>
      </c>
      <c r="AJ5" s="3" t="s">
        <v>260</v>
      </c>
      <c r="AK5" t="s">
        <v>277</v>
      </c>
      <c r="AL5" s="3" t="s">
        <v>257</v>
      </c>
      <c r="AM5" s="3" t="s">
        <v>267</v>
      </c>
      <c r="AQ5" s="3" t="s">
        <v>298</v>
      </c>
    </row>
    <row r="6" spans="1:43">
      <c r="A6" s="3" t="s">
        <v>26</v>
      </c>
      <c r="B6" s="3" t="s">
        <v>27</v>
      </c>
      <c r="C6" s="3" t="s">
        <v>283</v>
      </c>
      <c r="D6" s="3"/>
      <c r="E6" s="3" t="s">
        <v>28</v>
      </c>
      <c r="F6" s="4">
        <f ca="1">NOW()</f>
        <v>44265.404203935184</v>
      </c>
      <c r="G6" s="3" t="s">
        <v>31</v>
      </c>
      <c r="H6" s="3" t="s">
        <v>281</v>
      </c>
      <c r="I6" s="3" t="s">
        <v>282</v>
      </c>
      <c r="J6" s="3" t="s">
        <v>31</v>
      </c>
      <c r="L6" s="3" t="s">
        <v>29</v>
      </c>
      <c r="M6" t="s">
        <v>63</v>
      </c>
      <c r="S6" s="3" t="s">
        <v>29</v>
      </c>
      <c r="T6" s="3" t="s">
        <v>64</v>
      </c>
      <c r="U6" s="3" t="s">
        <v>66</v>
      </c>
      <c r="V6" s="3" t="s">
        <v>66</v>
      </c>
      <c r="W6" s="3" t="s">
        <v>323</v>
      </c>
      <c r="X6" t="s">
        <v>299</v>
      </c>
      <c r="Y6" s="3" t="s">
        <v>64</v>
      </c>
      <c r="Z6" s="3" t="s">
        <v>64</v>
      </c>
      <c r="AA6" s="3" t="s">
        <v>300</v>
      </c>
      <c r="AB6" s="3" t="s">
        <v>29</v>
      </c>
      <c r="AC6" t="s">
        <v>212</v>
      </c>
      <c r="AD6" s="3" t="s">
        <v>29</v>
      </c>
      <c r="AE6" s="3" t="s">
        <v>325</v>
      </c>
      <c r="AF6" t="s">
        <v>299</v>
      </c>
      <c r="AG6" s="3" t="s">
        <v>301</v>
      </c>
      <c r="AH6" s="3" t="s">
        <v>29</v>
      </c>
      <c r="AI6" s="3" t="s">
        <v>64</v>
      </c>
      <c r="AJ6" s="3" t="s">
        <v>64</v>
      </c>
      <c r="AK6" t="s">
        <v>212</v>
      </c>
      <c r="AL6" s="3" t="s">
        <v>29</v>
      </c>
      <c r="AM6" s="3" t="s">
        <v>64</v>
      </c>
      <c r="AQ6" s="3" t="s">
        <v>298</v>
      </c>
    </row>
    <row r="7" spans="1:43">
      <c r="A7" s="3" t="s">
        <v>26</v>
      </c>
      <c r="B7" s="3" t="s">
        <v>27</v>
      </c>
      <c r="C7" s="3" t="s">
        <v>283</v>
      </c>
      <c r="D7" s="3"/>
      <c r="E7" s="3" t="s">
        <v>28</v>
      </c>
      <c r="F7" s="4">
        <f ca="1">NOW()</f>
        <v>44265.404203935184</v>
      </c>
      <c r="G7" s="3" t="s">
        <v>31</v>
      </c>
      <c r="H7" s="3" t="s">
        <v>281</v>
      </c>
      <c r="I7" s="3" t="s">
        <v>282</v>
      </c>
      <c r="J7" s="3" t="s">
        <v>31</v>
      </c>
      <c r="L7" s="3" t="s">
        <v>29</v>
      </c>
      <c r="M7" t="s">
        <v>63</v>
      </c>
      <c r="S7" s="3" t="s">
        <v>29</v>
      </c>
      <c r="T7" s="3" t="s">
        <v>64</v>
      </c>
      <c r="U7" s="3" t="s">
        <v>66</v>
      </c>
      <c r="V7" s="3" t="s">
        <v>66</v>
      </c>
      <c r="W7" s="3" t="s">
        <v>323</v>
      </c>
      <c r="X7" t="s">
        <v>299</v>
      </c>
      <c r="Y7" s="3" t="s">
        <v>64</v>
      </c>
      <c r="Z7" s="3" t="s">
        <v>64</v>
      </c>
      <c r="AA7" s="3" t="s">
        <v>300</v>
      </c>
      <c r="AB7" s="3" t="s">
        <v>29</v>
      </c>
      <c r="AC7" t="s">
        <v>212</v>
      </c>
      <c r="AD7" s="3" t="s">
        <v>29</v>
      </c>
      <c r="AE7" s="3" t="s">
        <v>325</v>
      </c>
      <c r="AF7" t="s">
        <v>299</v>
      </c>
      <c r="AG7" s="3" t="s">
        <v>301</v>
      </c>
      <c r="AH7" s="3" t="s">
        <v>29</v>
      </c>
      <c r="AI7" s="3" t="s">
        <v>64</v>
      </c>
      <c r="AJ7" s="3" t="s">
        <v>64</v>
      </c>
      <c r="AK7" t="s">
        <v>212</v>
      </c>
      <c r="AL7" s="3" t="s">
        <v>29</v>
      </c>
      <c r="AM7" s="3" t="s">
        <v>178</v>
      </c>
      <c r="AQ7" s="3" t="s">
        <v>298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3" t="s">
        <v>338</v>
      </c>
      <c r="I3" s="3" t="s">
        <v>339</v>
      </c>
      <c r="J3" s="3" t="s">
        <v>340</v>
      </c>
      <c r="K3" s="2" t="s">
        <v>341</v>
      </c>
    </row>
    <row r="4" spans="1:11">
      <c r="A4" s="3" t="s">
        <v>342</v>
      </c>
      <c r="B4" s="3" t="s">
        <v>343</v>
      </c>
      <c r="C4" s="3" t="s">
        <v>344</v>
      </c>
      <c r="D4" s="3"/>
      <c r="E4" s="3" t="s">
        <v>345</v>
      </c>
      <c r="F4" s="4">
        <f ca="1">NOW()</f>
        <v>44265.404203935184</v>
      </c>
      <c r="G4" s="3" t="s">
        <v>346</v>
      </c>
      <c r="H4" s="3" t="s">
        <v>345</v>
      </c>
      <c r="I4" t="s">
        <v>347</v>
      </c>
      <c r="J4" t="s">
        <v>348</v>
      </c>
      <c r="K4" s="3" t="s">
        <v>349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350</v>
      </c>
      <c r="J1" t="s">
        <v>351</v>
      </c>
      <c r="K1" t="s">
        <v>352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353</v>
      </c>
      <c r="L2" t="s">
        <v>46</v>
      </c>
      <c r="M2" t="s">
        <v>10</v>
      </c>
    </row>
    <row r="3" spans="1:36">
      <c r="A3" s="2" t="s">
        <v>354</v>
      </c>
      <c r="B3" s="2" t="s">
        <v>355</v>
      </c>
      <c r="C3" s="2" t="s">
        <v>333</v>
      </c>
      <c r="D3" s="2" t="s">
        <v>356</v>
      </c>
      <c r="E3" s="2" t="s">
        <v>357</v>
      </c>
      <c r="F3" s="2" t="s">
        <v>358</v>
      </c>
      <c r="G3" s="2" t="s">
        <v>359</v>
      </c>
      <c r="H3" s="3" t="s">
        <v>360</v>
      </c>
      <c r="I3" s="3" t="s">
        <v>361</v>
      </c>
      <c r="J3" s="3" t="s">
        <v>362</v>
      </c>
      <c r="K3" s="3" t="s">
        <v>363</v>
      </c>
      <c r="L3" s="3" t="s">
        <v>364</v>
      </c>
      <c r="M3" s="2" t="s">
        <v>341</v>
      </c>
    </row>
    <row r="4" spans="1:36">
      <c r="A4" s="3" t="s">
        <v>365</v>
      </c>
      <c r="B4" s="3" t="s">
        <v>366</v>
      </c>
      <c r="C4" s="3" t="s">
        <v>367</v>
      </c>
      <c r="D4" s="3"/>
      <c r="E4" s="3" t="s">
        <v>368</v>
      </c>
      <c r="F4" s="4">
        <f ca="1">NOW()</f>
        <v>44265.404203935184</v>
      </c>
      <c r="G4" s="3" t="s">
        <v>369</v>
      </c>
      <c r="H4" t="s">
        <v>370</v>
      </c>
      <c r="I4" s="3" t="s">
        <v>371</v>
      </c>
      <c r="J4" s="3" t="s">
        <v>372</v>
      </c>
      <c r="K4" s="3" t="s">
        <v>373</v>
      </c>
      <c r="L4" t="s">
        <v>374</v>
      </c>
      <c r="M4" s="3" t="s">
        <v>375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45</v>
      </c>
      <c r="O1" t="s">
        <v>381</v>
      </c>
      <c r="P1" t="s">
        <v>382</v>
      </c>
      <c r="Q1" t="s">
        <v>383</v>
      </c>
      <c r="R1" t="s">
        <v>351</v>
      </c>
      <c r="S1" t="s">
        <v>384</v>
      </c>
      <c r="T1" t="s">
        <v>385</v>
      </c>
      <c r="U1" t="s">
        <v>386</v>
      </c>
      <c r="V1" t="s">
        <v>387</v>
      </c>
      <c r="W1" t="s">
        <v>388</v>
      </c>
      <c r="X1" t="s">
        <v>389</v>
      </c>
      <c r="Y1" t="s">
        <v>390</v>
      </c>
      <c r="Z1" t="s">
        <v>391</v>
      </c>
      <c r="AA1" t="s">
        <v>392</v>
      </c>
      <c r="AB1" t="s">
        <v>393</v>
      </c>
      <c r="AC1" t="s">
        <v>394</v>
      </c>
      <c r="AD1" t="s">
        <v>350</v>
      </c>
      <c r="AE1" t="s">
        <v>395</v>
      </c>
      <c r="AF1" t="s">
        <v>396</v>
      </c>
      <c r="AG1" t="s">
        <v>397</v>
      </c>
      <c r="AH1" s="1" t="s">
        <v>17</v>
      </c>
      <c r="AI1" t="s">
        <v>398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399</v>
      </c>
      <c r="L2" t="s">
        <v>13</v>
      </c>
      <c r="M2" t="s">
        <v>39</v>
      </c>
      <c r="N2" t="s">
        <v>46</v>
      </c>
      <c r="O2" t="s">
        <v>121</v>
      </c>
      <c r="P2" t="s">
        <v>400</v>
      </c>
      <c r="Q2" t="s">
        <v>10</v>
      </c>
      <c r="R2" t="s">
        <v>10</v>
      </c>
      <c r="S2" t="s">
        <v>10</v>
      </c>
      <c r="T2" t="s">
        <v>13</v>
      </c>
      <c r="U2" t="s">
        <v>121</v>
      </c>
      <c r="V2" t="s">
        <v>10</v>
      </c>
      <c r="W2" t="s">
        <v>50</v>
      </c>
      <c r="X2" t="s">
        <v>13</v>
      </c>
      <c r="Y2" t="s">
        <v>121</v>
      </c>
      <c r="Z2" t="s">
        <v>121</v>
      </c>
      <c r="AA2" t="s">
        <v>10</v>
      </c>
      <c r="AB2" t="s">
        <v>400</v>
      </c>
      <c r="AC2" t="s">
        <v>400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401</v>
      </c>
    </row>
    <row r="3" spans="1:35">
      <c r="A3" s="2" t="s">
        <v>354</v>
      </c>
      <c r="B3" s="2" t="s">
        <v>355</v>
      </c>
      <c r="C3" s="2" t="s">
        <v>333</v>
      </c>
      <c r="D3" s="2" t="s">
        <v>356</v>
      </c>
      <c r="E3" s="2" t="s">
        <v>357</v>
      </c>
      <c r="F3" s="2" t="s">
        <v>358</v>
      </c>
      <c r="G3" s="2" t="s">
        <v>359</v>
      </c>
      <c r="H3" s="3" t="s">
        <v>402</v>
      </c>
      <c r="I3" s="3" t="s">
        <v>403</v>
      </c>
      <c r="J3" s="3" t="s">
        <v>404</v>
      </c>
      <c r="K3" s="3" t="s">
        <v>405</v>
      </c>
      <c r="L3" s="3" t="s">
        <v>406</v>
      </c>
      <c r="M3" s="3" t="s">
        <v>407</v>
      </c>
      <c r="N3" s="3" t="s">
        <v>408</v>
      </c>
      <c r="O3" s="3" t="s">
        <v>409</v>
      </c>
      <c r="P3" s="3" t="s">
        <v>410</v>
      </c>
      <c r="Q3" s="3" t="s">
        <v>411</v>
      </c>
      <c r="R3" s="3" t="s">
        <v>412</v>
      </c>
      <c r="S3" s="3" t="s">
        <v>413</v>
      </c>
      <c r="T3" s="3" t="s">
        <v>414</v>
      </c>
      <c r="U3" s="3" t="s">
        <v>415</v>
      </c>
      <c r="V3" s="3" t="s">
        <v>416</v>
      </c>
      <c r="W3" s="3" t="s">
        <v>417</v>
      </c>
      <c r="X3" s="3" t="s">
        <v>418</v>
      </c>
      <c r="Y3" s="3" t="s">
        <v>419</v>
      </c>
      <c r="Z3" s="3" t="s">
        <v>420</v>
      </c>
      <c r="AA3" s="3" t="s">
        <v>421</v>
      </c>
      <c r="AB3" s="3" t="s">
        <v>422</v>
      </c>
      <c r="AC3" s="3" t="s">
        <v>423</v>
      </c>
      <c r="AD3" s="3" t="s">
        <v>424</v>
      </c>
      <c r="AE3" s="3" t="s">
        <v>425</v>
      </c>
      <c r="AF3" s="3" t="s">
        <v>426</v>
      </c>
      <c r="AG3" s="3" t="s">
        <v>427</v>
      </c>
      <c r="AH3" s="2" t="s">
        <v>341</v>
      </c>
      <c r="AI3" s="7" t="s">
        <v>428</v>
      </c>
    </row>
    <row r="4" spans="1:35">
      <c r="A4" s="3" t="s">
        <v>365</v>
      </c>
      <c r="B4" s="3" t="s">
        <v>366</v>
      </c>
      <c r="C4" s="3" t="s">
        <v>429</v>
      </c>
      <c r="D4" s="3"/>
      <c r="E4" s="3" t="s">
        <v>430</v>
      </c>
      <c r="F4" s="4">
        <f ca="1">NOW()</f>
        <v>44265.404203935184</v>
      </c>
      <c r="G4" s="3" t="s">
        <v>431</v>
      </c>
      <c r="H4" s="3" t="s">
        <v>370</v>
      </c>
      <c r="I4" s="3" t="s">
        <v>373</v>
      </c>
      <c r="J4" s="3" t="s">
        <v>432</v>
      </c>
      <c r="K4" s="3" t="s">
        <v>433</v>
      </c>
      <c r="L4" s="3" t="s">
        <v>373</v>
      </c>
      <c r="M4" s="3" t="s">
        <v>434</v>
      </c>
      <c r="N4" s="3" t="s">
        <v>374</v>
      </c>
      <c r="O4" s="3" t="s">
        <v>435</v>
      </c>
      <c r="P4" s="3" t="s">
        <v>436</v>
      </c>
      <c r="Q4" t="s">
        <v>437</v>
      </c>
      <c r="R4" t="s">
        <v>438</v>
      </c>
      <c r="S4" t="s">
        <v>374</v>
      </c>
      <c r="T4" s="3" t="s">
        <v>439</v>
      </c>
      <c r="U4" s="3" t="s">
        <v>440</v>
      </c>
      <c r="V4" s="3" t="s">
        <v>439</v>
      </c>
      <c r="W4" s="3" t="s">
        <v>441</v>
      </c>
      <c r="X4" s="3" t="s">
        <v>442</v>
      </c>
      <c r="Y4" s="3" t="s">
        <v>440</v>
      </c>
      <c r="Z4" s="3" t="s">
        <v>440</v>
      </c>
      <c r="AA4" s="3" t="s">
        <v>443</v>
      </c>
      <c r="AB4" s="3" t="s">
        <v>443</v>
      </c>
      <c r="AC4" s="3" t="s">
        <v>443</v>
      </c>
      <c r="AD4" t="s">
        <v>444</v>
      </c>
      <c r="AE4" s="3" t="s">
        <v>445</v>
      </c>
      <c r="AF4" s="3" t="s">
        <v>446</v>
      </c>
      <c r="AG4" s="3" t="s">
        <v>443</v>
      </c>
      <c r="AH4" s="3" t="s">
        <v>375</v>
      </c>
      <c r="AI4" s="3" t="s">
        <v>447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32</v>
      </c>
      <c r="J1" t="s">
        <v>310</v>
      </c>
      <c r="K1" t="s">
        <v>238</v>
      </c>
      <c r="L1" t="s">
        <v>311</v>
      </c>
      <c r="M1" t="s">
        <v>244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137</v>
      </c>
      <c r="I3" s="3" t="s">
        <v>29</v>
      </c>
      <c r="J3" s="3" t="s">
        <v>320</v>
      </c>
      <c r="K3" s="3" t="s">
        <v>319</v>
      </c>
      <c r="L3" s="3" t="s">
        <v>318</v>
      </c>
      <c r="M3" s="3" t="s">
        <v>317</v>
      </c>
      <c r="N3" s="3" t="s">
        <v>313</v>
      </c>
      <c r="O3" s="3" t="s">
        <v>314</v>
      </c>
      <c r="P3" s="3" t="s">
        <v>315</v>
      </c>
      <c r="Q3" s="3" t="s">
        <v>316</v>
      </c>
    </row>
    <row r="4" spans="1:17">
      <c r="A4" s="3" t="s">
        <v>26</v>
      </c>
      <c r="B4" s="3" t="s">
        <v>27</v>
      </c>
      <c r="C4" s="3" t="s">
        <v>321</v>
      </c>
      <c r="D4" s="3"/>
      <c r="E4" s="3" t="s">
        <v>28</v>
      </c>
      <c r="F4" s="4">
        <f ca="1">NOW()</f>
        <v>44265.404203935184</v>
      </c>
      <c r="G4" s="3" t="s">
        <v>31</v>
      </c>
      <c r="H4" s="3" t="s">
        <v>281</v>
      </c>
      <c r="I4" s="3" t="s">
        <v>31</v>
      </c>
      <c r="J4" s="3" t="s">
        <v>29</v>
      </c>
      <c r="K4" s="3" t="s">
        <v>29</v>
      </c>
      <c r="L4" s="3" t="s">
        <v>291</v>
      </c>
      <c r="M4" s="3" t="s">
        <v>322</v>
      </c>
      <c r="N4" t="s">
        <v>299</v>
      </c>
      <c r="O4" t="s">
        <v>312</v>
      </c>
      <c r="P4" s="3" t="s">
        <v>64</v>
      </c>
      <c r="Q4" s="3" t="s">
        <v>64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T30" sqref="T30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216</v>
      </c>
      <c r="J1" t="s">
        <v>217</v>
      </c>
      <c r="K1" t="s">
        <v>218</v>
      </c>
      <c r="L1" t="s">
        <v>162</v>
      </c>
      <c r="M1" s="1" t="s">
        <v>17</v>
      </c>
      <c r="N1" t="s">
        <v>448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449</v>
      </c>
    </row>
    <row r="3" spans="1:14">
      <c r="A3" s="2" t="s">
        <v>450</v>
      </c>
      <c r="B3" s="2" t="s">
        <v>451</v>
      </c>
      <c r="C3" s="2" t="s">
        <v>333</v>
      </c>
      <c r="D3" s="2" t="s">
        <v>356</v>
      </c>
      <c r="E3" s="2" t="s">
        <v>357</v>
      </c>
      <c r="F3" s="2" t="s">
        <v>358</v>
      </c>
      <c r="G3" s="2" t="s">
        <v>359</v>
      </c>
      <c r="H3" s="2" t="s">
        <v>452</v>
      </c>
      <c r="I3" s="2" t="s">
        <v>453</v>
      </c>
      <c r="J3" s="3" t="s">
        <v>454</v>
      </c>
      <c r="K3" s="2" t="s">
        <v>455</v>
      </c>
      <c r="L3" s="3" t="s">
        <v>456</v>
      </c>
      <c r="M3" s="2" t="s">
        <v>341</v>
      </c>
      <c r="N3" s="7" t="s">
        <v>428</v>
      </c>
    </row>
    <row r="4" spans="1:14">
      <c r="A4" s="3" t="s">
        <v>365</v>
      </c>
      <c r="B4" s="3" t="s">
        <v>366</v>
      </c>
      <c r="C4" s="3" t="s">
        <v>457</v>
      </c>
      <c r="D4" s="3" t="s">
        <v>458</v>
      </c>
      <c r="E4" s="3" t="s">
        <v>430</v>
      </c>
      <c r="F4" s="4">
        <f t="shared" ref="F4" ca="1" si="0">NOW()</f>
        <v>44265.404203935184</v>
      </c>
      <c r="G4" s="3" t="s">
        <v>459</v>
      </c>
      <c r="H4" s="3" t="s">
        <v>458</v>
      </c>
      <c r="I4" s="3" t="s">
        <v>460</v>
      </c>
      <c r="J4" t="s">
        <v>461</v>
      </c>
      <c r="K4" s="3" t="s">
        <v>458</v>
      </c>
      <c r="M4" s="3" t="s">
        <v>375</v>
      </c>
      <c r="N4" s="3" t="s">
        <v>462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Z1" workbookViewId="0">
      <selection activeCell="AQ29" sqref="AQ2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216</v>
      </c>
      <c r="J1" t="s">
        <v>217</v>
      </c>
      <c r="K1" t="s">
        <v>222</v>
      </c>
      <c r="L1" t="s">
        <v>162</v>
      </c>
      <c r="M1" s="1" t="s">
        <v>17</v>
      </c>
      <c r="N1" t="s">
        <v>169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170</v>
      </c>
    </row>
    <row r="3" spans="1:14">
      <c r="A3" s="2" t="s">
        <v>171</v>
      </c>
      <c r="B3" s="2" t="s">
        <v>172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219</v>
      </c>
      <c r="J3" s="3" t="s">
        <v>220</v>
      </c>
      <c r="K3" s="2" t="s">
        <v>223</v>
      </c>
      <c r="L3" s="3" t="s">
        <v>187</v>
      </c>
      <c r="M3" s="2" t="s">
        <v>144</v>
      </c>
      <c r="N3" s="7" t="s">
        <v>145</v>
      </c>
    </row>
    <row r="4" spans="1:14">
      <c r="A4" s="3" t="s">
        <v>146</v>
      </c>
      <c r="B4" s="3" t="s">
        <v>147</v>
      </c>
      <c r="C4" s="3" t="s">
        <v>224</v>
      </c>
      <c r="D4" s="3" t="s">
        <v>173</v>
      </c>
      <c r="E4" s="3" t="s">
        <v>149</v>
      </c>
      <c r="F4" s="4">
        <f t="shared" ref="F4" ca="1" si="0">NOW()</f>
        <v>44265.404203935184</v>
      </c>
      <c r="G4" s="3" t="s">
        <v>204</v>
      </c>
      <c r="H4" s="3" t="s">
        <v>173</v>
      </c>
      <c r="I4" s="3" t="s">
        <v>205</v>
      </c>
      <c r="J4" t="s">
        <v>211</v>
      </c>
      <c r="K4" s="3" t="s">
        <v>173</v>
      </c>
      <c r="M4" s="3" t="s">
        <v>156</v>
      </c>
      <c r="N4" s="3" t="s">
        <v>225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O23" sqref="O23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15</v>
      </c>
      <c r="N1" t="s">
        <v>16</v>
      </c>
      <c r="O1" s="1" t="s">
        <v>17</v>
      </c>
      <c r="P1" t="s">
        <v>130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131</v>
      </c>
    </row>
    <row r="3" spans="1:16" s="7" customFormat="1">
      <c r="A3" s="2" t="s">
        <v>18</v>
      </c>
      <c r="B3" s="2" t="s">
        <v>19</v>
      </c>
      <c r="C3" s="2" t="s">
        <v>132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7" t="s">
        <v>145</v>
      </c>
    </row>
    <row r="4" spans="1:16">
      <c r="A4" s="3" t="s">
        <v>146</v>
      </c>
      <c r="B4" s="3" t="s">
        <v>147</v>
      </c>
      <c r="C4" s="3" t="s">
        <v>148</v>
      </c>
      <c r="D4" s="3" t="s">
        <v>29</v>
      </c>
      <c r="E4" s="3" t="s">
        <v>149</v>
      </c>
      <c r="F4" s="4">
        <f ca="1">NOW()</f>
        <v>44265.404203935184</v>
      </c>
      <c r="G4" s="3" t="s">
        <v>150</v>
      </c>
      <c r="H4" s="3" t="s">
        <v>29</v>
      </c>
      <c r="I4" s="3" t="s">
        <v>151</v>
      </c>
      <c r="J4" s="3" t="s">
        <v>64</v>
      </c>
      <c r="K4" s="3" t="s">
        <v>152</v>
      </c>
      <c r="L4" t="s">
        <v>153</v>
      </c>
      <c r="M4" s="3" t="s">
        <v>154</v>
      </c>
      <c r="N4" s="3" t="s">
        <v>155</v>
      </c>
      <c r="O4" s="3" t="s">
        <v>156</v>
      </c>
      <c r="P4" s="3" t="s">
        <v>157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req</vt:lpstr>
      <vt:lpstr>rtn</vt:lpstr>
      <vt:lpstr>casedescription</vt:lpstr>
      <vt:lpstr>NewOrderSingle</vt:lpstr>
      <vt:lpstr>OrderCancelRequest</vt:lpstr>
      <vt:lpstr>OrderCancelReplaceRequest</vt:lpstr>
      <vt:lpstr>ExecutionReporttest</vt:lpstr>
      <vt:lpstr>ExecutionReport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BusinessMessageReject</vt:lpstr>
      <vt:lpstr>OnRspUserLogin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2021-03-10T01:42:04Z</dcterms:modified>
</cp:coreProperties>
</file>