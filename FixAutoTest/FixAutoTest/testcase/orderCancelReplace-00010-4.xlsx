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30" yWindow="0" windowWidth="19200" windowHeight="5775" tabRatio="798" firstSheet="5" activeTab="12"/>
  </bookViews>
  <sheets>
    <sheet name="req1" sheetId="4" r:id="rId1"/>
    <sheet name="rtn1" sheetId="6" r:id="rId2"/>
    <sheet name="req" sheetId="26" r:id="rId3"/>
    <sheet name="rtn" sheetId="25" r:id="rId4"/>
    <sheet name="req2" sheetId="23" r:id="rId5"/>
    <sheet name="rtn2" sheetId="24" r:id="rId6"/>
    <sheet name="casedescription" sheetId="21" r:id="rId7"/>
    <sheet name="NewOrderSingle" sheetId="2" r:id="rId8"/>
    <sheet name="OrderCancelRequest" sheetId="3" r:id="rId9"/>
    <sheet name="OrderCancelReplaceRequest" sheetId="5" r:id="rId10"/>
    <sheet name="OnRspUserLogin" sheetId="8" r:id="rId11"/>
    <sheet name="ExecutionReport1" sheetId="10" r:id="rId12"/>
    <sheet name="ExecutionReport" sheetId="20" r:id="rId13"/>
    <sheet name="OrderCancelReject" sheetId="22" r:id="rId14"/>
    <sheet name="BusinessMessageReject" sheetId="12" r:id="rId15"/>
    <sheet name="Reject" sheetId="11" r:id="rId16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21" l="1"/>
  <c r="B43" i="21"/>
  <c r="D42" i="21"/>
  <c r="D43" i="21"/>
  <c r="F19" i="2"/>
  <c r="F18" i="2"/>
  <c r="B42" i="4"/>
  <c r="B43" i="4"/>
  <c r="D42" i="4"/>
  <c r="D43" i="4"/>
  <c r="B41" i="21"/>
  <c r="D41" i="21"/>
  <c r="F11" i="3"/>
  <c r="D41" i="4"/>
  <c r="B41" i="4"/>
  <c r="G151" i="20"/>
  <c r="G150" i="20"/>
  <c r="B152" i="6"/>
  <c r="B153" i="6"/>
  <c r="D152" i="6"/>
  <c r="D153" i="6"/>
  <c r="F4" i="12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10" i="26"/>
  <c r="B11" i="26"/>
  <c r="B12" i="26"/>
  <c r="B13" i="26"/>
  <c r="G149" i="20"/>
  <c r="G148" i="20"/>
  <c r="G147" i="20"/>
  <c r="D149" i="6"/>
  <c r="B149" i="6"/>
  <c r="D150" i="6"/>
  <c r="B150" i="6"/>
  <c r="D151" i="6"/>
  <c r="B151" i="6"/>
  <c r="F21" i="5"/>
  <c r="F17" i="2"/>
  <c r="G146" i="20"/>
  <c r="G145" i="20"/>
  <c r="G144" i="20"/>
  <c r="G143" i="20"/>
  <c r="G142" i="20"/>
  <c r="G141" i="20"/>
  <c r="G140" i="20"/>
  <c r="D142" i="6"/>
  <c r="D143" i="6"/>
  <c r="D144" i="6"/>
  <c r="B144" i="6"/>
  <c r="D145" i="6"/>
  <c r="B145" i="6"/>
  <c r="D146" i="6"/>
  <c r="D147" i="6"/>
  <c r="D148" i="6"/>
  <c r="B148" i="6"/>
  <c r="B146" i="6"/>
  <c r="B147" i="6"/>
  <c r="B142" i="6"/>
  <c r="B143" i="6"/>
  <c r="D39" i="4"/>
  <c r="B39" i="4"/>
  <c r="D40" i="4"/>
  <c r="B40" i="4"/>
  <c r="D40" i="21"/>
  <c r="B40" i="21"/>
  <c r="B39" i="21"/>
  <c r="D39" i="21"/>
  <c r="G139" i="20"/>
  <c r="G138" i="20"/>
  <c r="G137" i="20"/>
  <c r="G136" i="20"/>
  <c r="G135" i="20"/>
  <c r="F20" i="5"/>
  <c r="D137" i="6"/>
  <c r="B137" i="6"/>
  <c r="D138" i="6"/>
  <c r="D139" i="6"/>
  <c r="D140" i="6"/>
  <c r="B140" i="6"/>
  <c r="D141" i="6"/>
  <c r="B141" i="6"/>
  <c r="B138" i="6"/>
  <c r="B139" i="6"/>
  <c r="D38" i="4"/>
  <c r="B38" i="4"/>
  <c r="D38" i="21"/>
  <c r="B38" i="21"/>
  <c r="D132" i="6"/>
  <c r="D133" i="6"/>
  <c r="D134" i="6"/>
  <c r="B134" i="6"/>
  <c r="D135" i="6"/>
  <c r="B135" i="6"/>
  <c r="D136" i="6"/>
  <c r="B136" i="6"/>
  <c r="B132" i="6"/>
  <c r="B133" i="6"/>
  <c r="G129" i="20"/>
  <c r="G128" i="20"/>
  <c r="G134" i="20"/>
  <c r="G133" i="20"/>
  <c r="G132" i="20"/>
  <c r="G131" i="20"/>
  <c r="G130" i="20"/>
  <c r="F16" i="2"/>
  <c r="D130" i="6"/>
  <c r="B130" i="6"/>
  <c r="D131" i="6"/>
  <c r="B131" i="6"/>
  <c r="D37" i="4"/>
  <c r="B37" i="4"/>
  <c r="D37" i="21"/>
  <c r="B37" i="21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3" i="25"/>
  <c r="D2" i="25"/>
  <c r="B2" i="25"/>
  <c r="B9" i="26"/>
  <c r="B8" i="26"/>
  <c r="B7" i="26"/>
  <c r="B6" i="26"/>
  <c r="B5" i="26"/>
  <c r="B4" i="26"/>
  <c r="B3" i="26"/>
  <c r="B2" i="26"/>
  <c r="D2" i="24"/>
  <c r="B2" i="24"/>
  <c r="B65" i="24"/>
  <c r="B61" i="24"/>
  <c r="B57" i="24"/>
  <c r="B53" i="24"/>
  <c r="B49" i="24"/>
  <c r="B45" i="24"/>
  <c r="B41" i="24"/>
  <c r="B37" i="24"/>
  <c r="B33" i="24"/>
  <c r="B29" i="24"/>
  <c r="B25" i="24"/>
  <c r="B21" i="24"/>
  <c r="B17" i="24"/>
  <c r="B13" i="24"/>
  <c r="B12" i="24"/>
  <c r="B9" i="24"/>
  <c r="B8" i="24"/>
  <c r="B5" i="24"/>
  <c r="B4" i="24"/>
  <c r="B68" i="24"/>
  <c r="B67" i="24"/>
  <c r="B66" i="24"/>
  <c r="B64" i="24"/>
  <c r="B63" i="24"/>
  <c r="B62" i="24"/>
  <c r="B60" i="24"/>
  <c r="B59" i="24"/>
  <c r="B58" i="24"/>
  <c r="B56" i="24"/>
  <c r="B55" i="24"/>
  <c r="B54" i="24"/>
  <c r="B52" i="24"/>
  <c r="B51" i="24"/>
  <c r="B50" i="24"/>
  <c r="B48" i="24"/>
  <c r="B47" i="24"/>
  <c r="B46" i="24"/>
  <c r="B44" i="24"/>
  <c r="B43" i="24"/>
  <c r="B42" i="24"/>
  <c r="B40" i="24"/>
  <c r="B39" i="24"/>
  <c r="B38" i="24"/>
  <c r="B36" i="24"/>
  <c r="B35" i="24"/>
  <c r="B34" i="24"/>
  <c r="B32" i="24"/>
  <c r="B31" i="24"/>
  <c r="B30" i="24"/>
  <c r="B28" i="24"/>
  <c r="B27" i="24"/>
  <c r="B26" i="24"/>
  <c r="B24" i="24"/>
  <c r="B23" i="24"/>
  <c r="B22" i="24"/>
  <c r="B20" i="24"/>
  <c r="B19" i="24"/>
  <c r="B18" i="24"/>
  <c r="B16" i="24"/>
  <c r="B15" i="24"/>
  <c r="B14" i="24"/>
  <c r="B11" i="24"/>
  <c r="B10" i="24"/>
  <c r="B7" i="24"/>
  <c r="B6" i="24"/>
  <c r="B3" i="24"/>
  <c r="B13" i="23"/>
  <c r="B9" i="23"/>
  <c r="B5" i="23"/>
  <c r="B3" i="23"/>
  <c r="B16" i="23"/>
  <c r="B15" i="23"/>
  <c r="B14" i="23"/>
  <c r="B12" i="23"/>
  <c r="B11" i="23"/>
  <c r="B10" i="23"/>
  <c r="B8" i="23"/>
  <c r="B7" i="23"/>
  <c r="B6" i="23"/>
  <c r="B4" i="23"/>
  <c r="B2" i="23"/>
  <c r="G127" i="20"/>
  <c r="G126" i="20"/>
  <c r="G125" i="20"/>
  <c r="G124" i="20"/>
  <c r="G123" i="20"/>
  <c r="G122" i="20"/>
  <c r="F10" i="3"/>
  <c r="F9" i="3"/>
  <c r="D124" i="6"/>
  <c r="D125" i="6"/>
  <c r="D126" i="6"/>
  <c r="B126" i="6"/>
  <c r="D127" i="6"/>
  <c r="B127" i="6"/>
  <c r="D128" i="6"/>
  <c r="D129" i="6"/>
  <c r="B124" i="6"/>
  <c r="B125" i="6"/>
  <c r="B128" i="6"/>
  <c r="B129" i="6"/>
  <c r="D121" i="6"/>
  <c r="B121" i="6"/>
  <c r="D122" i="6"/>
  <c r="B122" i="6"/>
  <c r="D123" i="6"/>
  <c r="B123" i="6"/>
  <c r="B115" i="6"/>
  <c r="B118" i="6"/>
  <c r="B119" i="6"/>
  <c r="D115" i="6"/>
  <c r="D116" i="6"/>
  <c r="B116" i="6"/>
  <c r="D117" i="6"/>
  <c r="B117" i="6"/>
  <c r="D118" i="6"/>
  <c r="D119" i="6"/>
  <c r="D120" i="6"/>
  <c r="B120" i="6"/>
  <c r="D35" i="4"/>
  <c r="B35" i="4"/>
  <c r="D36" i="4"/>
  <c r="B36" i="4"/>
  <c r="D35" i="21"/>
  <c r="B35" i="21"/>
  <c r="D36" i="21"/>
  <c r="B36" i="21"/>
  <c r="F19" i="5"/>
  <c r="G121" i="20"/>
  <c r="G119" i="20"/>
  <c r="G120" i="20"/>
  <c r="G117" i="20"/>
  <c r="G118" i="20"/>
  <c r="G116" i="20"/>
  <c r="G115" i="20"/>
  <c r="G114" i="20"/>
  <c r="G113" i="20"/>
  <c r="D107" i="6"/>
  <c r="B107" i="6"/>
  <c r="D108" i="6"/>
  <c r="B108" i="6"/>
  <c r="D109" i="6"/>
  <c r="B109" i="6"/>
  <c r="D110" i="6"/>
  <c r="B110" i="6"/>
  <c r="D111" i="6"/>
  <c r="B111" i="6"/>
  <c r="D112" i="6"/>
  <c r="B112" i="6"/>
  <c r="D113" i="6"/>
  <c r="B113" i="6"/>
  <c r="D114" i="6"/>
  <c r="B114" i="6"/>
  <c r="G112" i="20"/>
  <c r="G111" i="20"/>
  <c r="F15" i="2"/>
  <c r="G110" i="20"/>
  <c r="G109" i="20"/>
  <c r="G108" i="20"/>
  <c r="G107" i="20"/>
  <c r="G106" i="20"/>
  <c r="G105" i="20"/>
  <c r="F8" i="3"/>
  <c r="F7" i="3"/>
  <c r="D31" i="21"/>
  <c r="B31" i="21"/>
  <c r="D32" i="21"/>
  <c r="D33" i="21"/>
  <c r="D34" i="21"/>
  <c r="B34" i="21"/>
  <c r="D31" i="4"/>
  <c r="B31" i="4"/>
  <c r="D32" i="4"/>
  <c r="B32" i="4"/>
  <c r="D33" i="4"/>
  <c r="D34" i="4"/>
  <c r="B34" i="4"/>
  <c r="B33" i="4"/>
  <c r="B32" i="21"/>
  <c r="B33" i="21"/>
  <c r="F18" i="5"/>
  <c r="G104" i="20"/>
  <c r="G103" i="20"/>
  <c r="G102" i="20"/>
  <c r="G101" i="20"/>
  <c r="G100" i="20"/>
  <c r="G99" i="20"/>
  <c r="G98" i="20"/>
  <c r="G97" i="20"/>
  <c r="G96" i="20"/>
  <c r="F14" i="2"/>
  <c r="B98" i="6"/>
  <c r="B101" i="6"/>
  <c r="B102" i="6"/>
  <c r="B105" i="6"/>
  <c r="B106" i="6"/>
  <c r="D105" i="6"/>
  <c r="D106" i="6"/>
  <c r="D98" i="6"/>
  <c r="D99" i="6"/>
  <c r="B99" i="6"/>
  <c r="D100" i="6"/>
  <c r="B100" i="6"/>
  <c r="D101" i="6"/>
  <c r="D102" i="6"/>
  <c r="D103" i="6"/>
  <c r="B103" i="6"/>
  <c r="D104" i="6"/>
  <c r="B104" i="6"/>
  <c r="D29" i="4"/>
  <c r="B29" i="4"/>
  <c r="D30" i="4"/>
  <c r="B30" i="4"/>
  <c r="D30" i="21"/>
  <c r="B30" i="21"/>
  <c r="B29" i="21"/>
  <c r="D29" i="21"/>
  <c r="B93" i="6"/>
  <c r="B94" i="6"/>
  <c r="B97" i="6"/>
  <c r="D91" i="6"/>
  <c r="B91" i="6"/>
  <c r="D92" i="6"/>
  <c r="B92" i="6"/>
  <c r="D93" i="6"/>
  <c r="D94" i="6"/>
  <c r="D95" i="6"/>
  <c r="B95" i="6"/>
  <c r="D96" i="6"/>
  <c r="B96" i="6"/>
  <c r="D97" i="6"/>
  <c r="G95" i="20"/>
  <c r="G94" i="20"/>
  <c r="G91" i="20"/>
  <c r="G93" i="20"/>
  <c r="G92" i="20"/>
  <c r="G90" i="20"/>
  <c r="G89" i="20"/>
  <c r="F13" i="2"/>
  <c r="B28" i="4"/>
  <c r="D26" i="4"/>
  <c r="B26" i="4"/>
  <c r="D27" i="4"/>
  <c r="B27" i="4"/>
  <c r="D28" i="4"/>
  <c r="D85" i="6"/>
  <c r="B85" i="6"/>
  <c r="D86" i="6"/>
  <c r="B86" i="6"/>
  <c r="D87" i="6"/>
  <c r="B87" i="6"/>
  <c r="D88" i="6"/>
  <c r="B88" i="6"/>
  <c r="D89" i="6"/>
  <c r="B89" i="6"/>
  <c r="D90" i="6"/>
  <c r="B90" i="6"/>
  <c r="D78" i="6"/>
  <c r="D79" i="6"/>
  <c r="D80" i="6"/>
  <c r="B80" i="6"/>
  <c r="D81" i="6"/>
  <c r="B81" i="6"/>
  <c r="D82" i="6"/>
  <c r="D83" i="6"/>
  <c r="D84" i="6"/>
  <c r="B84" i="6"/>
  <c r="B78" i="6"/>
  <c r="B79" i="6"/>
  <c r="B82" i="6"/>
  <c r="B83" i="6"/>
  <c r="B76" i="6"/>
  <c r="D73" i="6"/>
  <c r="B73" i="6"/>
  <c r="D74" i="6"/>
  <c r="B74" i="6"/>
  <c r="D75" i="6"/>
  <c r="B75" i="6"/>
  <c r="D76" i="6"/>
  <c r="D77" i="6"/>
  <c r="B77" i="6"/>
  <c r="D66" i="6"/>
  <c r="B66" i="6"/>
  <c r="D67" i="6"/>
  <c r="B67" i="6"/>
  <c r="D68" i="6"/>
  <c r="D69" i="6"/>
  <c r="B69" i="6"/>
  <c r="D70" i="6"/>
  <c r="B70" i="6"/>
  <c r="D71" i="6"/>
  <c r="B71" i="6"/>
  <c r="D72" i="6"/>
  <c r="B72" i="6"/>
  <c r="B68" i="6"/>
  <c r="G88" i="20"/>
  <c r="G87" i="20"/>
  <c r="G86" i="20"/>
  <c r="G85" i="20"/>
  <c r="G84" i="20"/>
  <c r="G83" i="20"/>
  <c r="F6" i="3"/>
  <c r="F5" i="3"/>
  <c r="G82" i="20"/>
  <c r="G81" i="20"/>
  <c r="G80" i="20"/>
  <c r="G79" i="20"/>
  <c r="G78" i="20"/>
  <c r="G77" i="20"/>
  <c r="G76" i="20"/>
  <c r="G75" i="20"/>
  <c r="G74" i="20"/>
  <c r="G73" i="20"/>
  <c r="G72" i="20"/>
  <c r="G71" i="20"/>
  <c r="F17" i="5"/>
  <c r="F16" i="5"/>
  <c r="G70" i="20"/>
  <c r="G68" i="20"/>
  <c r="G69" i="20"/>
  <c r="G67" i="20"/>
  <c r="G66" i="20"/>
  <c r="G65" i="20"/>
  <c r="G64" i="20"/>
  <c r="F15" i="5"/>
  <c r="G63" i="20"/>
  <c r="G62" i="20"/>
  <c r="F12" i="2"/>
  <c r="B64" i="6"/>
  <c r="D64" i="6"/>
  <c r="D65" i="6"/>
  <c r="B65" i="6"/>
  <c r="D22" i="4"/>
  <c r="B22" i="4"/>
  <c r="D23" i="4"/>
  <c r="B23" i="4"/>
  <c r="D24" i="4"/>
  <c r="B24" i="4"/>
  <c r="D25" i="4"/>
  <c r="B25" i="4"/>
  <c r="D28" i="21"/>
  <c r="B28" i="21"/>
  <c r="D26" i="21"/>
  <c r="B26" i="21"/>
  <c r="D27" i="21"/>
  <c r="B27" i="21"/>
  <c r="D23" i="21"/>
  <c r="B23" i="21"/>
  <c r="D24" i="21"/>
  <c r="B24" i="21"/>
  <c r="D25" i="21"/>
  <c r="B25" i="21"/>
  <c r="D21" i="21"/>
  <c r="D22" i="21"/>
  <c r="B22" i="21"/>
  <c r="D59" i="6"/>
  <c r="D60" i="6"/>
  <c r="D61" i="6"/>
  <c r="D62" i="6"/>
  <c r="D63" i="6"/>
  <c r="D19" i="4"/>
  <c r="D20" i="4"/>
  <c r="D21" i="4"/>
  <c r="B18" i="21"/>
  <c r="B19" i="21"/>
  <c r="B20" i="21"/>
  <c r="B21" i="21"/>
  <c r="D16" i="21"/>
  <c r="D17" i="21"/>
  <c r="D18" i="21"/>
  <c r="D19" i="21"/>
  <c r="D20" i="21"/>
  <c r="B19" i="4"/>
  <c r="F14" i="5"/>
  <c r="F13" i="5"/>
  <c r="G61" i="20"/>
  <c r="G60" i="20"/>
  <c r="F11" i="2"/>
  <c r="B61" i="6"/>
  <c r="B60" i="6"/>
  <c r="B63" i="6"/>
  <c r="B62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G4" i="22"/>
  <c r="G59" i="20"/>
  <c r="G58" i="20"/>
  <c r="G57" i="20"/>
  <c r="F12" i="5"/>
  <c r="G56" i="20"/>
  <c r="G55" i="20"/>
  <c r="F11" i="5"/>
  <c r="G54" i="20"/>
  <c r="G53" i="20"/>
  <c r="G52" i="20"/>
  <c r="G51" i="20"/>
  <c r="G50" i="20"/>
  <c r="G49" i="20"/>
  <c r="G48" i="20"/>
  <c r="F10" i="5"/>
  <c r="F10" i="2"/>
  <c r="G47" i="20"/>
  <c r="G46" i="20"/>
  <c r="G45" i="20"/>
  <c r="G44" i="20"/>
  <c r="G43" i="20"/>
  <c r="G42" i="20"/>
  <c r="F9" i="5"/>
  <c r="F9" i="2"/>
  <c r="F8" i="2"/>
  <c r="F8" i="5"/>
  <c r="G41" i="20"/>
  <c r="G40" i="20"/>
  <c r="G39" i="20"/>
  <c r="G38" i="20"/>
  <c r="G37" i="20"/>
  <c r="G36" i="20"/>
  <c r="G35" i="20"/>
  <c r="F7" i="5"/>
  <c r="G34" i="20"/>
  <c r="G33" i="20"/>
  <c r="G32" i="20"/>
  <c r="G31" i="20"/>
  <c r="G30" i="20"/>
  <c r="G29" i="20"/>
  <c r="G28" i="20"/>
  <c r="G27" i="20"/>
  <c r="G26" i="20"/>
  <c r="G25" i="20"/>
  <c r="F6" i="5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F5" i="5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4" i="4"/>
  <c r="D5" i="4"/>
  <c r="D6" i="4"/>
  <c r="D7" i="4"/>
  <c r="B7" i="4"/>
  <c r="D8" i="4"/>
  <c r="D9" i="4"/>
  <c r="D10" i="4"/>
  <c r="B10" i="4"/>
  <c r="D11" i="4"/>
  <c r="B11" i="4"/>
  <c r="D12" i="4"/>
  <c r="D13" i="4"/>
  <c r="D14" i="4"/>
  <c r="B14" i="4"/>
  <c r="D15" i="4"/>
  <c r="B15" i="4"/>
  <c r="D16" i="4"/>
  <c r="D17" i="4"/>
  <c r="D18" i="4"/>
  <c r="B20" i="4"/>
  <c r="B21" i="4"/>
  <c r="D3" i="4"/>
  <c r="B3" i="4"/>
  <c r="B4" i="4"/>
  <c r="B6" i="4"/>
  <c r="D2" i="4"/>
  <c r="D2" i="21"/>
  <c r="B5" i="4"/>
  <c r="B8" i="4"/>
  <c r="B9" i="4"/>
  <c r="B12" i="4"/>
  <c r="B13" i="4"/>
  <c r="B16" i="4"/>
  <c r="B17" i="4"/>
  <c r="B18" i="4"/>
  <c r="B17" i="21"/>
  <c r="B16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B8" i="21"/>
  <c r="B15" i="21"/>
  <c r="B14" i="21"/>
  <c r="B13" i="21"/>
  <c r="B12" i="21"/>
  <c r="B11" i="21"/>
  <c r="B10" i="21"/>
  <c r="B9" i="21"/>
  <c r="B7" i="21"/>
  <c r="B5" i="21"/>
  <c r="B3" i="21"/>
  <c r="B6" i="21"/>
  <c r="B4" i="21"/>
  <c r="B2" i="21"/>
  <c r="D17" i="6"/>
  <c r="B17" i="6"/>
  <c r="D18" i="6"/>
  <c r="B18" i="6"/>
  <c r="D19" i="6"/>
  <c r="B19" i="6"/>
  <c r="I4" i="4"/>
  <c r="G4" i="4"/>
  <c r="G6" i="6"/>
  <c r="G10" i="20"/>
  <c r="G9" i="20"/>
  <c r="G8" i="20"/>
  <c r="G7" i="20"/>
  <c r="G6" i="20"/>
  <c r="G5" i="20"/>
  <c r="G4" i="20"/>
  <c r="G16" i="6"/>
  <c r="G23" i="10"/>
  <c r="B2" i="4"/>
  <c r="F4" i="2"/>
  <c r="G8" i="10"/>
  <c r="G7" i="10"/>
  <c r="I15" i="6"/>
  <c r="G15" i="6"/>
  <c r="G6" i="10"/>
  <c r="I4" i="6"/>
  <c r="I10" i="4"/>
  <c r="G10" i="4"/>
  <c r="G20" i="10"/>
  <c r="G19" i="10"/>
  <c r="G18" i="10"/>
  <c r="G17" i="10"/>
  <c r="G16" i="10"/>
  <c r="G15" i="10"/>
  <c r="G14" i="10"/>
  <c r="G13" i="10"/>
  <c r="G12" i="10"/>
  <c r="G11" i="10"/>
  <c r="G10" i="10"/>
  <c r="G9" i="10"/>
  <c r="G5" i="10"/>
  <c r="G4" i="10"/>
  <c r="D13" i="6"/>
  <c r="B13" i="6"/>
  <c r="D14" i="6"/>
  <c r="B14" i="6"/>
  <c r="D15" i="6"/>
  <c r="B15" i="6"/>
  <c r="D16" i="6"/>
  <c r="B16" i="6"/>
  <c r="D11" i="6"/>
  <c r="B11" i="6"/>
  <c r="D12" i="6"/>
  <c r="B12" i="6"/>
  <c r="F7" i="2"/>
  <c r="B3" i="6"/>
  <c r="B4" i="6"/>
  <c r="B5" i="6"/>
  <c r="B6" i="6"/>
  <c r="B7" i="6"/>
  <c r="B8" i="6"/>
  <c r="B9" i="6"/>
  <c r="B10" i="6"/>
  <c r="B2" i="6"/>
  <c r="D3" i="6"/>
  <c r="D4" i="6"/>
  <c r="D5" i="6"/>
  <c r="D6" i="6"/>
  <c r="D7" i="6"/>
  <c r="D8" i="6"/>
  <c r="D9" i="6"/>
  <c r="D10" i="6"/>
  <c r="D2" i="6"/>
  <c r="I2" i="4"/>
  <c r="I8" i="4"/>
  <c r="G8" i="4"/>
  <c r="I9" i="4"/>
  <c r="G9" i="4"/>
  <c r="F5" i="12"/>
  <c r="F4" i="11"/>
  <c r="F4" i="8"/>
  <c r="F4" i="5"/>
  <c r="F4" i="3"/>
  <c r="F6" i="2"/>
  <c r="F5" i="2"/>
  <c r="G2" i="4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sharedStrings.xml><?xml version="1.0" encoding="utf-8"?>
<sst xmlns="http://schemas.openxmlformats.org/spreadsheetml/2006/main" count="7206" uniqueCount="772">
  <si>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</si>
  <si>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</si>
  <si>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</si>
  <si>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</si>
  <si>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</si>
  <si>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</si>
  <si>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</si>
  <si>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</si>
  <si>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</si>
  <si>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</si>
  <si>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</si>
  <si>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</si>
  <si>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</si>
  <si>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</si>
  <si>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</si>
  <si>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</si>
  <si>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</si>
  <si>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</si>
  <si>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</si>
  <si>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</si>
  <si>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</si>
  <si>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</si>
  <si>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</si>
  <si>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</si>
  <si>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</si>
  <si>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</si>
  <si>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</si>
  <si>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</si>
  <si>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</si>
  <si>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</si>
  <si>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</si>
  <si>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</si>
  <si>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</si>
  <si>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</si>
  <si>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</si>
  <si>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</si>
  <si>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</si>
  <si>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</si>
  <si>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</si>
  <si>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</si>
  <si>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</si>
  <si>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</si>
  <si>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</si>
  <si>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</si>
  <si>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</si>
  <si>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</si>
  <si>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</si>
  <si>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</si>
  <si>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</si>
  <si>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</si>
  <si>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</si>
  <si>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</si>
  <si>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</si>
  <si>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</si>
  <si>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</si>
  <si>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</si>
  <si>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</si>
  <si>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</si>
  <si>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</si>
  <si>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</si>
  <si>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</si>
  <si>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</si>
  <si>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</si>
  <si>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</si>
  <si>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</si>
  <si>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</si>
  <si>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</si>
  <si>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</si>
  <si>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</si>
  <si>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</si>
  <si>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</si>
  <si>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</si>
  <si>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</si>
  <si>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</si>
  <si>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</si>
  <si>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</si>
  <si>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</si>
  <si>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</si>
  <si>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</si>
  <si>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</si>
  <si>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</si>
  <si>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</si>
  <si>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</si>
  <si>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</si>
  <si>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</si>
  <si>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</si>
  <si>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</si>
  <si>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</si>
  <si>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</si>
  <si>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</si>
  <si>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</si>
  <si>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</si>
  <si>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OrigClOrdID</t>
  </si>
  <si>
    <t>OrderID</t>
  </si>
  <si>
    <t>SHFE</t>
    <phoneticPr fontId="2" type="noConversion"/>
  </si>
  <si>
    <t>F</t>
    <phoneticPr fontId="2" type="noConversion"/>
  </si>
  <si>
    <t>0</t>
    <phoneticPr fontId="2" type="noConversion"/>
  </si>
  <si>
    <t>OrderCancelRequest</t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</si>
  <si>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</si>
  <si>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</si>
  <si>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</si>
  <si>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</si>
  <si>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</si>
  <si>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</si>
  <si>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</si>
  <si>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</si>
  <si>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</si>
  <si>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</si>
  <si>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</si>
  <si>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G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</si>
  <si>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</si>
  <si>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</si>
  <si>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</si>
  <si>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</si>
  <si>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2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</si>
  <si>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</si>
  <si>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</si>
  <si>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</si>
  <si>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</si>
  <si>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</si>
  <si>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</si>
  <si>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</si>
  <si>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</si>
  <si>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</si>
  <si>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</si>
  <si>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</si>
  <si>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</si>
  <si>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</si>
  <si>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</si>
  <si>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</si>
  <si>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</si>
  <si>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</si>
  <si>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</si>
  <si>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</si>
  <si>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</si>
  <si>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</si>
  <si>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</si>
  <si>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</si>
  <si>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</si>
  <si>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</si>
  <si>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</si>
  <si>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</si>
  <si>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</si>
  <si>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</si>
  <si>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</si>
  <si>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</si>
  <si>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</si>
  <si>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</si>
  <si>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</si>
  <si>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</si>
  <si>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</si>
  <si>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</si>
  <si>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</si>
  <si>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</si>
  <si>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</si>
  <si>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</si>
  <si>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</si>
  <si>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</si>
  <si>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</si>
  <si>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</si>
  <si>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</si>
  <si>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</si>
  <si>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</si>
  <si>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</si>
  <si>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</si>
  <si>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</si>
  <si>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</si>
  <si>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</si>
  <si>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</si>
  <si>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</si>
  <si>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</si>
  <si>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</si>
  <si>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</si>
  <si>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</si>
  <si>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</si>
  <si>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</si>
  <si>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</si>
  <si>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</si>
  <si>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</si>
  <si>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</si>
  <si>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</si>
  <si>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</si>
  <si>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</si>
  <si>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</si>
  <si>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</si>
  <si>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</si>
  <si>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</si>
  <si>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</si>
  <si>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</si>
  <si>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61441</t>
    <phoneticPr fontId="2" type="noConversion"/>
  </si>
  <si>
    <t>0</t>
    <phoneticPr fontId="2" type="noConversion"/>
  </si>
  <si>
    <t>A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</si>
  <si>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</si>
  <si>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</si>
  <si>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</si>
  <si>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</si>
  <si>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['35','40','54','77','44','38','39','150','20001','59','55','1','56','116']</t>
    <phoneticPr fontId="2" type="noConversion"/>
  </si>
  <si>
    <t>4</t>
    <phoneticPr fontId="2" type="noConversion"/>
  </si>
  <si>
    <t>RefSeqNum</t>
  </si>
  <si>
    <t>RefMsgType</t>
  </si>
  <si>
    <t>SessionRejectReason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</si>
  <si>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</si>
  <si>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</si>
  <si>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</si>
  <si>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</si>
  <si>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</si>
  <si>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</si>
  <si>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</si>
  <si>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3</t>
    <phoneticPr fontId="2" type="noConversion"/>
  </si>
  <si>
    <t>1</t>
    <phoneticPr fontId="2" type="noConversion"/>
  </si>
  <si>
    <t>['35','372','373']</t>
    <phoneticPr fontId="2" type="noConversion"/>
  </si>
  <si>
    <t>BusinessRejectReason</t>
  </si>
  <si>
    <t>380</t>
    <phoneticPr fontId="2" type="noConversion"/>
  </si>
  <si>
    <t>j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</si>
  <si>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</si>
  <si>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</si>
  <si>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</si>
  <si>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</si>
  <si>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OrderCancelReplaceRequest</t>
  </si>
  <si>
    <t>2</t>
  </si>
  <si>
    <t>4</t>
    <phoneticPr fontId="2" type="noConversion"/>
  </si>
  <si>
    <t>116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</si>
  <si>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</si>
  <si>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</si>
  <si>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</si>
  <si>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</si>
  <si>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</si>
  <si>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MassQuote</t>
    <phoneticPr fontId="2" type="noConversion"/>
  </si>
  <si>
    <t>00010</t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</si>
  <si>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</si>
  <si>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</si>
  <si>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</si>
  <si>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</si>
  <si>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</si>
  <si>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</si>
  <si>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00010</t>
    <phoneticPr fontId="2" type="noConversion"/>
  </si>
  <si>
    <t>rb1204</t>
  </si>
  <si>
    <t>rb1204</t>
    <phoneticPr fontId="2" type="noConversion"/>
  </si>
  <si>
    <t>5002</t>
    <phoneticPr fontId="2" type="noConversion"/>
  </si>
  <si>
    <t>5001</t>
    <phoneticPr fontId="2" type="noConversion"/>
  </si>
  <si>
    <t>5001</t>
    <phoneticPr fontId="2" type="noConversion"/>
  </si>
  <si>
    <t>5003</t>
    <phoneticPr fontId="2" type="noConversion"/>
  </si>
  <si>
    <t>5003</t>
    <phoneticPr fontId="2" type="noConversion"/>
  </si>
  <si>
    <t>5001</t>
    <phoneticPr fontId="2" type="noConversion"/>
  </si>
  <si>
    <t>5002</t>
    <phoneticPr fontId="2" type="noConversion"/>
  </si>
  <si>
    <t>5002</t>
    <phoneticPr fontId="2" type="noConversion"/>
  </si>
  <si>
    <t>5003</t>
    <phoneticPr fontId="2" type="noConversion"/>
  </si>
  <si>
    <t>5003</t>
    <phoneticPr fontId="2" type="noConversion"/>
  </si>
  <si>
    <t>5005</t>
    <phoneticPr fontId="2" type="noConversion"/>
  </si>
  <si>
    <t>5005</t>
    <phoneticPr fontId="2" type="noConversion"/>
  </si>
  <si>
    <t>SecurityDefinitionRequest</t>
  </si>
  <si>
    <t>SecurityDefinitionRequest</t>
    <phoneticPr fontId="2" type="noConversion"/>
  </si>
  <si>
    <t>107</t>
    <phoneticPr fontId="2" type="noConversion"/>
  </si>
  <si>
    <t>500</t>
    <phoneticPr fontId="2" type="noConversion"/>
  </si>
  <si>
    <t>SecurityDefinition</t>
    <phoneticPr fontId="2" type="noConversion"/>
  </si>
  <si>
    <t>SecurityDefinition</t>
    <phoneticPr fontId="2" type="noConversion"/>
  </si>
  <si>
    <t>I</t>
    <phoneticPr fontId="2" type="noConversion"/>
  </si>
  <si>
    <t>OrderStatusRequest</t>
  </si>
  <si>
    <t>OrderStatusRequest</t>
    <phoneticPr fontId="2" type="noConversion"/>
  </si>
  <si>
    <t>rb1203</t>
    <phoneticPr fontId="2" type="noConversion"/>
  </si>
  <si>
    <t>rb1203</t>
    <phoneticPr fontId="2" type="noConversion"/>
  </si>
  <si>
    <t>4900</t>
    <phoneticPr fontId="2" type="noConversion"/>
  </si>
  <si>
    <t>4900</t>
    <phoneticPr fontId="2" type="noConversion"/>
  </si>
  <si>
    <t>4900</t>
    <phoneticPr fontId="2" type="noConversion"/>
  </si>
  <si>
    <t>1</t>
    <phoneticPr fontId="2" type="noConversion"/>
  </si>
  <si>
    <t>2</t>
    <phoneticPr fontId="2" type="noConversion"/>
  </si>
  <si>
    <t>4</t>
    <phoneticPr fontId="2" type="noConversion"/>
  </si>
  <si>
    <t>2</t>
    <phoneticPr fontId="2" type="noConversion"/>
  </si>
  <si>
    <t>4</t>
    <phoneticPr fontId="2" type="noConversion"/>
  </si>
  <si>
    <t>5</t>
    <phoneticPr fontId="2" type="noConversion"/>
  </si>
  <si>
    <t>5</t>
    <phoneticPr fontId="2" type="noConversion"/>
  </si>
  <si>
    <t>['35','40','54','77','44','38','39','150','20001','59','55','1','56'']</t>
    <phoneticPr fontId="2" type="noConversion"/>
  </si>
  <si>
    <t>['35','40','54','77','44','38','39','150','20001','59','55','1','56']</t>
    <phoneticPr fontId="2" type="noConversion"/>
  </si>
  <si>
    <t>ReqList</t>
    <phoneticPr fontId="2" type="noConversion"/>
  </si>
  <si>
    <t>NewOrderSingle</t>
    <phoneticPr fontId="2" type="noConversion"/>
  </si>
  <si>
    <t>OrderCancel</t>
    <phoneticPr fontId="2" type="noConversion"/>
  </si>
  <si>
    <t>OrderCancelReplace</t>
    <phoneticPr fontId="2" type="noConversion"/>
  </si>
  <si>
    <t>OrderStatus</t>
    <phoneticPr fontId="2" type="noConversion"/>
  </si>
  <si>
    <t>N</t>
    <phoneticPr fontId="2" type="noConversion"/>
  </si>
  <si>
    <t>CaseNo</t>
    <phoneticPr fontId="2" type="noConversion"/>
  </si>
  <si>
    <t>SheetName</t>
    <phoneticPr fontId="2" type="noConversion"/>
  </si>
  <si>
    <t>RowNum</t>
    <phoneticPr fontId="2" type="noConversion"/>
  </si>
  <si>
    <t>普通报单</t>
    <phoneticPr fontId="2" type="noConversion"/>
  </si>
  <si>
    <t>OrderCancelReplaceRequest</t>
    <phoneticPr fontId="2" type="noConversion"/>
  </si>
  <si>
    <t>rb1205</t>
  </si>
  <si>
    <t>rb1205</t>
    <phoneticPr fontId="2" type="noConversion"/>
  </si>
  <si>
    <t>rb1206</t>
  </si>
  <si>
    <t>rb1206</t>
    <phoneticPr fontId="2" type="noConversion"/>
  </si>
  <si>
    <t>OrderCancelRequest</t>
    <phoneticPr fontId="2" type="noConversion"/>
  </si>
  <si>
    <t>将case12中的报单改开平，能成功撤单，新开单时会报仓位不足</t>
    <phoneticPr fontId="2" type="noConversion"/>
  </si>
  <si>
    <t>将case14中的报单改数量、价格</t>
    <phoneticPr fontId="2" type="noConversion"/>
  </si>
  <si>
    <t>改单后对新报单再改单，将case15中的报单改数量、价格</t>
    <phoneticPr fontId="2" type="noConversion"/>
  </si>
  <si>
    <t>改单后对原报单再改单，将case15中的报单再次改数量、价格，被拒绝</t>
    <phoneticPr fontId="2" type="noConversion"/>
  </si>
  <si>
    <t>撤单</t>
    <phoneticPr fontId="2" type="noConversion"/>
  </si>
  <si>
    <t>改单</t>
    <phoneticPr fontId="2" type="noConversion"/>
  </si>
  <si>
    <t>期权报单</t>
    <phoneticPr fontId="2" type="noConversion"/>
  </si>
  <si>
    <t>报单</t>
    <phoneticPr fontId="2" type="noConversion"/>
  </si>
  <si>
    <t>改开平，仓位不足</t>
    <phoneticPr fontId="2" type="noConversion"/>
  </si>
  <si>
    <t>rb1205</t>
    <phoneticPr fontId="2" type="noConversion"/>
  </si>
  <si>
    <t>100</t>
    <phoneticPr fontId="2" type="noConversion"/>
  </si>
  <si>
    <t>5000</t>
  </si>
  <si>
    <t>5000</t>
    <phoneticPr fontId="2" type="noConversion"/>
  </si>
  <si>
    <t>2</t>
    <phoneticPr fontId="2" type="noConversion"/>
  </si>
  <si>
    <t>rb1206</t>
    <phoneticPr fontId="2" type="noConversion"/>
  </si>
  <si>
    <t>100</t>
    <phoneticPr fontId="2" type="noConversion"/>
  </si>
  <si>
    <t>rb1205</t>
    <phoneticPr fontId="2" type="noConversion"/>
  </si>
  <si>
    <t xml:space="preserve">          </t>
    <phoneticPr fontId="2" type="noConversion"/>
  </si>
  <si>
    <t>5000</t>
    <phoneticPr fontId="2" type="noConversion"/>
  </si>
  <si>
    <t>5000</t>
    <phoneticPr fontId="2" type="noConversion"/>
  </si>
  <si>
    <t>100</t>
    <phoneticPr fontId="2" type="noConversion"/>
  </si>
  <si>
    <t>101</t>
    <phoneticPr fontId="2" type="noConversion"/>
  </si>
  <si>
    <t>101</t>
    <phoneticPr fontId="2" type="noConversion"/>
  </si>
  <si>
    <t>102</t>
    <phoneticPr fontId="2" type="noConversion"/>
  </si>
  <si>
    <t>104</t>
  </si>
  <si>
    <t>104</t>
    <phoneticPr fontId="2" type="noConversion"/>
  </si>
  <si>
    <t>106</t>
  </si>
  <si>
    <t>106</t>
    <phoneticPr fontId="2" type="noConversion"/>
  </si>
  <si>
    <t>102</t>
    <phoneticPr fontId="2" type="noConversion"/>
  </si>
  <si>
    <t>501</t>
    <phoneticPr fontId="2" type="noConversion"/>
  </si>
  <si>
    <t>4</t>
    <phoneticPr fontId="2" type="noConversion"/>
  </si>
  <si>
    <t>4</t>
    <phoneticPr fontId="2" type="noConversion"/>
  </si>
  <si>
    <t>2</t>
    <phoneticPr fontId="2" type="noConversion"/>
  </si>
  <si>
    <t>A</t>
    <phoneticPr fontId="2" type="noConversion"/>
  </si>
  <si>
    <t>0</t>
    <phoneticPr fontId="2" type="noConversion"/>
  </si>
  <si>
    <t>A</t>
    <phoneticPr fontId="2" type="noConversion"/>
  </si>
  <si>
    <t>0</t>
    <phoneticPr fontId="2" type="noConversion"/>
  </si>
  <si>
    <t>102</t>
    <phoneticPr fontId="2" type="noConversion"/>
  </si>
  <si>
    <t>102</t>
    <phoneticPr fontId="2" type="noConversion"/>
  </si>
  <si>
    <t>102</t>
    <phoneticPr fontId="2" type="noConversion"/>
  </si>
  <si>
    <t>501</t>
    <phoneticPr fontId="2" type="noConversion"/>
  </si>
  <si>
    <t>103</t>
    <phoneticPr fontId="2" type="noConversion"/>
  </si>
  <si>
    <t>1</t>
    <phoneticPr fontId="2" type="noConversion"/>
  </si>
  <si>
    <t>1</t>
    <phoneticPr fontId="2" type="noConversion"/>
  </si>
  <si>
    <t>5002</t>
    <phoneticPr fontId="2" type="noConversion"/>
  </si>
  <si>
    <t>5002</t>
    <phoneticPr fontId="2" type="noConversion"/>
  </si>
  <si>
    <t>5002</t>
    <phoneticPr fontId="2" type="noConversion"/>
  </si>
  <si>
    <t>5003</t>
    <phoneticPr fontId="2" type="noConversion"/>
  </si>
  <si>
    <t>1</t>
    <phoneticPr fontId="2" type="noConversion"/>
  </si>
  <si>
    <t>5003</t>
    <phoneticPr fontId="2" type="noConversion"/>
  </si>
  <si>
    <t>5002</t>
    <phoneticPr fontId="2" type="noConversion"/>
  </si>
  <si>
    <t>5004</t>
  </si>
  <si>
    <t>5004</t>
    <phoneticPr fontId="2" type="noConversion"/>
  </si>
  <si>
    <t>5006</t>
  </si>
  <si>
    <t>5006</t>
    <phoneticPr fontId="2" type="noConversion"/>
  </si>
  <si>
    <t>502</t>
    <phoneticPr fontId="2" type="noConversion"/>
  </si>
  <si>
    <t>104</t>
    <phoneticPr fontId="2" type="noConversion"/>
  </si>
  <si>
    <t>5004</t>
    <phoneticPr fontId="2" type="noConversion"/>
  </si>
  <si>
    <t>104</t>
    <phoneticPr fontId="2" type="noConversion"/>
  </si>
  <si>
    <t>502</t>
    <phoneticPr fontId="2" type="noConversion"/>
  </si>
  <si>
    <t>105</t>
    <phoneticPr fontId="2" type="noConversion"/>
  </si>
  <si>
    <t>105</t>
    <phoneticPr fontId="2" type="noConversion"/>
  </si>
  <si>
    <t>F</t>
    <phoneticPr fontId="2" type="noConversion"/>
  </si>
  <si>
    <t>5004</t>
    <phoneticPr fontId="2" type="noConversion"/>
  </si>
  <si>
    <t>5004</t>
    <phoneticPr fontId="2" type="noConversion"/>
  </si>
  <si>
    <t>F</t>
    <phoneticPr fontId="2" type="noConversion"/>
  </si>
  <si>
    <t xml:space="preserve">          </t>
    <phoneticPr fontId="2" type="noConversion"/>
  </si>
  <si>
    <t>105</t>
    <phoneticPr fontId="2" type="noConversion"/>
  </si>
  <si>
    <t>OrderCancel</t>
    <phoneticPr fontId="2" type="noConversion"/>
  </si>
  <si>
    <t>FIX.4.2</t>
    <phoneticPr fontId="2" type="noConversion"/>
  </si>
  <si>
    <t>111</t>
    <phoneticPr fontId="2" type="noConversion"/>
  </si>
  <si>
    <t>8</t>
    <phoneticPr fontId="2" type="noConversion"/>
  </si>
  <si>
    <t>1</t>
    <phoneticPr fontId="2" type="noConversion"/>
  </si>
  <si>
    <t>4444</t>
    <phoneticPr fontId="2" type="noConversion"/>
  </si>
  <si>
    <t>1</t>
    <phoneticPr fontId="2" type="noConversion"/>
  </si>
  <si>
    <t>61441</t>
    <phoneticPr fontId="2" type="noConversion"/>
  </si>
  <si>
    <t>0</t>
    <phoneticPr fontId="2" type="noConversion"/>
  </si>
  <si>
    <t>0</t>
    <phoneticPr fontId="2" type="noConversion"/>
  </si>
  <si>
    <t>6</t>
    <phoneticPr fontId="2" type="noConversion"/>
  </si>
  <si>
    <t>2</t>
    <phoneticPr fontId="2" type="noConversion"/>
  </si>
  <si>
    <t>SHFE</t>
    <phoneticPr fontId="2" type="noConversion"/>
  </si>
  <si>
    <t>100</t>
    <phoneticPr fontId="2" type="noConversion"/>
  </si>
  <si>
    <t>135</t>
    <phoneticPr fontId="2" type="noConversion"/>
  </si>
  <si>
    <t>['35','40','54','77','44','38','39','150','20001','59','55','1','56','116']</t>
    <phoneticPr fontId="2" type="noConversion"/>
  </si>
  <si>
    <t>OrderCancel</t>
    <phoneticPr fontId="2" type="noConversion"/>
  </si>
  <si>
    <t>FIX.4.2</t>
    <phoneticPr fontId="2" type="noConversion"/>
  </si>
  <si>
    <t>111</t>
    <phoneticPr fontId="2" type="noConversion"/>
  </si>
  <si>
    <t>8</t>
    <phoneticPr fontId="2" type="noConversion"/>
  </si>
  <si>
    <t>4444</t>
    <phoneticPr fontId="2" type="noConversion"/>
  </si>
  <si>
    <t>61441</t>
    <phoneticPr fontId="2" type="noConversion"/>
  </si>
  <si>
    <t>4</t>
    <phoneticPr fontId="2" type="noConversion"/>
  </si>
  <si>
    <t>105</t>
    <phoneticPr fontId="2" type="noConversion"/>
  </si>
  <si>
    <t>800</t>
    <phoneticPr fontId="2" type="noConversion"/>
  </si>
  <si>
    <t>['35','40','54','77','44','38','39','150','20001','59','55','1','56','116']</t>
    <phoneticPr fontId="2" type="noConversion"/>
  </si>
  <si>
    <t>106</t>
    <phoneticPr fontId="2" type="noConversion"/>
  </si>
  <si>
    <t>106</t>
    <phoneticPr fontId="2" type="noConversion"/>
  </si>
  <si>
    <t>503</t>
    <phoneticPr fontId="2" type="noConversion"/>
  </si>
  <si>
    <t>107</t>
    <phoneticPr fontId="2" type="noConversion"/>
  </si>
  <si>
    <t>5006</t>
    <phoneticPr fontId="2" type="noConversion"/>
  </si>
  <si>
    <t>5006</t>
    <phoneticPr fontId="2" type="noConversion"/>
  </si>
  <si>
    <t>rb1206</t>
    <phoneticPr fontId="2" type="noConversion"/>
  </si>
  <si>
    <t>rb1206</t>
    <phoneticPr fontId="2" type="noConversion"/>
  </si>
  <si>
    <t>rb1206</t>
    <phoneticPr fontId="2" type="noConversion"/>
  </si>
  <si>
    <t>1</t>
    <phoneticPr fontId="2" type="noConversion"/>
  </si>
  <si>
    <t>rb1205</t>
    <phoneticPr fontId="2" type="noConversion"/>
  </si>
  <si>
    <t>2</t>
    <phoneticPr fontId="2" type="noConversion"/>
  </si>
  <si>
    <t>2</t>
    <phoneticPr fontId="2" type="noConversion"/>
  </si>
  <si>
    <t>2</t>
    <phoneticPr fontId="2" type="noConversion"/>
  </si>
  <si>
    <t>5006</t>
    <phoneticPr fontId="2" type="noConversion"/>
  </si>
  <si>
    <t>cu1205c63000</t>
  </si>
  <si>
    <t>cu1205c63000</t>
    <phoneticPr fontId="2" type="noConversion"/>
  </si>
  <si>
    <t>cu1205c63000</t>
    <phoneticPr fontId="2" type="noConversion"/>
  </si>
  <si>
    <t>108</t>
  </si>
  <si>
    <t>108</t>
    <phoneticPr fontId="2" type="noConversion"/>
  </si>
  <si>
    <t>504</t>
    <phoneticPr fontId="2" type="noConversion"/>
  </si>
  <si>
    <t>109</t>
    <phoneticPr fontId="2" type="noConversion"/>
  </si>
  <si>
    <t>109</t>
    <phoneticPr fontId="2" type="noConversion"/>
  </si>
  <si>
    <t>504</t>
    <phoneticPr fontId="2" type="noConversion"/>
  </si>
  <si>
    <t>将case1中的报单改数量，tag11=500</t>
    <phoneticPr fontId="2" type="noConversion"/>
  </si>
  <si>
    <t>将case3中的报单改价格，tag11=501</t>
    <phoneticPr fontId="2" type="noConversion"/>
  </si>
  <si>
    <t>将case5中的报单改开平，变为平昨，tag11=502</t>
    <phoneticPr fontId="2" type="noConversion"/>
  </si>
  <si>
    <t>将case8中的报单改买卖方向，发现方向无法改变。tag11=503</t>
    <phoneticPr fontId="2" type="noConversion"/>
  </si>
  <si>
    <t>将case10中的报单改数量、价格。tag11=504</t>
    <phoneticPr fontId="2" type="noConversion"/>
  </si>
  <si>
    <t>tag11</t>
    <phoneticPr fontId="2" type="noConversion"/>
  </si>
  <si>
    <t>普通期权报单。</t>
    <phoneticPr fontId="2" type="noConversion"/>
  </si>
  <si>
    <t>108</t>
    <phoneticPr fontId="2" type="noConversion"/>
  </si>
  <si>
    <t>cu1205c63000</t>
    <phoneticPr fontId="2" type="noConversion"/>
  </si>
  <si>
    <t>cu1205c63000</t>
    <phoneticPr fontId="2" type="noConversion"/>
  </si>
  <si>
    <t>3</t>
    <phoneticPr fontId="2" type="noConversion"/>
  </si>
  <si>
    <t>5010</t>
  </si>
  <si>
    <t>5010</t>
    <phoneticPr fontId="2" type="noConversion"/>
  </si>
  <si>
    <t>110</t>
  </si>
  <si>
    <t>110</t>
    <phoneticPr fontId="2" type="noConversion"/>
  </si>
  <si>
    <t>rb1206</t>
    <phoneticPr fontId="2" type="noConversion"/>
  </si>
  <si>
    <t>505</t>
    <phoneticPr fontId="2" type="noConversion"/>
  </si>
  <si>
    <t>5010</t>
    <phoneticPr fontId="2" type="noConversion"/>
  </si>
  <si>
    <t>5010</t>
    <phoneticPr fontId="2" type="noConversion"/>
  </si>
  <si>
    <t>505</t>
    <phoneticPr fontId="2" type="noConversion"/>
  </si>
  <si>
    <t>CTP:Over Close Today Position</t>
    <phoneticPr fontId="2" type="noConversion"/>
  </si>
  <si>
    <t>C</t>
    <phoneticPr fontId="2" type="noConversion"/>
  </si>
  <si>
    <t>F</t>
    <phoneticPr fontId="2" type="noConversion"/>
  </si>
  <si>
    <t>8</t>
    <phoneticPr fontId="2" type="noConversion"/>
  </si>
  <si>
    <t>1</t>
    <phoneticPr fontId="2" type="noConversion"/>
  </si>
  <si>
    <t>['35','40','54','77','44','38','150','151','20001','59','55','1','56']</t>
    <phoneticPr fontId="2" type="noConversion"/>
  </si>
  <si>
    <t>['35','40','54','77','44','38','39','150','151','20001','59','55','1','56','116']</t>
    <phoneticPr fontId="2" type="noConversion"/>
  </si>
  <si>
    <t>['35','40','54','77','44','38','39','150','151','20001','59','55','1','56','116']</t>
    <phoneticPr fontId="2" type="noConversion"/>
  </si>
  <si>
    <t>112</t>
  </si>
  <si>
    <t>112</t>
    <phoneticPr fontId="2" type="noConversion"/>
  </si>
  <si>
    <t>5012</t>
  </si>
  <si>
    <t>5012</t>
    <phoneticPr fontId="2" type="noConversion"/>
  </si>
  <si>
    <t>112</t>
    <phoneticPr fontId="2" type="noConversion"/>
  </si>
  <si>
    <t>5013</t>
  </si>
  <si>
    <t>5013</t>
    <phoneticPr fontId="2" type="noConversion"/>
  </si>
  <si>
    <t>506</t>
    <phoneticPr fontId="2" type="noConversion"/>
  </si>
  <si>
    <t>2</t>
    <phoneticPr fontId="2" type="noConversion"/>
  </si>
  <si>
    <t>112</t>
    <phoneticPr fontId="2" type="noConversion"/>
  </si>
  <si>
    <t>113</t>
  </si>
  <si>
    <t>113</t>
    <phoneticPr fontId="2" type="noConversion"/>
  </si>
  <si>
    <t>5012</t>
    <phoneticPr fontId="2" type="noConversion"/>
  </si>
  <si>
    <t>5012</t>
    <phoneticPr fontId="2" type="noConversion"/>
  </si>
  <si>
    <t>5013</t>
    <phoneticPr fontId="2" type="noConversion"/>
  </si>
  <si>
    <t>2</t>
    <phoneticPr fontId="2" type="noConversion"/>
  </si>
  <si>
    <t>2</t>
    <phoneticPr fontId="2" type="noConversion"/>
  </si>
  <si>
    <t>507</t>
    <phoneticPr fontId="2" type="noConversion"/>
  </si>
  <si>
    <t>5014</t>
    <phoneticPr fontId="2" type="noConversion"/>
  </si>
  <si>
    <t>114</t>
    <phoneticPr fontId="2" type="noConversion"/>
  </si>
  <si>
    <t>114</t>
    <phoneticPr fontId="2" type="noConversion"/>
  </si>
  <si>
    <t>5014</t>
    <phoneticPr fontId="2" type="noConversion"/>
  </si>
  <si>
    <t>508</t>
    <phoneticPr fontId="2" type="noConversion"/>
  </si>
  <si>
    <t>5015</t>
    <phoneticPr fontId="2" type="noConversion"/>
  </si>
  <si>
    <t>ReqList</t>
    <phoneticPr fontId="2" type="noConversion"/>
  </si>
  <si>
    <t>8</t>
    <phoneticPr fontId="2" type="noConversion"/>
  </si>
  <si>
    <t>CxlRejResponseTo</t>
    <phoneticPr fontId="2" type="noConversion"/>
  </si>
  <si>
    <t>char</t>
    <phoneticPr fontId="2" type="noConversion"/>
  </si>
  <si>
    <t>434</t>
    <phoneticPr fontId="2" type="noConversion"/>
  </si>
  <si>
    <t>CTP: The order is full-filled or canceled or unknow and can not be cancelled now</t>
    <phoneticPr fontId="2" type="noConversion"/>
  </si>
  <si>
    <t>OrderCancelReplace</t>
    <phoneticPr fontId="2" type="noConversion"/>
  </si>
  <si>
    <t>['35','39','11','41','1','56']</t>
    <phoneticPr fontId="2" type="noConversion"/>
  </si>
  <si>
    <t>改数量、价格</t>
    <phoneticPr fontId="2" type="noConversion"/>
  </si>
  <si>
    <t>对改单的新报单再次改数量、价格</t>
    <phoneticPr fontId="2" type="noConversion"/>
  </si>
  <si>
    <t>OrderCancelReject</t>
    <phoneticPr fontId="2" type="noConversion"/>
  </si>
  <si>
    <t>对改单后的原报单再改数量、价格，被拒绝，找不到原报单</t>
    <phoneticPr fontId="2" type="noConversion"/>
  </si>
  <si>
    <t>报单</t>
    <phoneticPr fontId="2" type="noConversion"/>
  </si>
  <si>
    <t>509</t>
    <phoneticPr fontId="2" type="noConversion"/>
  </si>
  <si>
    <t>116</t>
    <phoneticPr fontId="2" type="noConversion"/>
  </si>
  <si>
    <t>5016</t>
    <phoneticPr fontId="2" type="noConversion"/>
  </si>
  <si>
    <t>5018</t>
    <phoneticPr fontId="2" type="noConversion"/>
  </si>
  <si>
    <t>116</t>
    <phoneticPr fontId="2" type="noConversion"/>
  </si>
  <si>
    <t>5016</t>
    <phoneticPr fontId="2" type="noConversion"/>
  </si>
  <si>
    <t>00000001</t>
    <phoneticPr fontId="2" type="noConversion"/>
  </si>
  <si>
    <t>510</t>
    <phoneticPr fontId="2" type="noConversion"/>
  </si>
  <si>
    <t>rb1207</t>
    <phoneticPr fontId="2" type="noConversion"/>
  </si>
  <si>
    <t>116</t>
    <phoneticPr fontId="2" type="noConversion"/>
  </si>
  <si>
    <t>5019</t>
    <phoneticPr fontId="2" type="noConversion"/>
  </si>
  <si>
    <t>0</t>
    <phoneticPr fontId="2" type="noConversion"/>
  </si>
  <si>
    <t>Other:The original order is being processed</t>
    <phoneticPr fontId="2" type="noConversion"/>
  </si>
  <si>
    <t>['35','56','372','380']</t>
    <phoneticPr fontId="2" type="noConversion"/>
  </si>
  <si>
    <t>BusinessMessageReject</t>
  </si>
  <si>
    <t>['35','40','54','44','38','39','150','20001','59','55','1','56','116','11']</t>
    <phoneticPr fontId="2" type="noConversion"/>
  </si>
  <si>
    <t>['35','40','54','44','38','39','150','20001','59','55','1','56','116','11']</t>
    <phoneticPr fontId="2" type="noConversion"/>
  </si>
  <si>
    <t>['35','40','54','44','38','39','150','20001','59','55','1','56','116','11']</t>
    <phoneticPr fontId="2" type="noConversion"/>
  </si>
  <si>
    <t>['35','40','54','44','38','39','150','151','20001','59','55','1','56','116','11']</t>
    <phoneticPr fontId="2" type="noConversion"/>
  </si>
  <si>
    <t>['35','40','54','44','38','39','150','151','20001','59','55','1','56','116','11']</t>
    <phoneticPr fontId="2" type="noConversion"/>
  </si>
  <si>
    <t>3008</t>
  </si>
  <si>
    <t>3008</t>
    <phoneticPr fontId="2" type="noConversion"/>
  </si>
  <si>
    <t>3009</t>
    <phoneticPr fontId="2" type="noConversion"/>
  </si>
  <si>
    <t>3009</t>
    <phoneticPr fontId="2" type="noConversion"/>
  </si>
  <si>
    <t>2</t>
    <phoneticPr fontId="2" type="noConversion"/>
  </si>
  <si>
    <t>2</t>
    <phoneticPr fontId="2" type="noConversion"/>
  </si>
  <si>
    <t>改case18的报单，却填了错误的OrderRef,被拒绝，找不到原始报单，CTP: Can not find the corresponding order to cancel</t>
    <phoneticPr fontId="2" type="noConversion"/>
  </si>
  <si>
    <t>改case18的报单，却填错了合约， Rejected: Other:The original order is being processed</t>
    <phoneticPr fontId="2" type="noConversion"/>
  </si>
  <si>
    <t>普通报单卖开1手，合约为rb1206，有昨买持仓3手</t>
    <phoneticPr fontId="2" type="noConversion"/>
  </si>
  <si>
    <t>将case6中的改单撤销，tag11=800</t>
    <phoneticPr fontId="2" type="noConversion"/>
  </si>
  <si>
    <t>普通报单rb1206卖开1手。有昨持仓买3手</t>
    <phoneticPr fontId="2" type="noConversion"/>
  </si>
  <si>
    <t>改case21中的卖开2手为卖9手，不填开平，拆单为卖平昨3手，卖开6手。</t>
    <phoneticPr fontId="2" type="noConversion"/>
  </si>
  <si>
    <t>撤单case24中的卖平昨3手。</t>
    <phoneticPr fontId="2" type="noConversion"/>
  </si>
  <si>
    <t>撤单case24中的卖开6手</t>
    <phoneticPr fontId="2" type="noConversion"/>
  </si>
  <si>
    <t>改case22中的卖平昨3手为卖开4手</t>
    <phoneticPr fontId="2" type="noConversion"/>
  </si>
  <si>
    <t>NewOrderSingle</t>
    <phoneticPr fontId="2" type="noConversion"/>
  </si>
  <si>
    <t>117</t>
  </si>
  <si>
    <t>117</t>
    <phoneticPr fontId="2" type="noConversion"/>
  </si>
  <si>
    <t>5017</t>
  </si>
  <si>
    <t>5017</t>
    <phoneticPr fontId="2" type="noConversion"/>
  </si>
  <si>
    <t>117</t>
    <phoneticPr fontId="2" type="noConversion"/>
  </si>
  <si>
    <t>117</t>
    <phoneticPr fontId="2" type="noConversion"/>
  </si>
  <si>
    <t>5017</t>
    <phoneticPr fontId="2" type="noConversion"/>
  </si>
  <si>
    <t>117</t>
    <phoneticPr fontId="2" type="noConversion"/>
  </si>
  <si>
    <t>118</t>
    <phoneticPr fontId="2" type="noConversion"/>
  </si>
  <si>
    <t>511</t>
    <phoneticPr fontId="2" type="noConversion"/>
  </si>
  <si>
    <t>511</t>
    <phoneticPr fontId="2" type="noConversion"/>
  </si>
  <si>
    <t>3</t>
    <phoneticPr fontId="2" type="noConversion"/>
  </si>
  <si>
    <t>3</t>
    <phoneticPr fontId="2" type="noConversion"/>
  </si>
  <si>
    <t>2</t>
    <phoneticPr fontId="2" type="noConversion"/>
  </si>
  <si>
    <t>119</t>
    <phoneticPr fontId="2" type="noConversion"/>
  </si>
  <si>
    <t>3</t>
    <phoneticPr fontId="2" type="noConversion"/>
  </si>
  <si>
    <t>2</t>
    <phoneticPr fontId="2" type="noConversion"/>
  </si>
  <si>
    <t>0</t>
    <phoneticPr fontId="2" type="noConversion"/>
  </si>
  <si>
    <t>5020</t>
  </si>
  <si>
    <t>5020</t>
    <phoneticPr fontId="2" type="noConversion"/>
  </si>
  <si>
    <t>5020</t>
    <phoneticPr fontId="2" type="noConversion"/>
  </si>
  <si>
    <t>118</t>
    <phoneticPr fontId="2" type="noConversion"/>
  </si>
  <si>
    <t>5021</t>
  </si>
  <si>
    <t>5021</t>
    <phoneticPr fontId="2" type="noConversion"/>
  </si>
  <si>
    <t>4</t>
    <phoneticPr fontId="2" type="noConversion"/>
  </si>
  <si>
    <t>O</t>
    <phoneticPr fontId="2" type="noConversion"/>
  </si>
  <si>
    <t>512</t>
    <phoneticPr fontId="2" type="noConversion"/>
  </si>
  <si>
    <t>513</t>
    <phoneticPr fontId="2" type="noConversion"/>
  </si>
  <si>
    <t>119</t>
    <phoneticPr fontId="2" type="noConversion"/>
  </si>
  <si>
    <t>5022</t>
  </si>
  <si>
    <t>5022</t>
    <phoneticPr fontId="2" type="noConversion"/>
  </si>
  <si>
    <t>5021</t>
    <phoneticPr fontId="2" type="noConversion"/>
  </si>
  <si>
    <t>5021</t>
    <phoneticPr fontId="2" type="noConversion"/>
  </si>
  <si>
    <t>118</t>
    <phoneticPr fontId="2" type="noConversion"/>
  </si>
  <si>
    <t>512</t>
    <phoneticPr fontId="2" type="noConversion"/>
  </si>
  <si>
    <t>3</t>
    <phoneticPr fontId="2" type="noConversion"/>
  </si>
  <si>
    <t>3</t>
    <phoneticPr fontId="2" type="noConversion"/>
  </si>
  <si>
    <t>4</t>
    <phoneticPr fontId="2" type="noConversion"/>
  </si>
  <si>
    <t>4</t>
    <phoneticPr fontId="2" type="noConversion"/>
  </si>
  <si>
    <t>119</t>
    <phoneticPr fontId="2" type="noConversion"/>
  </si>
  <si>
    <t>120</t>
    <phoneticPr fontId="2" type="noConversion"/>
  </si>
  <si>
    <t>119</t>
    <phoneticPr fontId="2" type="noConversion"/>
  </si>
  <si>
    <t>513</t>
    <phoneticPr fontId="2" type="noConversion"/>
  </si>
  <si>
    <t>121</t>
    <phoneticPr fontId="2" type="noConversion"/>
  </si>
  <si>
    <t>122</t>
    <phoneticPr fontId="2" type="noConversion"/>
  </si>
  <si>
    <t>6</t>
    <phoneticPr fontId="2" type="noConversion"/>
  </si>
  <si>
    <t>5022</t>
    <phoneticPr fontId="2" type="noConversion"/>
  </si>
  <si>
    <t>801</t>
    <phoneticPr fontId="2" type="noConversion"/>
  </si>
  <si>
    <t>802</t>
    <phoneticPr fontId="2" type="noConversion"/>
  </si>
  <si>
    <t>802</t>
    <phoneticPr fontId="2" type="noConversion"/>
  </si>
  <si>
    <t>3</t>
    <phoneticPr fontId="2" type="noConversion"/>
  </si>
  <si>
    <t>1</t>
  </si>
  <si>
    <t>6</t>
    <phoneticPr fontId="2" type="noConversion"/>
  </si>
  <si>
    <t>3</t>
    <phoneticPr fontId="2" type="noConversion"/>
  </si>
  <si>
    <t>6</t>
    <phoneticPr fontId="2" type="noConversion"/>
  </si>
  <si>
    <t>报单，卖开rb1206</t>
    <phoneticPr fontId="2" type="noConversion"/>
  </si>
  <si>
    <t>改单被拆单</t>
    <phoneticPr fontId="2" type="noConversion"/>
  </si>
  <si>
    <t>拆单后，改单改数量、价格、开平</t>
    <phoneticPr fontId="2" type="noConversion"/>
  </si>
  <si>
    <t>拆单后改单再次被拆单</t>
    <phoneticPr fontId="2" type="noConversion"/>
  </si>
  <si>
    <t>撤单</t>
    <phoneticPr fontId="2" type="noConversion"/>
  </si>
  <si>
    <t>20012</t>
    <phoneticPr fontId="2" type="noConversion"/>
  </si>
  <si>
    <t>118</t>
    <phoneticPr fontId="2" type="noConversion"/>
  </si>
  <si>
    <t>['35','40','54','77','44','38','39','150','20001','59','55','1','56','116','20012']</t>
    <phoneticPr fontId="2" type="noConversion"/>
  </si>
  <si>
    <t>['35','40','54','77','44','38','39','150','20001','59','55','1','56','116','20012']</t>
    <phoneticPr fontId="2" type="noConversion"/>
  </si>
  <si>
    <t>SplitOrginRef</t>
    <phoneticPr fontId="2" type="noConversion"/>
  </si>
  <si>
    <t xml:space="preserve">String </t>
    <phoneticPr fontId="2" type="noConversion"/>
  </si>
  <si>
    <t>121</t>
    <phoneticPr fontId="2" type="noConversion"/>
  </si>
  <si>
    <t>121</t>
    <phoneticPr fontId="2" type="noConversion"/>
  </si>
  <si>
    <t>['35','40','54','77','44','38','39','150','20001','59','55','1','56','116','20012']</t>
    <phoneticPr fontId="2" type="noConversion"/>
  </si>
  <si>
    <t>118</t>
    <phoneticPr fontId="2" type="noConversion"/>
  </si>
  <si>
    <t>118</t>
    <phoneticPr fontId="2" type="noConversion"/>
  </si>
  <si>
    <t>123</t>
    <phoneticPr fontId="2" type="noConversion"/>
  </si>
  <si>
    <t>123</t>
    <phoneticPr fontId="2" type="noConversion"/>
  </si>
  <si>
    <t>123</t>
    <phoneticPr fontId="2" type="noConversion"/>
  </si>
  <si>
    <t>4</t>
    <phoneticPr fontId="2" type="noConversion"/>
  </si>
  <si>
    <t>Self-Closing</t>
    <phoneticPr fontId="2" type="noConversion"/>
  </si>
  <si>
    <t>2</t>
    <phoneticPr fontId="2" type="noConversion"/>
  </si>
  <si>
    <t>['35','40','54','77','44','38','39','150','20001','59','55','1','56','116','14','151']</t>
    <phoneticPr fontId="2" type="noConversion"/>
  </si>
  <si>
    <t>报单造自成交</t>
    <phoneticPr fontId="2" type="noConversion"/>
  </si>
  <si>
    <t>自成交</t>
    <phoneticPr fontId="2" type="noConversion"/>
  </si>
  <si>
    <t>普通报单rb1206买开4手，与case23中的卖开4手形成自成交。此时有今买持4手，今卖持4手，有昨持仓买3手</t>
    <phoneticPr fontId="2" type="noConversion"/>
  </si>
  <si>
    <t>5021</t>
    <phoneticPr fontId="2" type="noConversion"/>
  </si>
  <si>
    <t>5021</t>
    <phoneticPr fontId="2" type="noConversion"/>
  </si>
  <si>
    <t>0</t>
    <phoneticPr fontId="2" type="noConversion"/>
  </si>
  <si>
    <r>
      <t>改case21中为卖5手，不填开平，拆单为卖平昨3手，卖开2手。</t>
    </r>
    <r>
      <rPr>
        <sz val="11"/>
        <color rgb="FFFF0000"/>
        <rFont val="等线"/>
        <family val="3"/>
        <charset val="134"/>
        <scheme val="minor"/>
      </rPr>
      <t>昨持仓拆单</t>
    </r>
    <phoneticPr fontId="2" type="noConversion"/>
  </si>
  <si>
    <t>普通报单买开1手</t>
    <phoneticPr fontId="2" type="noConversion"/>
  </si>
  <si>
    <t>case27中有今卖持仓4手，讲case28中报单改为买5手，不填开平，拆单为买平今4手，买开1手。</t>
    <phoneticPr fontId="2" type="noConversion"/>
  </si>
  <si>
    <t>报单</t>
    <phoneticPr fontId="2" type="noConversion"/>
  </si>
  <si>
    <t>拆单为买平今和买开</t>
    <phoneticPr fontId="2" type="noConversion"/>
  </si>
  <si>
    <t>124</t>
    <phoneticPr fontId="2" type="noConversion"/>
  </si>
  <si>
    <t>5024</t>
    <phoneticPr fontId="2" type="noConversion"/>
  </si>
  <si>
    <t>1</t>
    <phoneticPr fontId="2" type="noConversion"/>
  </si>
  <si>
    <t>5024</t>
    <phoneticPr fontId="2" type="noConversion"/>
  </si>
  <si>
    <t>124</t>
    <phoneticPr fontId="2" type="noConversion"/>
  </si>
  <si>
    <t>124</t>
    <phoneticPr fontId="2" type="noConversion"/>
  </si>
  <si>
    <t>125</t>
    <phoneticPr fontId="2" type="noConversion"/>
  </si>
  <si>
    <t>126</t>
    <phoneticPr fontId="2" type="noConversion"/>
  </si>
  <si>
    <t>514</t>
    <phoneticPr fontId="2" type="noConversion"/>
  </si>
  <si>
    <t>514</t>
    <phoneticPr fontId="2" type="noConversion"/>
  </si>
  <si>
    <t>5025</t>
  </si>
  <si>
    <t>5025</t>
    <phoneticPr fontId="2" type="noConversion"/>
  </si>
  <si>
    <t>1</t>
    <phoneticPr fontId="2" type="noConversion"/>
  </si>
  <si>
    <t>5024</t>
    <phoneticPr fontId="2" type="noConversion"/>
  </si>
  <si>
    <t>5024</t>
    <phoneticPr fontId="2" type="noConversion"/>
  </si>
  <si>
    <t>5024</t>
    <phoneticPr fontId="2" type="noConversion"/>
  </si>
  <si>
    <t>5025</t>
    <phoneticPr fontId="2" type="noConversion"/>
  </si>
  <si>
    <t>5025</t>
    <phoneticPr fontId="2" type="noConversion"/>
  </si>
  <si>
    <t>4</t>
    <phoneticPr fontId="2" type="noConversion"/>
  </si>
  <si>
    <t>1</t>
    <phoneticPr fontId="2" type="noConversion"/>
  </si>
  <si>
    <t>普通报单卖开1手</t>
    <phoneticPr fontId="2" type="noConversion"/>
  </si>
  <si>
    <t>撤单case29中的买平今4手</t>
    <phoneticPr fontId="2" type="noConversion"/>
  </si>
  <si>
    <t>改单为卖9手，不填开平，拆单为平昨3手，平今4手，卖开2手。</t>
    <phoneticPr fontId="2" type="noConversion"/>
  </si>
  <si>
    <t>撤单case29中的买开1手</t>
    <phoneticPr fontId="2" type="noConversion"/>
  </si>
  <si>
    <t>803</t>
    <phoneticPr fontId="2" type="noConversion"/>
  </si>
  <si>
    <t>804</t>
    <phoneticPr fontId="2" type="noConversion"/>
  </si>
  <si>
    <t>125</t>
    <phoneticPr fontId="2" type="noConversion"/>
  </si>
  <si>
    <t>C</t>
  </si>
  <si>
    <t>125</t>
    <phoneticPr fontId="2" type="noConversion"/>
  </si>
  <si>
    <t>125</t>
    <phoneticPr fontId="2" type="noConversion"/>
  </si>
  <si>
    <t>125</t>
    <phoneticPr fontId="2" type="noConversion"/>
  </si>
  <si>
    <t>125</t>
    <phoneticPr fontId="2" type="noConversion"/>
  </si>
  <si>
    <t>803</t>
    <phoneticPr fontId="2" type="noConversion"/>
  </si>
  <si>
    <t>126</t>
    <phoneticPr fontId="2" type="noConversion"/>
  </si>
  <si>
    <t>804</t>
    <phoneticPr fontId="2" type="noConversion"/>
  </si>
  <si>
    <t>127</t>
    <phoneticPr fontId="2" type="noConversion"/>
  </si>
  <si>
    <t>2</t>
    <phoneticPr fontId="2" type="noConversion"/>
  </si>
  <si>
    <t>5026</t>
  </si>
  <si>
    <t>5026</t>
    <phoneticPr fontId="2" type="noConversion"/>
  </si>
  <si>
    <t>9</t>
    <phoneticPr fontId="2" type="noConversion"/>
  </si>
  <si>
    <t>515</t>
    <phoneticPr fontId="2" type="noConversion"/>
  </si>
  <si>
    <t>5027</t>
  </si>
  <si>
    <t>5027</t>
    <phoneticPr fontId="2" type="noConversion"/>
  </si>
  <si>
    <t>5026</t>
    <phoneticPr fontId="2" type="noConversion"/>
  </si>
  <si>
    <t>5026</t>
    <phoneticPr fontId="2" type="noConversion"/>
  </si>
  <si>
    <t>5027</t>
    <phoneticPr fontId="2" type="noConversion"/>
  </si>
  <si>
    <t>3</t>
    <phoneticPr fontId="2" type="noConversion"/>
  </si>
  <si>
    <t>2</t>
    <phoneticPr fontId="2" type="noConversion"/>
  </si>
  <si>
    <t>127</t>
    <phoneticPr fontId="2" type="noConversion"/>
  </si>
  <si>
    <t>127</t>
    <phoneticPr fontId="2" type="noConversion"/>
  </si>
  <si>
    <t>128</t>
  </si>
  <si>
    <t>128</t>
    <phoneticPr fontId="2" type="noConversion"/>
  </si>
  <si>
    <t>129</t>
    <phoneticPr fontId="2" type="noConversion"/>
  </si>
  <si>
    <t>130</t>
    <phoneticPr fontId="2" type="noConversion"/>
  </si>
  <si>
    <t>128</t>
    <phoneticPr fontId="2" type="noConversion"/>
  </si>
  <si>
    <t>撤单case33中的卖平昨3手</t>
    <phoneticPr fontId="2" type="noConversion"/>
  </si>
  <si>
    <t>撤单case33中的卖平今4手</t>
    <phoneticPr fontId="2" type="noConversion"/>
  </si>
  <si>
    <t>805</t>
    <phoneticPr fontId="2" type="noConversion"/>
  </si>
  <si>
    <t>806</t>
    <phoneticPr fontId="2" type="noConversion"/>
  </si>
  <si>
    <t>128</t>
    <phoneticPr fontId="2" type="noConversion"/>
  </si>
  <si>
    <t>129</t>
    <phoneticPr fontId="2" type="noConversion"/>
  </si>
  <si>
    <t>C</t>
    <phoneticPr fontId="2" type="noConversion"/>
  </si>
  <si>
    <t>128</t>
    <phoneticPr fontId="2" type="noConversion"/>
  </si>
  <si>
    <t>128</t>
    <phoneticPr fontId="2" type="noConversion"/>
  </si>
  <si>
    <t>['35','40','54','77','44','38','39','150','20001','59','55','1','56','116','20012']</t>
    <phoneticPr fontId="2" type="noConversion"/>
  </si>
  <si>
    <t>['35','40','54','77','44','38','39','150','20001','59','55','1','56','116','20012']</t>
    <phoneticPr fontId="2" type="noConversion"/>
  </si>
  <si>
    <t>3</t>
    <phoneticPr fontId="2" type="noConversion"/>
  </si>
  <si>
    <t>128</t>
    <phoneticPr fontId="2" type="noConversion"/>
  </si>
  <si>
    <t>128</t>
    <phoneticPr fontId="2" type="noConversion"/>
  </si>
  <si>
    <t>805</t>
    <phoneticPr fontId="2" type="noConversion"/>
  </si>
  <si>
    <t>806</t>
    <phoneticPr fontId="2" type="noConversion"/>
  </si>
  <si>
    <t>['35','40','54','77','44','38','39','150','20001','59','55','1','56','116']</t>
    <phoneticPr fontId="2" type="noConversion"/>
  </si>
  <si>
    <t>F</t>
    <phoneticPr fontId="2" type="noConversion"/>
  </si>
  <si>
    <t>['35','40','54','77','44','38','39','150','20001','59','55','1','56','116','20012']</t>
    <phoneticPr fontId="2" type="noConversion"/>
  </si>
  <si>
    <t>61442</t>
    <phoneticPr fontId="2" type="noConversion"/>
  </si>
  <si>
    <t>61442</t>
    <phoneticPr fontId="2" type="noConversion"/>
  </si>
  <si>
    <t>31</t>
    <phoneticPr fontId="2" type="noConversion"/>
  </si>
  <si>
    <t>32</t>
    <phoneticPr fontId="2" type="noConversion"/>
  </si>
  <si>
    <t>Price</t>
    <phoneticPr fontId="2" type="noConversion"/>
  </si>
  <si>
    <t>Qty</t>
    <phoneticPr fontId="2" type="noConversion"/>
  </si>
  <si>
    <t>LastQty成交价格</t>
    <phoneticPr fontId="2" type="noConversion"/>
  </si>
  <si>
    <t>LastPx成交数量</t>
    <phoneticPr fontId="2" type="noConversion"/>
  </si>
  <si>
    <t>5021</t>
    <phoneticPr fontId="2" type="noConversion"/>
  </si>
  <si>
    <t>4</t>
    <phoneticPr fontId="2" type="noConversion"/>
  </si>
  <si>
    <t>['35','54','77','31','32','38','39','150','20001','55','1','56','116','14','151']</t>
    <phoneticPr fontId="2" type="noConversion"/>
  </si>
  <si>
    <t>['35','54','77','31','32','38','39','150','20001','55','1','56','116','14','151']</t>
    <phoneticPr fontId="2" type="noConversion"/>
  </si>
  <si>
    <t>报单</t>
    <phoneticPr fontId="2" type="noConversion"/>
  </si>
  <si>
    <t>131</t>
    <phoneticPr fontId="2" type="noConversion"/>
  </si>
  <si>
    <t>5027</t>
    <phoneticPr fontId="2" type="noConversion"/>
  </si>
  <si>
    <t>2</t>
    <phoneticPr fontId="2" type="noConversion"/>
  </si>
  <si>
    <t>1</t>
    <phoneticPr fontId="2" type="noConversion"/>
  </si>
  <si>
    <t>1</t>
    <phoneticPr fontId="2" type="noConversion"/>
  </si>
  <si>
    <t>5027</t>
    <phoneticPr fontId="2" type="noConversion"/>
  </si>
  <si>
    <t>5027</t>
    <phoneticPr fontId="2" type="noConversion"/>
  </si>
  <si>
    <t>5027</t>
    <phoneticPr fontId="2" type="noConversion"/>
  </si>
  <si>
    <t>2</t>
    <phoneticPr fontId="2" type="noConversion"/>
  </si>
  <si>
    <t>130</t>
    <phoneticPr fontId="2" type="noConversion"/>
  </si>
  <si>
    <t>1</t>
    <phoneticPr fontId="2" type="noConversion"/>
  </si>
  <si>
    <t>1</t>
    <phoneticPr fontId="2" type="noConversion"/>
  </si>
  <si>
    <t>2</t>
    <phoneticPr fontId="2" type="noConversion"/>
  </si>
  <si>
    <t>516</t>
    <phoneticPr fontId="2" type="noConversion"/>
  </si>
  <si>
    <t>130</t>
    <phoneticPr fontId="2" type="noConversion"/>
  </si>
  <si>
    <t>5028</t>
  </si>
  <si>
    <t>5028</t>
    <phoneticPr fontId="2" type="noConversion"/>
  </si>
  <si>
    <t>130</t>
    <phoneticPr fontId="2" type="noConversion"/>
  </si>
  <si>
    <t>130</t>
    <phoneticPr fontId="2" type="noConversion"/>
  </si>
  <si>
    <t>132</t>
    <phoneticPr fontId="2" type="noConversion"/>
  </si>
  <si>
    <t>132</t>
    <phoneticPr fontId="2" type="noConversion"/>
  </si>
  <si>
    <t>516</t>
    <phoneticPr fontId="2" type="noConversion"/>
  </si>
  <si>
    <t>报单形成部分成交</t>
    <phoneticPr fontId="2" type="noConversion"/>
  </si>
  <si>
    <t>部分成交时改单</t>
    <phoneticPr fontId="2" type="noConversion"/>
  </si>
  <si>
    <t>报单形成立即部分自成交</t>
    <phoneticPr fontId="2" type="noConversion"/>
  </si>
  <si>
    <t>改单时拆单为3单</t>
    <phoneticPr fontId="2" type="noConversion"/>
  </si>
  <si>
    <t>部分成交后改单</t>
    <phoneticPr fontId="2" type="noConversion"/>
  </si>
  <si>
    <t>立即部分成交后改单</t>
    <phoneticPr fontId="2" type="noConversion"/>
  </si>
  <si>
    <t>133</t>
    <phoneticPr fontId="2" type="noConversion"/>
  </si>
  <si>
    <t>133</t>
    <phoneticPr fontId="2" type="noConversion"/>
  </si>
  <si>
    <t>5</t>
  </si>
  <si>
    <t>5028</t>
    <phoneticPr fontId="2" type="noConversion"/>
  </si>
  <si>
    <t>5028</t>
    <phoneticPr fontId="2" type="noConversion"/>
  </si>
  <si>
    <t>5028</t>
    <phoneticPr fontId="2" type="noConversion"/>
  </si>
  <si>
    <t>2</t>
    <phoneticPr fontId="2" type="noConversion"/>
  </si>
  <si>
    <t>133</t>
    <phoneticPr fontId="2" type="noConversion"/>
  </si>
  <si>
    <t>5029</t>
    <phoneticPr fontId="2" type="noConversion"/>
  </si>
  <si>
    <t>1</t>
    <phoneticPr fontId="2" type="noConversion"/>
  </si>
  <si>
    <t>517</t>
    <phoneticPr fontId="2" type="noConversion"/>
  </si>
  <si>
    <t>133</t>
    <phoneticPr fontId="2" type="noConversion"/>
  </si>
  <si>
    <t>517</t>
    <phoneticPr fontId="2" type="noConversion"/>
  </si>
  <si>
    <t>改单改数量</t>
    <phoneticPr fontId="2" type="noConversion"/>
  </si>
  <si>
    <t>改单改价格</t>
    <phoneticPr fontId="2" type="noConversion"/>
  </si>
  <si>
    <t>改单改开平</t>
    <phoneticPr fontId="2" type="noConversion"/>
  </si>
  <si>
    <t>改单后撤销</t>
    <phoneticPr fontId="2" type="noConversion"/>
  </si>
  <si>
    <t>改单改买卖方向失败</t>
    <phoneticPr fontId="2" type="noConversion"/>
  </si>
  <si>
    <t>期权报单改数量价格</t>
    <phoneticPr fontId="2" type="noConversion"/>
  </si>
  <si>
    <t>改单改开平时，无持仓失败</t>
    <phoneticPr fontId="2" type="noConversion"/>
  </si>
  <si>
    <t>改单改数量、价格</t>
    <phoneticPr fontId="2" type="noConversion"/>
  </si>
  <si>
    <t>改单后再次改单</t>
    <phoneticPr fontId="2" type="noConversion"/>
  </si>
  <si>
    <t>改单时，原报单已撤销</t>
    <phoneticPr fontId="2" type="noConversion"/>
  </si>
  <si>
    <t>改单填错了OrderREF</t>
    <phoneticPr fontId="2" type="noConversion"/>
  </si>
  <si>
    <t>改单填错了合约</t>
    <phoneticPr fontId="2" type="noConversion"/>
  </si>
  <si>
    <t xml:space="preserve">填了错误的OrderRef,被拒绝，找不到原始报单Other:The original order cannot be found. </t>
    <phoneticPr fontId="2" type="noConversion"/>
  </si>
  <si>
    <t xml:space="preserve">填错了合约， Other:The original order cannot be found. </t>
    <phoneticPr fontId="2" type="noConversion"/>
  </si>
  <si>
    <t>改单时拆单为卖平昨和卖开</t>
    <phoneticPr fontId="2" type="noConversion"/>
  </si>
  <si>
    <t>改单时拆单，再次改单时再次拆单为2手</t>
    <phoneticPr fontId="2" type="noConversion"/>
  </si>
  <si>
    <t>改单时拆单，再次改单不拆单</t>
    <phoneticPr fontId="2" type="noConversion"/>
  </si>
  <si>
    <t>改单时拆单为平今和买开</t>
    <phoneticPr fontId="2" type="noConversion"/>
  </si>
  <si>
    <t>['35','40','54','44','38','39','150','20001','59','55','1','56','116','11','20012']</t>
    <phoneticPr fontId="2" type="noConversion"/>
  </si>
  <si>
    <t>['35','40','54','44','38','39','150','20001','59','55','1','56','116','11','20012']</t>
    <phoneticPr fontId="2" type="noConversion"/>
  </si>
  <si>
    <t>['35','40','54','44','38','39','150','20001','59','55','1','56','116','11','20012']</t>
    <phoneticPr fontId="2" type="noConversion"/>
  </si>
  <si>
    <t>134</t>
    <phoneticPr fontId="2" type="noConversion"/>
  </si>
  <si>
    <t>134</t>
    <phoneticPr fontId="2" type="noConversion"/>
  </si>
  <si>
    <t>807</t>
    <phoneticPr fontId="2" type="noConversion"/>
  </si>
  <si>
    <t>134</t>
    <phoneticPr fontId="2" type="noConversion"/>
  </si>
  <si>
    <r>
      <t>普通报单买开1手，与case33中的卖开2手，形成部分成交。</t>
    </r>
    <r>
      <rPr>
        <sz val="11"/>
        <color rgb="FFFF0000"/>
        <rFont val="等线"/>
        <family val="3"/>
        <charset val="134"/>
        <scheme val="minor"/>
      </rPr>
      <t>此时买持仓5手，卖持仓5手。</t>
    </r>
    <phoneticPr fontId="2" type="noConversion"/>
  </si>
  <si>
    <t>5</t>
    <phoneticPr fontId="2" type="noConversion"/>
  </si>
  <si>
    <t>5</t>
    <phoneticPr fontId="2" type="noConversion"/>
  </si>
  <si>
    <t>C</t>
    <phoneticPr fontId="2" type="noConversion"/>
  </si>
  <si>
    <t>6</t>
    <phoneticPr fontId="2" type="noConversion"/>
  </si>
  <si>
    <t>5</t>
    <phoneticPr fontId="2" type="noConversion"/>
  </si>
  <si>
    <t>5</t>
    <phoneticPr fontId="2" type="noConversion"/>
  </si>
  <si>
    <t>6</t>
    <phoneticPr fontId="2" type="noConversion"/>
  </si>
  <si>
    <t>讲case36中部分成交1手的改单为卖开5手。</t>
    <phoneticPr fontId="2" type="noConversion"/>
  </si>
  <si>
    <r>
      <t>普通报单买</t>
    </r>
    <r>
      <rPr>
        <sz val="11"/>
        <color theme="1"/>
        <rFont val="等线"/>
        <family val="3"/>
        <charset val="134"/>
        <scheme val="minor"/>
      </rPr>
      <t>开6</t>
    </r>
    <r>
      <rPr>
        <sz val="11"/>
        <color theme="1"/>
        <rFont val="等线"/>
        <family val="2"/>
        <scheme val="minor"/>
      </rPr>
      <t>手，与case37中的卖开5手形成立即部分自成交5手。</t>
    </r>
    <r>
      <rPr>
        <sz val="11"/>
        <color rgb="FFFF0000"/>
        <rFont val="等线"/>
        <family val="3"/>
        <charset val="134"/>
        <scheme val="minor"/>
      </rPr>
      <t>此时买</t>
    </r>
    <r>
      <rPr>
        <sz val="11"/>
        <color rgb="FFFF0000"/>
        <rFont val="等线"/>
        <family val="2"/>
        <scheme val="minor"/>
      </rPr>
      <t>今</t>
    </r>
    <r>
      <rPr>
        <sz val="11"/>
        <color rgb="FFFF0000"/>
        <rFont val="等线"/>
        <family val="3"/>
        <charset val="134"/>
        <scheme val="minor"/>
      </rPr>
      <t>持仓</t>
    </r>
    <r>
      <rPr>
        <sz val="11"/>
        <color rgb="FFFF0000"/>
        <rFont val="等线"/>
        <family val="2"/>
        <scheme val="minor"/>
      </rPr>
      <t>10</t>
    </r>
    <r>
      <rPr>
        <sz val="11"/>
        <color rgb="FFFF0000"/>
        <rFont val="等线"/>
        <family val="3"/>
        <charset val="134"/>
        <scheme val="minor"/>
      </rPr>
      <t>手，卖今持仓</t>
    </r>
    <r>
      <rPr>
        <sz val="11"/>
        <color rgb="FFFF0000"/>
        <rFont val="等线"/>
        <family val="2"/>
        <scheme val="minor"/>
      </rPr>
      <t>10</t>
    </r>
    <r>
      <rPr>
        <sz val="11"/>
        <color rgb="FFFF0000"/>
        <rFont val="等线"/>
        <family val="3"/>
        <charset val="134"/>
        <scheme val="minor"/>
      </rPr>
      <t>手。</t>
    </r>
    <phoneticPr fontId="2" type="noConversion"/>
  </si>
  <si>
    <t>10</t>
    <phoneticPr fontId="2" type="noConversion"/>
  </si>
  <si>
    <t>5029</t>
    <phoneticPr fontId="2" type="noConversion"/>
  </si>
  <si>
    <t>136</t>
    <phoneticPr fontId="2" type="noConversion"/>
  </si>
  <si>
    <t>平掉今买持10手，和今卖持10手，不写回报</t>
    <phoneticPr fontId="2" type="noConversion"/>
  </si>
  <si>
    <t>不写回报</t>
    <phoneticPr fontId="2" type="noConversion"/>
  </si>
  <si>
    <t>平今仓10手。不写回报</t>
    <phoneticPr fontId="2" type="noConversion"/>
  </si>
  <si>
    <t>平今仓10手。不写回报</t>
    <phoneticPr fontId="2" type="noConversion"/>
  </si>
  <si>
    <t>将case38中立即部分成交的改单为买开1手</t>
    <phoneticPr fontId="2" type="noConversion"/>
  </si>
  <si>
    <t>撤掉case39中改单产生的买开1手。不写回报</t>
    <phoneticPr fontId="2" type="noConversion"/>
  </si>
  <si>
    <t>6</t>
    <phoneticPr fontId="2" type="noConversion"/>
  </si>
  <si>
    <t>1</t>
    <phoneticPr fontId="2" type="noConversion"/>
  </si>
  <si>
    <r>
      <rPr>
        <b/>
        <sz val="11"/>
        <color theme="1"/>
        <rFont val="等线"/>
        <family val="2"/>
      </rPr>
      <t>测试背景：</t>
    </r>
    <r>
      <rPr>
        <b/>
        <sz val="11"/>
        <color theme="1"/>
        <rFont val="TimesNewRoman"/>
        <family val="1"/>
      </rPr>
      <t>rb1206</t>
    </r>
    <r>
      <rPr>
        <b/>
        <sz val="11"/>
        <color theme="1"/>
        <rFont val="等线"/>
        <family val="2"/>
      </rPr>
      <t>有昨买持</t>
    </r>
    <r>
      <rPr>
        <b/>
        <sz val="11"/>
        <color theme="1"/>
        <rFont val="TimesNewRoman"/>
        <family val="1"/>
      </rPr>
      <t>3</t>
    </r>
    <r>
      <rPr>
        <b/>
        <sz val="11"/>
        <color theme="1"/>
        <rFont val="等线"/>
        <family val="2"/>
      </rPr>
      <t>手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</si>
</sst>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2"/>
    </font>
    <font>
      <b/>
      <sz val="11"/>
      <color theme="1"/>
      <name val="TimesNew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0" fontId="7" fillId="0" borderId="0" xfId="0" applyFont="1"/>
    <xf numFmtId="0" fontId="8" fillId="0" borderId="0" xfId="0" applyFont="1"/>
    <xf numFmtId="0" fontId="10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B2" sqref="B2"/>
    </sheetView>
  </sheetViews>
  <sheetFormatPr defaultRowHeight="14.25"/>
  <cols>
    <col min="2" max="2" width="28.125" customWidth="1"/>
    <col min="3" max="3" width="26.125" customWidth="1"/>
    <col min="7" max="7" width="15.25" customWidth="1"/>
    <col min="8" max="8" width="17" customWidth="1"/>
  </cols>
  <sheetData>
    <row r="1" spans="1:9">
      <c r="A1" t="s">
        <v>67</v>
      </c>
      <c r="B1" s="5" t="s">
        <v>65</v>
      </c>
      <c r="C1" s="5" t="s">
        <v>216</v>
      </c>
      <c r="D1" s="5" t="s">
        <v>66</v>
      </c>
      <c r="F1">
        <v>0</v>
      </c>
      <c r="G1" s="6" t="s">
        <v>258</v>
      </c>
      <c r="H1" t="s">
        <v>257</v>
      </c>
      <c r="I1">
        <v>1</v>
      </c>
    </row>
    <row r="2" spans="1:9">
      <c r="A2">
        <v>1</v>
      </c>
      <c r="B2" s="6" t="str">
        <f t="shared" ref="B2:B36" si="0">HYPERLINK("#"&amp;C2&amp;"!A"&amp;(D2+3),C2)</f>
        <v>NewOrderSingle</v>
      </c>
      <c r="C2" t="s">
        <v>217</v>
      </c>
      <c r="D2">
        <f>COUNTIF(C$2:C2,C2)</f>
        <v>1</v>
      </c>
      <c r="F2">
        <v>0</v>
      </c>
      <c r="G2" s="6" t="str">
        <f>HYPERLINK("#"&amp;H2&amp;"!A"&amp;(I2+3),H2)</f>
        <v>NewOrderSingle</v>
      </c>
      <c r="H2" t="s">
        <v>217</v>
      </c>
      <c r="I2">
        <f>COUNTIF(H$2:H2,H2)</f>
        <v>1</v>
      </c>
    </row>
    <row r="3" spans="1:9">
      <c r="A3">
        <v>2</v>
      </c>
      <c r="B3" s="6" t="str">
        <f t="shared" si="0"/>
        <v>OrderCancelReplaceRequest</v>
      </c>
      <c r="C3" t="s">
        <v>283</v>
      </c>
      <c r="D3">
        <f>COUNTIF(C$2:C3,C3)</f>
        <v>1</v>
      </c>
      <c r="G3" s="6"/>
    </row>
    <row r="4" spans="1:9">
      <c r="A4">
        <v>3</v>
      </c>
      <c r="B4" s="6" t="str">
        <f t="shared" si="0"/>
        <v>NewOrderSingle</v>
      </c>
      <c r="C4" t="s">
        <v>217</v>
      </c>
      <c r="D4">
        <f>COUNTIF(C$2:C4,C4)</f>
        <v>2</v>
      </c>
      <c r="F4">
        <v>0</v>
      </c>
      <c r="G4" s="6" t="str">
        <f>HYPERLINK("#"&amp;H4&amp;"!A"&amp;(I4+3),H4)</f>
        <v>MassQuote</v>
      </c>
      <c r="H4" t="s">
        <v>227</v>
      </c>
      <c r="I4">
        <f>COUNTIF(H$2:H4,H4)</f>
        <v>1</v>
      </c>
    </row>
    <row r="5" spans="1:9">
      <c r="A5">
        <v>4</v>
      </c>
      <c r="B5" s="6" t="str">
        <f t="shared" si="0"/>
        <v>OrderCancelReplaceRequest</v>
      </c>
      <c r="C5" t="s">
        <v>283</v>
      </c>
      <c r="D5">
        <f>COUNTIF(C$2:C5,C5)</f>
        <v>2</v>
      </c>
      <c r="G5" s="6"/>
    </row>
    <row r="6" spans="1:9">
      <c r="A6">
        <v>5</v>
      </c>
      <c r="B6" s="6" t="str">
        <f t="shared" si="0"/>
        <v>NewOrderSingle</v>
      </c>
      <c r="C6" t="s">
        <v>217</v>
      </c>
      <c r="D6">
        <f>COUNTIF(C$2:C6,C6)</f>
        <v>3</v>
      </c>
      <c r="F6">
        <v>0</v>
      </c>
      <c r="G6" s="6" t="s">
        <v>251</v>
      </c>
      <c r="H6" t="s">
        <v>250</v>
      </c>
      <c r="I6">
        <v>1</v>
      </c>
    </row>
    <row r="7" spans="1:9">
      <c r="A7">
        <v>6</v>
      </c>
      <c r="B7" s="6" t="str">
        <f t="shared" si="0"/>
        <v>OrderCancelReplaceRequest</v>
      </c>
      <c r="C7" t="s">
        <v>283</v>
      </c>
      <c r="D7">
        <f>COUNTIF(C$2:C7,C7)</f>
        <v>3</v>
      </c>
    </row>
    <row r="8" spans="1:9">
      <c r="A8">
        <v>7</v>
      </c>
      <c r="B8" s="6" t="str">
        <f t="shared" si="0"/>
        <v>OrderCancelRequest</v>
      </c>
      <c r="C8" t="s">
        <v>288</v>
      </c>
      <c r="D8">
        <f>COUNTIF(C$2:C8,C8)</f>
        <v>1</v>
      </c>
      <c r="F8">
        <v>4</v>
      </c>
      <c r="G8" s="6" t="str">
        <f>HYPERLINK("#"&amp;H8&amp;"!A"&amp;(I8+3),H8)</f>
        <v>OrderCancelRequest</v>
      </c>
      <c r="H8" t="s">
        <v>97</v>
      </c>
      <c r="I8">
        <f>COUNTIF(C$2:C7,H8)</f>
        <v>0</v>
      </c>
    </row>
    <row r="9" spans="1:9">
      <c r="A9">
        <v>8</v>
      </c>
      <c r="B9" s="6" t="str">
        <f t="shared" si="0"/>
        <v>NewOrderSingle</v>
      </c>
      <c r="C9" t="s">
        <v>217</v>
      </c>
      <c r="D9">
        <f>COUNTIF(C$2:C9,C9)</f>
        <v>4</v>
      </c>
      <c r="F9">
        <v>5</v>
      </c>
      <c r="G9" s="6" t="str">
        <f>HYPERLINK("#"&amp;H9&amp;"!A"&amp;(I9+3),H9)</f>
        <v>OrderCancelRequest</v>
      </c>
      <c r="H9" t="s">
        <v>97</v>
      </c>
      <c r="I9">
        <f>COUNTIF(C$2:C8,H9)</f>
        <v>1</v>
      </c>
    </row>
    <row r="10" spans="1:9">
      <c r="A10">
        <v>9</v>
      </c>
      <c r="B10" s="6" t="str">
        <f t="shared" si="0"/>
        <v>OrderCancelReplaceRequest</v>
      </c>
      <c r="C10" t="s">
        <v>283</v>
      </c>
      <c r="D10">
        <f>COUNTIF(C$2:C10,C10)</f>
        <v>4</v>
      </c>
      <c r="F10">
        <v>6</v>
      </c>
      <c r="G10" s="6" t="str">
        <f>HYPERLINK("#"&amp;H10&amp;"!A"&amp;(I10+3),H10)</f>
        <v>OrderCancelReplaceRequest</v>
      </c>
      <c r="H10" t="s">
        <v>218</v>
      </c>
      <c r="I10">
        <f>COUNTIF(H$10:H10,H10)</f>
        <v>1</v>
      </c>
    </row>
    <row r="11" spans="1:9">
      <c r="A11">
        <v>10</v>
      </c>
      <c r="B11" s="6" t="str">
        <f t="shared" si="0"/>
        <v>NewOrderSingle</v>
      </c>
      <c r="C11" t="s">
        <v>217</v>
      </c>
      <c r="D11">
        <f>COUNTIF(C$2:C11,C11)</f>
        <v>5</v>
      </c>
    </row>
    <row r="12" spans="1:9">
      <c r="A12">
        <v>11</v>
      </c>
      <c r="B12" s="6" t="str">
        <f t="shared" si="0"/>
        <v>OrderCancelReplaceRequest</v>
      </c>
      <c r="C12" t="s">
        <v>283</v>
      </c>
      <c r="D12">
        <f>COUNTIF(C$2:C12,C12)</f>
        <v>5</v>
      </c>
    </row>
    <row r="13" spans="1:9">
      <c r="A13">
        <v>12</v>
      </c>
      <c r="B13" s="6" t="str">
        <f t="shared" si="0"/>
        <v>NewOrderSingle</v>
      </c>
      <c r="C13" t="s">
        <v>217</v>
      </c>
      <c r="D13">
        <f>COUNTIF(C$2:C13,C13)</f>
        <v>6</v>
      </c>
    </row>
    <row r="14" spans="1:9">
      <c r="A14">
        <v>13</v>
      </c>
      <c r="B14" s="6" t="str">
        <f t="shared" si="0"/>
        <v>OrderCancelReplaceRequest</v>
      </c>
      <c r="C14" t="s">
        <v>283</v>
      </c>
      <c r="D14">
        <f>COUNTIF(C$2:C14,C14)</f>
        <v>6</v>
      </c>
    </row>
    <row r="15" spans="1:9">
      <c r="A15">
        <v>14</v>
      </c>
      <c r="B15" s="6" t="str">
        <f t="shared" si="0"/>
        <v>NewOrderSingle</v>
      </c>
      <c r="C15" t="s">
        <v>217</v>
      </c>
      <c r="D15">
        <f>COUNTIF(C$2:C15,C15)</f>
        <v>7</v>
      </c>
    </row>
    <row r="16" spans="1:9">
      <c r="A16">
        <v>15</v>
      </c>
      <c r="B16" s="6" t="str">
        <f t="shared" si="0"/>
        <v>OrderCancelReplaceRequest</v>
      </c>
      <c r="C16" t="s">
        <v>283</v>
      </c>
      <c r="D16">
        <f>COUNTIF(C$2:C16,C16)</f>
        <v>7</v>
      </c>
    </row>
    <row r="17" spans="1:7">
      <c r="A17">
        <v>16</v>
      </c>
      <c r="B17" s="6" t="str">
        <f t="shared" si="0"/>
        <v>OrderCancelReplaceRequest</v>
      </c>
      <c r="C17" t="s">
        <v>283</v>
      </c>
      <c r="D17">
        <f>COUNTIF(C$2:C17,C17)</f>
        <v>8</v>
      </c>
    </row>
    <row r="18" spans="1:7">
      <c r="A18">
        <v>17</v>
      </c>
      <c r="B18" s="6" t="str">
        <f t="shared" si="0"/>
        <v>OrderCancelReplaceRequest</v>
      </c>
      <c r="C18" t="s">
        <v>283</v>
      </c>
      <c r="D18">
        <f>COUNTIF(C$2:C18,C18)</f>
        <v>9</v>
      </c>
    </row>
    <row r="19" spans="1:7">
      <c r="A19">
        <v>18</v>
      </c>
      <c r="B19" s="6" t="str">
        <f t="shared" si="0"/>
        <v>NewOrderSingle</v>
      </c>
      <c r="C19" t="s">
        <v>217</v>
      </c>
      <c r="D19">
        <f>COUNTIF(C$2:C19,C19)</f>
        <v>8</v>
      </c>
    </row>
    <row r="20" spans="1:7">
      <c r="A20">
        <v>19</v>
      </c>
      <c r="B20" s="6" t="str">
        <f>HYPERLINK("#"&amp;C20&amp;"!A"&amp;(D20+3),C20)</f>
        <v>OrderCancelReplaceRequest</v>
      </c>
      <c r="C20" t="s">
        <v>283</v>
      </c>
      <c r="D20">
        <f>COUNTIF(C$2:C20,C20)</f>
        <v>10</v>
      </c>
    </row>
    <row r="21" spans="1:7">
      <c r="A21">
        <v>20</v>
      </c>
      <c r="B21" s="6" t="str">
        <f>HYPERLINK("#"&amp;C21&amp;"!A"&amp;(D21+3),C21)</f>
        <v>OrderCancelReplaceRequest</v>
      </c>
      <c r="C21" t="s">
        <v>283</v>
      </c>
      <c r="D21">
        <f>COUNTIF(C$2:C21,C21)</f>
        <v>11</v>
      </c>
    </row>
    <row r="22" spans="1:7">
      <c r="A22">
        <v>21</v>
      </c>
      <c r="B22" s="6" t="str">
        <f t="shared" si="0"/>
        <v>NewOrderSingle</v>
      </c>
      <c r="C22" t="s">
        <v>217</v>
      </c>
      <c r="D22">
        <f>COUNTIF(C$2:C22,C22)</f>
        <v>9</v>
      </c>
    </row>
    <row r="23" spans="1:7">
      <c r="A23">
        <v>22</v>
      </c>
      <c r="B23" s="6" t="str">
        <f t="shared" si="0"/>
        <v>OrderCancelReplaceRequest</v>
      </c>
      <c r="C23" t="s">
        <v>283</v>
      </c>
      <c r="D23">
        <f>COUNTIF(C$2:C23,C23)</f>
        <v>12</v>
      </c>
    </row>
    <row r="24" spans="1:7">
      <c r="A24">
        <v>23</v>
      </c>
      <c r="B24" s="6" t="str">
        <f t="shared" si="0"/>
        <v>OrderCancelReplaceRequest</v>
      </c>
      <c r="C24" t="s">
        <v>283</v>
      </c>
      <c r="D24">
        <f>COUNTIF(C$2:C24,C24)</f>
        <v>13</v>
      </c>
    </row>
    <row r="25" spans="1:7">
      <c r="A25">
        <v>24</v>
      </c>
      <c r="B25" s="6" t="str">
        <f t="shared" si="0"/>
        <v>OrderCancelReplaceRequest</v>
      </c>
      <c r="C25" t="s">
        <v>283</v>
      </c>
      <c r="D25">
        <f>COUNTIF(C$2:C25,C25)</f>
        <v>14</v>
      </c>
    </row>
    <row r="26" spans="1:7">
      <c r="A26">
        <v>25</v>
      </c>
      <c r="B26" s="6" t="str">
        <f t="shared" si="0"/>
        <v>OrderCancelRequest</v>
      </c>
      <c r="C26" t="s">
        <v>288</v>
      </c>
      <c r="D26">
        <f>COUNTIF(C$2:C26,C26)</f>
        <v>2</v>
      </c>
    </row>
    <row r="27" spans="1:7">
      <c r="A27">
        <v>26</v>
      </c>
      <c r="B27" s="6" t="str">
        <f t="shared" si="0"/>
        <v>OrderCancelRequest</v>
      </c>
      <c r="C27" t="s">
        <v>288</v>
      </c>
      <c r="D27">
        <f>COUNTIF(C$2:C27,C27)</f>
        <v>3</v>
      </c>
      <c r="G27" s="6"/>
    </row>
    <row r="28" spans="1:7">
      <c r="A28">
        <v>27</v>
      </c>
      <c r="B28" s="6" t="str">
        <f t="shared" si="0"/>
        <v>NewOrderSingle</v>
      </c>
      <c r="C28" t="s">
        <v>217</v>
      </c>
      <c r="D28">
        <f>COUNTIF(C$2:C28,C28)</f>
        <v>10</v>
      </c>
    </row>
    <row r="29" spans="1:7">
      <c r="A29">
        <v>28</v>
      </c>
      <c r="B29" s="6" t="str">
        <f t="shared" si="0"/>
        <v>NewOrderSingle</v>
      </c>
      <c r="C29" t="s">
        <v>217</v>
      </c>
      <c r="D29">
        <f>COUNTIF(C$2:C29,C29)</f>
        <v>11</v>
      </c>
    </row>
    <row r="30" spans="1:7">
      <c r="A30">
        <v>29</v>
      </c>
      <c r="B30" s="6" t="str">
        <f t="shared" si="0"/>
        <v>OrderCancelReplaceRequest</v>
      </c>
      <c r="C30" t="s">
        <v>283</v>
      </c>
      <c r="D30">
        <f>COUNTIF(C$2:C30,C30)</f>
        <v>15</v>
      </c>
    </row>
    <row r="31" spans="1:7">
      <c r="A31">
        <v>30</v>
      </c>
      <c r="B31" s="6" t="str">
        <f t="shared" si="0"/>
        <v>OrderCancelRequest</v>
      </c>
      <c r="C31" t="s">
        <v>288</v>
      </c>
      <c r="D31">
        <f>COUNTIF(C$2:C31,C31)</f>
        <v>4</v>
      </c>
    </row>
    <row r="32" spans="1:7">
      <c r="A32">
        <v>31</v>
      </c>
      <c r="B32" s="6" t="str">
        <f t="shared" si="0"/>
        <v>OrderCancelRequest</v>
      </c>
      <c r="C32" t="s">
        <v>288</v>
      </c>
      <c r="D32">
        <f>COUNTIF(C$2:C32,C32)</f>
        <v>5</v>
      </c>
    </row>
    <row r="33" spans="1:5">
      <c r="A33">
        <v>32</v>
      </c>
      <c r="B33" s="6" t="str">
        <f t="shared" si="0"/>
        <v>NewOrderSingle</v>
      </c>
      <c r="C33" t="s">
        <v>217</v>
      </c>
      <c r="D33">
        <f>COUNTIF(C$2:C33,C33)</f>
        <v>12</v>
      </c>
    </row>
    <row r="34" spans="1:5">
      <c r="A34">
        <v>33</v>
      </c>
      <c r="B34" s="6" t="str">
        <f t="shared" si="0"/>
        <v>OrderCancelReplaceRequest</v>
      </c>
      <c r="C34" t="s">
        <v>283</v>
      </c>
      <c r="D34">
        <f>COUNTIF(C$2:C34,C34)</f>
        <v>16</v>
      </c>
    </row>
    <row r="35" spans="1:5">
      <c r="A35">
        <v>34</v>
      </c>
      <c r="B35" s="6" t="str">
        <f t="shared" si="0"/>
        <v>OrderCancelRequest</v>
      </c>
      <c r="C35" t="s">
        <v>288</v>
      </c>
      <c r="D35">
        <f>COUNTIF(C$2:C35,C35)</f>
        <v>6</v>
      </c>
    </row>
    <row r="36" spans="1:5">
      <c r="A36">
        <v>35</v>
      </c>
      <c r="B36" s="6" t="str">
        <f t="shared" si="0"/>
        <v>OrderCancelRequest</v>
      </c>
      <c r="C36" t="s">
        <v>288</v>
      </c>
      <c r="D36">
        <f>COUNTIF(C$2:C36,C36)</f>
        <v>7</v>
      </c>
    </row>
    <row r="37" spans="1:5">
      <c r="A37">
        <v>36</v>
      </c>
      <c r="B37" s="6" t="str">
        <f t="shared" ref="B37:B41" si="1">HYPERLINK("#"&amp;C37&amp;"!A"&amp;(D37+3),C37)</f>
        <v>NewOrderSingle</v>
      </c>
      <c r="C37" t="s">
        <v>217</v>
      </c>
      <c r="D37">
        <f>COUNTIF(C$2:C37,C37)</f>
        <v>13</v>
      </c>
      <c r="E37" t="s">
        <v>683</v>
      </c>
    </row>
    <row r="38" spans="1:5">
      <c r="A38">
        <v>37</v>
      </c>
      <c r="B38" s="6" t="str">
        <f t="shared" si="1"/>
        <v>OrderCancelReplaceRequest</v>
      </c>
      <c r="C38" t="s">
        <v>283</v>
      </c>
      <c r="D38">
        <f>COUNTIF(C$2:C38,C38)</f>
        <v>17</v>
      </c>
    </row>
    <row r="39" spans="1:5">
      <c r="A39">
        <v>38</v>
      </c>
      <c r="B39" s="6" t="str">
        <f t="shared" si="1"/>
        <v>NewOrderSingle</v>
      </c>
      <c r="C39" t="s">
        <v>217</v>
      </c>
      <c r="D39">
        <f>COUNTIF(C$2:C39,C39)</f>
        <v>14</v>
      </c>
      <c r="E39" t="s">
        <v>683</v>
      </c>
    </row>
    <row r="40" spans="1:5">
      <c r="A40">
        <v>39</v>
      </c>
      <c r="B40" s="6" t="str">
        <f t="shared" si="1"/>
        <v>OrderCancelReplaceRequest</v>
      </c>
      <c r="C40" t="s">
        <v>283</v>
      </c>
      <c r="D40">
        <f>COUNTIF(C$2:C40,C40)</f>
        <v>18</v>
      </c>
    </row>
    <row r="41" spans="1:5">
      <c r="A41">
        <v>40</v>
      </c>
      <c r="B41" s="6" t="str">
        <f t="shared" si="1"/>
        <v>OrderCancelRequest</v>
      </c>
      <c r="C41" t="s">
        <v>288</v>
      </c>
      <c r="D41">
        <f>COUNTIF(C$2:C41,C41)</f>
        <v>8</v>
      </c>
      <c r="E41" t="s">
        <v>764</v>
      </c>
    </row>
    <row r="42" spans="1:5">
      <c r="A42">
        <v>41</v>
      </c>
      <c r="B42" s="6" t="str">
        <f t="shared" ref="B42:B43" si="2">HYPERLINK("#"&amp;C42&amp;"!A"&amp;(D42+3),C42)</f>
        <v>NewOrderSingle</v>
      </c>
      <c r="C42" t="s">
        <v>217</v>
      </c>
      <c r="D42">
        <f>COUNTIF(C$2:C42,C42)</f>
        <v>15</v>
      </c>
      <c r="E42" t="s">
        <v>765</v>
      </c>
    </row>
    <row r="43" spans="1:5">
      <c r="A43">
        <v>42</v>
      </c>
      <c r="B43" s="6" t="str">
        <f t="shared" si="2"/>
        <v>NewOrderSingle</v>
      </c>
      <c r="C43" t="s">
        <v>217</v>
      </c>
      <c r="D43">
        <f>COUNTIF(C$2:C43,C43)</f>
        <v>16</v>
      </c>
      <c r="E43" t="s">
        <v>766</v>
      </c>
    </row>
  </sheetData>
  <phoneticPr fontId="2" type="noConversion"/>
  <hyperlinks>
    <hyperlink ref="G1" location="OrderStatusRequest!A1" display="OrderStatusRequest!A1"/>
    <hyperlink ref="G6" location="SecurityDefinitionRequest!A1" display="SecurityDefinitionRequest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opLeftCell="A10" workbookViewId="0">
      <selection activeCell="B21" sqref="B21"/>
    </sheetView>
  </sheetViews>
  <sheetFormatPr defaultRowHeight="14.25"/>
  <cols>
    <col min="2" max="2" width="16.625" customWidth="1"/>
    <col min="3" max="3" width="14.875" customWidth="1"/>
    <col min="7" max="7" width="15.375" customWidth="1"/>
    <col min="8" max="8" width="17.25" customWidth="1"/>
  </cols>
  <sheetData>
    <row r="1" spans="1:9">
      <c r="A1" t="s">
        <v>67</v>
      </c>
      <c r="B1" s="5" t="s">
        <v>65</v>
      </c>
      <c r="C1" s="5" t="s">
        <v>216</v>
      </c>
      <c r="D1" s="5" t="s">
        <v>66</v>
      </c>
    </row>
    <row r="2" spans="1:9">
      <c r="A2">
        <v>0</v>
      </c>
      <c r="B2" s="6" t="str">
        <f>HYPERLINK("#"&amp;C2&amp;"!A"&amp;(D2+3),C2)</f>
        <v>OnRspUserLogin</v>
      </c>
      <c r="C2" t="s">
        <v>214</v>
      </c>
      <c r="D2">
        <f>COUNTIF(C$2:C2,C2)</f>
        <v>1</v>
      </c>
    </row>
    <row r="3" spans="1:9" ht="18.75" customHeight="1">
      <c r="A3">
        <v>1</v>
      </c>
      <c r="B3" s="6" t="str">
        <f t="shared" ref="B3:B10" si="0">HYPERLINK("#"&amp;C3&amp;"!A"&amp;(D3+3),C3)</f>
        <v>ExecutionReport</v>
      </c>
      <c r="C3" t="s">
        <v>215</v>
      </c>
      <c r="D3">
        <f>COUNTIF(C$2:C3,C3)</f>
        <v>1</v>
      </c>
    </row>
    <row r="4" spans="1:9">
      <c r="A4">
        <v>1</v>
      </c>
      <c r="B4" s="6" t="str">
        <f t="shared" si="0"/>
        <v>ExecutionReport</v>
      </c>
      <c r="C4" t="s">
        <v>215</v>
      </c>
      <c r="D4">
        <f>COUNTIF(C$2:C4,C4)</f>
        <v>2</v>
      </c>
      <c r="F4">
        <v>15</v>
      </c>
      <c r="G4" s="6" t="s">
        <v>254</v>
      </c>
      <c r="H4" t="s">
        <v>255</v>
      </c>
      <c r="I4">
        <f>COUNTIF(C$2:C17,H4)</f>
        <v>0</v>
      </c>
    </row>
    <row r="5" spans="1:9">
      <c r="A5">
        <v>2</v>
      </c>
      <c r="B5" s="6" t="str">
        <f t="shared" si="0"/>
        <v>ExecutionReport</v>
      </c>
      <c r="C5" t="s">
        <v>215</v>
      </c>
      <c r="D5">
        <f>COUNTIF(C$2:C5,C5)</f>
        <v>3</v>
      </c>
    </row>
    <row r="6" spans="1:9">
      <c r="A6">
        <v>2</v>
      </c>
      <c r="B6" s="6" t="str">
        <f t="shared" si="0"/>
        <v>ExecutionReport</v>
      </c>
      <c r="C6" t="s">
        <v>215</v>
      </c>
      <c r="D6">
        <f>COUNTIF(C$2:C6,C6)</f>
        <v>4</v>
      </c>
      <c r="F6">
        <v>17</v>
      </c>
      <c r="G6" s="6" t="str">
        <f t="shared" ref="G6" si="1">HYPERLINK("#"&amp;H6&amp;"!A"&amp;(I6+3),H6)</f>
        <v>ExecutionReport</v>
      </c>
      <c r="H6" t="s">
        <v>215</v>
      </c>
      <c r="I6">
        <v>17</v>
      </c>
    </row>
    <row r="7" spans="1:9">
      <c r="A7">
        <v>2</v>
      </c>
      <c r="B7" s="6" t="str">
        <f t="shared" si="0"/>
        <v>ExecutionReport</v>
      </c>
      <c r="C7" t="s">
        <v>215</v>
      </c>
      <c r="D7">
        <f>COUNTIF(C$2:C7,C7)</f>
        <v>5</v>
      </c>
    </row>
    <row r="8" spans="1:9">
      <c r="A8">
        <v>2</v>
      </c>
      <c r="B8" s="6" t="str">
        <f t="shared" si="0"/>
        <v>ExecutionReport</v>
      </c>
      <c r="C8" t="s">
        <v>215</v>
      </c>
      <c r="D8">
        <f>COUNTIF(C$2:C8,C8)</f>
        <v>6</v>
      </c>
    </row>
    <row r="9" spans="1:9">
      <c r="A9">
        <v>2</v>
      </c>
      <c r="B9" s="6" t="str">
        <f t="shared" si="0"/>
        <v>ExecutionReport</v>
      </c>
      <c r="C9" t="s">
        <v>215</v>
      </c>
      <c r="D9">
        <f>COUNTIF(C$2:C9,C9)</f>
        <v>7</v>
      </c>
    </row>
    <row r="10" spans="1:9">
      <c r="A10">
        <v>3</v>
      </c>
      <c r="B10" s="6" t="str">
        <f t="shared" si="0"/>
        <v>ExecutionReport</v>
      </c>
      <c r="C10" t="s">
        <v>215</v>
      </c>
      <c r="D10">
        <f>COUNTIF(C$2:C10,C10)</f>
        <v>8</v>
      </c>
    </row>
    <row r="11" spans="1:9">
      <c r="A11">
        <v>3</v>
      </c>
      <c r="B11" s="6" t="str">
        <f t="shared" ref="B11:B12" si="2">HYPERLINK("#"&amp;C11&amp;"!A"&amp;(D11+3),C11)</f>
        <v>ExecutionReport</v>
      </c>
      <c r="C11" t="s">
        <v>215</v>
      </c>
      <c r="D11">
        <f>COUNTIF(C$2:C11,C11)</f>
        <v>9</v>
      </c>
    </row>
    <row r="12" spans="1:9">
      <c r="A12">
        <v>4</v>
      </c>
      <c r="B12" s="6" t="str">
        <f t="shared" si="2"/>
        <v>ExecutionReport</v>
      </c>
      <c r="C12" t="s">
        <v>215</v>
      </c>
      <c r="D12">
        <f>COUNTIF(C$2:C12,C12)</f>
        <v>10</v>
      </c>
    </row>
    <row r="13" spans="1:9">
      <c r="A13">
        <v>4</v>
      </c>
      <c r="B13" s="6" t="str">
        <f t="shared" ref="B13:B16" si="3">HYPERLINK("#"&amp;C13&amp;"!A"&amp;(D13+3),C13)</f>
        <v>ExecutionReport</v>
      </c>
      <c r="C13" t="s">
        <v>215</v>
      </c>
      <c r="D13">
        <f>COUNTIF(C$2:C13,C13)</f>
        <v>11</v>
      </c>
    </row>
    <row r="14" spans="1:9">
      <c r="A14">
        <v>4</v>
      </c>
      <c r="B14" s="6" t="str">
        <f t="shared" si="3"/>
        <v>ExecutionReport</v>
      </c>
      <c r="C14" t="s">
        <v>215</v>
      </c>
      <c r="D14">
        <f>COUNTIF(C$2:C14,C14)</f>
        <v>12</v>
      </c>
    </row>
    <row r="15" spans="1:9" ht="14.45" customHeight="1">
      <c r="A15">
        <v>4</v>
      </c>
      <c r="B15" s="6" t="str">
        <f t="shared" si="3"/>
        <v>ExecutionReport</v>
      </c>
      <c r="C15" t="s">
        <v>215</v>
      </c>
      <c r="D15">
        <f>COUNTIF(C$2:C15,C15)</f>
        <v>13</v>
      </c>
      <c r="F15">
        <v>15</v>
      </c>
      <c r="G15" s="6" t="str">
        <f t="shared" ref="G15" si="4">HYPERLINK("#"&amp;H15&amp;"!A"&amp;(I15+3),H15)</f>
        <v>ExecutionReport</v>
      </c>
      <c r="H15" t="s">
        <v>215</v>
      </c>
      <c r="I15">
        <f>COUNTIF(C$2:C17,H15)</f>
        <v>15</v>
      </c>
    </row>
    <row r="16" spans="1:9">
      <c r="A16">
        <v>4</v>
      </c>
      <c r="B16" s="6" t="str">
        <f t="shared" si="3"/>
        <v>ExecutionReport</v>
      </c>
      <c r="C16" t="s">
        <v>215</v>
      </c>
      <c r="D16">
        <f>COUNTIF(C$2:C16,C16)</f>
        <v>14</v>
      </c>
      <c r="F16">
        <v>16</v>
      </c>
      <c r="G16" s="6" t="str">
        <f t="shared" ref="G16" si="5">HYPERLINK("#"&amp;H16&amp;"!A"&amp;(I16+3),H16)</f>
        <v>ExecutionReport</v>
      </c>
      <c r="H16" t="s">
        <v>215</v>
      </c>
      <c r="I16">
        <v>16</v>
      </c>
    </row>
    <row r="17" spans="1:5">
      <c r="A17">
        <v>5</v>
      </c>
      <c r="B17" s="6" t="str">
        <f t="shared" ref="B17:B19" si="6">HYPERLINK("#"&amp;C17&amp;"!A"&amp;(D17+3),C17)</f>
        <v>ExecutionReport</v>
      </c>
      <c r="C17" t="s">
        <v>215</v>
      </c>
      <c r="D17">
        <f>COUNTIF(C$2:C17,C17)</f>
        <v>15</v>
      </c>
    </row>
    <row r="18" spans="1:5" ht="14.45" customHeight="1">
      <c r="A18">
        <v>5</v>
      </c>
      <c r="B18" s="6" t="str">
        <f t="shared" si="6"/>
        <v>ExecutionReport</v>
      </c>
      <c r="C18" t="s">
        <v>215</v>
      </c>
      <c r="D18">
        <f>COUNTIF(C$2:C18,C18)</f>
        <v>16</v>
      </c>
    </row>
    <row r="19" spans="1:5">
      <c r="A19">
        <v>6</v>
      </c>
      <c r="B19" s="6" t="str">
        <f t="shared" si="6"/>
        <v>ExecutionReport</v>
      </c>
      <c r="C19" t="s">
        <v>215</v>
      </c>
      <c r="D19">
        <f>COUNTIF(C$2:C19,C19)</f>
        <v>17</v>
      </c>
      <c r="E19" t="s">
        <v>294</v>
      </c>
    </row>
    <row r="20" spans="1:5">
      <c r="A20">
        <v>6</v>
      </c>
      <c r="B20" s="6" t="str">
        <f t="shared" ref="B20:B25" si="7">HYPERLINK("#"&amp;C20&amp;"!A"&amp;(D20+3),C20)</f>
        <v>ExecutionReport</v>
      </c>
      <c r="C20" t="s">
        <v>215</v>
      </c>
      <c r="D20">
        <f>COUNTIF(C$2:C20,C20)</f>
        <v>18</v>
      </c>
    </row>
    <row r="21" spans="1:5">
      <c r="A21">
        <v>6</v>
      </c>
      <c r="B21" s="6" t="str">
        <f t="shared" si="7"/>
        <v>ExecutionReport</v>
      </c>
      <c r="C21" t="s">
        <v>215</v>
      </c>
      <c r="D21">
        <f>COUNTIF(C$2:C21,C21)</f>
        <v>19</v>
      </c>
    </row>
    <row r="22" spans="1:5">
      <c r="A22">
        <v>6</v>
      </c>
      <c r="B22" s="6" t="str">
        <f t="shared" si="7"/>
        <v>ExecutionReport</v>
      </c>
      <c r="C22" t="s">
        <v>215</v>
      </c>
      <c r="D22">
        <f>COUNTIF(C$2:C22,C22)</f>
        <v>20</v>
      </c>
    </row>
    <row r="23" spans="1:5">
      <c r="A23">
        <v>6</v>
      </c>
      <c r="B23" s="6" t="str">
        <f t="shared" si="7"/>
        <v>ExecutionReport</v>
      </c>
      <c r="C23" t="s">
        <v>215</v>
      </c>
      <c r="D23">
        <f>COUNTIF(C$2:C23,C23)</f>
        <v>21</v>
      </c>
    </row>
    <row r="24" spans="1:5">
      <c r="A24">
        <v>7</v>
      </c>
      <c r="B24" s="6" t="str">
        <f t="shared" si="7"/>
        <v>ExecutionReport</v>
      </c>
      <c r="C24" t="s">
        <v>215</v>
      </c>
      <c r="D24">
        <f>COUNTIF(C$2:C24,C24)</f>
        <v>22</v>
      </c>
      <c r="E24" t="s">
        <v>293</v>
      </c>
    </row>
    <row r="25" spans="1:5">
      <c r="A25">
        <v>7</v>
      </c>
      <c r="B25" s="6" t="str">
        <f t="shared" si="7"/>
        <v>ExecutionReport</v>
      </c>
      <c r="C25" t="s">
        <v>215</v>
      </c>
      <c r="D25">
        <f>COUNTIF(C$2:C25,C25)</f>
        <v>23</v>
      </c>
    </row>
    <row r="26" spans="1:5">
      <c r="A26">
        <v>7</v>
      </c>
      <c r="B26" s="6" t="str">
        <f t="shared" ref="B26:B27" si="8">HYPERLINK("#"&amp;C26&amp;"!A"&amp;(D26+3),C26)</f>
        <v>ExecutionReport</v>
      </c>
      <c r="C26" t="s">
        <v>215</v>
      </c>
      <c r="D26">
        <f>COUNTIF(C$2:C26,C26)</f>
        <v>24</v>
      </c>
    </row>
    <row r="27" spans="1:5">
      <c r="A27">
        <v>8</v>
      </c>
      <c r="B27" s="6" t="str">
        <f t="shared" si="8"/>
        <v>ExecutionReport</v>
      </c>
      <c r="C27" t="s">
        <v>215</v>
      </c>
      <c r="D27">
        <f>COUNTIF(C$2:C27,C27)</f>
        <v>25</v>
      </c>
    </row>
    <row r="28" spans="1:5">
      <c r="A28">
        <v>8</v>
      </c>
      <c r="B28" s="6" t="str">
        <f t="shared" ref="B28:B34" si="9">HYPERLINK("#"&amp;C28&amp;"!A"&amp;(D28+3),C28)</f>
        <v>ExecutionReport</v>
      </c>
      <c r="C28" t="s">
        <v>215</v>
      </c>
      <c r="D28">
        <f>COUNTIF(C$2:C28,C28)</f>
        <v>26</v>
      </c>
    </row>
    <row r="29" spans="1:5">
      <c r="A29">
        <v>9</v>
      </c>
      <c r="B29" s="6" t="str">
        <f t="shared" si="9"/>
        <v>ExecutionReport</v>
      </c>
      <c r="C29" t="s">
        <v>215</v>
      </c>
      <c r="D29">
        <f>COUNTIF(C$2:C29,C29)</f>
        <v>27</v>
      </c>
      <c r="E29" t="s">
        <v>294</v>
      </c>
    </row>
    <row r="30" spans="1:5">
      <c r="A30">
        <v>9</v>
      </c>
      <c r="B30" s="6" t="str">
        <f t="shared" si="9"/>
        <v>ExecutionReport</v>
      </c>
      <c r="C30" t="s">
        <v>215</v>
      </c>
      <c r="D30">
        <f>COUNTIF(C$2:C30,C30)</f>
        <v>28</v>
      </c>
    </row>
    <row r="31" spans="1:5">
      <c r="A31">
        <v>9</v>
      </c>
      <c r="B31" s="6" t="str">
        <f t="shared" si="9"/>
        <v>ExecutionReport</v>
      </c>
      <c r="C31" t="s">
        <v>215</v>
      </c>
      <c r="D31">
        <f>COUNTIF(C$2:C31,C31)</f>
        <v>29</v>
      </c>
    </row>
    <row r="32" spans="1:5">
      <c r="A32">
        <v>9</v>
      </c>
      <c r="B32" s="6" t="str">
        <f t="shared" si="9"/>
        <v>ExecutionReport</v>
      </c>
      <c r="C32" t="s">
        <v>215</v>
      </c>
      <c r="D32">
        <f>COUNTIF(C$2:C32,C32)</f>
        <v>30</v>
      </c>
    </row>
    <row r="33" spans="1:5">
      <c r="A33">
        <v>9</v>
      </c>
      <c r="B33" s="6" t="str">
        <f t="shared" si="9"/>
        <v>ExecutionReport</v>
      </c>
      <c r="C33" t="s">
        <v>215</v>
      </c>
      <c r="D33">
        <f>COUNTIF(C$2:C33,C33)</f>
        <v>31</v>
      </c>
    </row>
    <row r="34" spans="1:5">
      <c r="A34">
        <v>10</v>
      </c>
      <c r="B34" s="6" t="str">
        <f t="shared" si="9"/>
        <v>ExecutionReport</v>
      </c>
      <c r="C34" t="s">
        <v>215</v>
      </c>
      <c r="D34">
        <f>COUNTIF(C$2:C34,C34)</f>
        <v>32</v>
      </c>
      <c r="E34" t="s">
        <v>295</v>
      </c>
    </row>
    <row r="35" spans="1:5">
      <c r="A35">
        <v>10</v>
      </c>
      <c r="B35" s="6" t="str">
        <f t="shared" ref="B35:B41" si="10">HYPERLINK("#"&amp;C35&amp;"!A"&amp;(D35+3),C35)</f>
        <v>ExecutionReport</v>
      </c>
      <c r="C35" t="s">
        <v>215</v>
      </c>
      <c r="D35">
        <f>COUNTIF(C$2:C35,C35)</f>
        <v>33</v>
      </c>
    </row>
    <row r="36" spans="1:5">
      <c r="A36">
        <v>11</v>
      </c>
      <c r="B36" s="6" t="str">
        <f t="shared" si="10"/>
        <v>ExecutionReport</v>
      </c>
      <c r="C36" t="s">
        <v>215</v>
      </c>
      <c r="D36">
        <f>COUNTIF(C$2:C36,C36)</f>
        <v>34</v>
      </c>
      <c r="E36" t="s">
        <v>294</v>
      </c>
    </row>
    <row r="37" spans="1:5">
      <c r="A37">
        <v>11</v>
      </c>
      <c r="B37" s="6" t="str">
        <f t="shared" si="10"/>
        <v>ExecutionReport</v>
      </c>
      <c r="C37" t="s">
        <v>215</v>
      </c>
      <c r="D37">
        <f>COUNTIF(C$2:C37,C37)</f>
        <v>35</v>
      </c>
    </row>
    <row r="38" spans="1:5">
      <c r="A38">
        <v>11</v>
      </c>
      <c r="B38" s="6" t="str">
        <f t="shared" si="10"/>
        <v>ExecutionReport</v>
      </c>
      <c r="C38" t="s">
        <v>215</v>
      </c>
      <c r="D38">
        <f>COUNTIF(C$2:C38,C38)</f>
        <v>36</v>
      </c>
    </row>
    <row r="39" spans="1:5">
      <c r="A39">
        <v>11</v>
      </c>
      <c r="B39" s="6" t="str">
        <f t="shared" si="10"/>
        <v>ExecutionReport</v>
      </c>
      <c r="C39" t="s">
        <v>215</v>
      </c>
      <c r="D39">
        <f>COUNTIF(C$2:C39,C39)</f>
        <v>37</v>
      </c>
    </row>
    <row r="40" spans="1:5">
      <c r="A40">
        <v>11</v>
      </c>
      <c r="B40" s="6" t="str">
        <f t="shared" si="10"/>
        <v>ExecutionReport</v>
      </c>
      <c r="C40" t="s">
        <v>215</v>
      </c>
      <c r="D40">
        <f>COUNTIF(C$2:C40,C40)</f>
        <v>38</v>
      </c>
    </row>
    <row r="41" spans="1:5">
      <c r="A41">
        <v>12</v>
      </c>
      <c r="B41" s="6" t="str">
        <f t="shared" si="10"/>
        <v>ExecutionReport</v>
      </c>
      <c r="C41" t="s">
        <v>215</v>
      </c>
      <c r="D41">
        <f>COUNTIF(C$2:C41,C41)</f>
        <v>39</v>
      </c>
      <c r="E41" t="s">
        <v>296</v>
      </c>
    </row>
    <row r="42" spans="1:5">
      <c r="A42">
        <v>12</v>
      </c>
      <c r="B42" s="6" t="str">
        <f t="shared" ref="B42:B47" si="11">HYPERLINK("#"&amp;C42&amp;"!A"&amp;(D42+3),C42)</f>
        <v>ExecutionReport</v>
      </c>
      <c r="C42" t="s">
        <v>215</v>
      </c>
      <c r="D42">
        <f>COUNTIF(C$2:C42,C42)</f>
        <v>40</v>
      </c>
    </row>
    <row r="43" spans="1:5">
      <c r="A43">
        <v>13</v>
      </c>
      <c r="B43" s="6" t="str">
        <f t="shared" si="11"/>
        <v>ExecutionReport</v>
      </c>
      <c r="C43" t="s">
        <v>215</v>
      </c>
      <c r="D43">
        <f>COUNTIF(C$2:C43,C43)</f>
        <v>41</v>
      </c>
      <c r="E43" t="s">
        <v>297</v>
      </c>
    </row>
    <row r="44" spans="1:5">
      <c r="A44">
        <v>13</v>
      </c>
      <c r="B44" s="6" t="str">
        <f t="shared" si="11"/>
        <v>ExecutionReport</v>
      </c>
      <c r="C44" t="s">
        <v>215</v>
      </c>
      <c r="D44">
        <f>COUNTIF(C$2:C44,C44)</f>
        <v>42</v>
      </c>
    </row>
    <row r="45" spans="1:5">
      <c r="A45">
        <v>13</v>
      </c>
      <c r="B45" s="6" t="str">
        <f t="shared" si="11"/>
        <v>ExecutionReport</v>
      </c>
      <c r="C45" t="s">
        <v>215</v>
      </c>
      <c r="D45">
        <f>COUNTIF(C$2:C45,C45)</f>
        <v>43</v>
      </c>
    </row>
    <row r="46" spans="1:5">
      <c r="A46">
        <v>13</v>
      </c>
      <c r="B46" s="6" t="str">
        <f t="shared" si="11"/>
        <v>ExecutionReport</v>
      </c>
      <c r="C46" t="s">
        <v>215</v>
      </c>
      <c r="D46">
        <f>COUNTIF(C$2:C46,C46)</f>
        <v>44</v>
      </c>
    </row>
    <row r="47" spans="1:5">
      <c r="A47">
        <v>14</v>
      </c>
      <c r="B47" s="6" t="str">
        <f t="shared" si="11"/>
        <v>ExecutionReport</v>
      </c>
      <c r="C47" t="s">
        <v>215</v>
      </c>
      <c r="D47">
        <f>COUNTIF(C$2:C47,C47)</f>
        <v>45</v>
      </c>
      <c r="E47" t="s">
        <v>296</v>
      </c>
    </row>
    <row r="48" spans="1:5">
      <c r="A48">
        <v>14</v>
      </c>
      <c r="B48" s="6" t="str">
        <f t="shared" ref="B48:B52" si="12">HYPERLINK("#"&amp;C48&amp;"!A"&amp;(D48+3),C48)</f>
        <v>ExecutionReport</v>
      </c>
      <c r="C48" t="s">
        <v>215</v>
      </c>
      <c r="D48">
        <f>COUNTIF(C$2:C48,C48)</f>
        <v>46</v>
      </c>
    </row>
    <row r="49" spans="1:5">
      <c r="A49">
        <v>15</v>
      </c>
      <c r="B49" s="6" t="str">
        <f t="shared" si="12"/>
        <v>ExecutionReport</v>
      </c>
      <c r="C49" t="s">
        <v>215</v>
      </c>
      <c r="D49">
        <f>COUNTIF(C$2:C49,C49)</f>
        <v>47</v>
      </c>
      <c r="E49" t="s">
        <v>467</v>
      </c>
    </row>
    <row r="50" spans="1:5">
      <c r="A50">
        <v>15</v>
      </c>
      <c r="B50" s="6" t="str">
        <f t="shared" si="12"/>
        <v>ExecutionReport</v>
      </c>
      <c r="C50" t="s">
        <v>215</v>
      </c>
      <c r="D50">
        <f>COUNTIF(C$2:C50,C50)</f>
        <v>48</v>
      </c>
    </row>
    <row r="51" spans="1:5">
      <c r="A51">
        <v>15</v>
      </c>
      <c r="B51" s="6" t="str">
        <f t="shared" si="12"/>
        <v>ExecutionReport</v>
      </c>
      <c r="C51" t="s">
        <v>215</v>
      </c>
      <c r="D51">
        <f>COUNTIF(C$2:C51,C51)</f>
        <v>49</v>
      </c>
    </row>
    <row r="52" spans="1:5">
      <c r="A52">
        <v>15</v>
      </c>
      <c r="B52" s="6" t="str">
        <f t="shared" si="12"/>
        <v>ExecutionReport</v>
      </c>
      <c r="C52" t="s">
        <v>215</v>
      </c>
      <c r="D52">
        <f>COUNTIF(C$2:C52,C52)</f>
        <v>50</v>
      </c>
    </row>
    <row r="53" spans="1:5">
      <c r="A53">
        <v>15</v>
      </c>
      <c r="B53" s="6" t="str">
        <f t="shared" ref="B53:B57" si="13">HYPERLINK("#"&amp;C53&amp;"!A"&amp;(D53+3),C53)</f>
        <v>ExecutionReport</v>
      </c>
      <c r="C53" t="s">
        <v>215</v>
      </c>
      <c r="D53">
        <f>COUNTIF(C$2:C53,C53)</f>
        <v>51</v>
      </c>
    </row>
    <row r="54" spans="1:5">
      <c r="A54">
        <v>16</v>
      </c>
      <c r="B54" s="6" t="str">
        <f t="shared" si="13"/>
        <v>ExecutionReport</v>
      </c>
      <c r="C54" t="s">
        <v>215</v>
      </c>
      <c r="D54">
        <f>COUNTIF(C$2:C54,C54)</f>
        <v>52</v>
      </c>
      <c r="E54" t="s">
        <v>468</v>
      </c>
    </row>
    <row r="55" spans="1:5">
      <c r="A55">
        <v>16</v>
      </c>
      <c r="B55" s="6" t="str">
        <f t="shared" si="13"/>
        <v>ExecutionReport</v>
      </c>
      <c r="C55" t="s">
        <v>215</v>
      </c>
      <c r="D55">
        <f>COUNTIF(C$2:C55,C55)</f>
        <v>53</v>
      </c>
    </row>
    <row r="56" spans="1:5">
      <c r="A56">
        <v>16</v>
      </c>
      <c r="B56" s="6" t="str">
        <f t="shared" si="13"/>
        <v>ExecutionReport</v>
      </c>
      <c r="C56" t="s">
        <v>215</v>
      </c>
      <c r="D56">
        <f>COUNTIF(C$2:C56,C56)</f>
        <v>54</v>
      </c>
    </row>
    <row r="57" spans="1:5">
      <c r="A57">
        <v>16</v>
      </c>
      <c r="B57" s="6" t="str">
        <f t="shared" si="13"/>
        <v>ExecutionReport</v>
      </c>
      <c r="C57" t="s">
        <v>215</v>
      </c>
      <c r="D57">
        <f>COUNTIF(C$2:C57,C57)</f>
        <v>55</v>
      </c>
    </row>
    <row r="58" spans="1:5">
      <c r="A58">
        <v>16</v>
      </c>
      <c r="B58" s="6" t="str">
        <f t="shared" ref="B58:B61" si="14">HYPERLINK("#"&amp;C58&amp;"!A"&amp;(D58+3),C58)</f>
        <v>ExecutionReport</v>
      </c>
      <c r="C58" t="s">
        <v>215</v>
      </c>
      <c r="D58">
        <f>COUNTIF(C$2:C58,C58)</f>
        <v>56</v>
      </c>
    </row>
    <row r="59" spans="1:5">
      <c r="A59">
        <v>17</v>
      </c>
      <c r="B59" s="6" t="str">
        <f t="shared" si="14"/>
        <v>OrderCancelReject</v>
      </c>
      <c r="C59" t="s">
        <v>469</v>
      </c>
      <c r="D59">
        <f>COUNTIF(C$2:C59,C59)</f>
        <v>1</v>
      </c>
      <c r="E59" t="s">
        <v>470</v>
      </c>
    </row>
    <row r="60" spans="1:5">
      <c r="A60">
        <v>18</v>
      </c>
      <c r="B60" s="6" t="str">
        <f t="shared" si="14"/>
        <v>ExecutionReport</v>
      </c>
      <c r="C60" t="s">
        <v>215</v>
      </c>
      <c r="D60">
        <f>COUNTIF(C$2:C60,C60)</f>
        <v>57</v>
      </c>
      <c r="E60" t="s">
        <v>471</v>
      </c>
    </row>
    <row r="61" spans="1:5">
      <c r="A61">
        <v>18</v>
      </c>
      <c r="B61" s="6" t="str">
        <f t="shared" si="14"/>
        <v>ExecutionReport</v>
      </c>
      <c r="C61" t="s">
        <v>215</v>
      </c>
      <c r="D61">
        <f>COUNTIF(C$2:C61,C61)</f>
        <v>58</v>
      </c>
    </row>
    <row r="62" spans="1:5">
      <c r="A62">
        <v>19</v>
      </c>
      <c r="B62" s="6" t="str">
        <f t="shared" ref="B62:B125" si="15">HYPERLINK("#"&amp;C62&amp;"!A"&amp;(D62+3),C62)</f>
        <v>BusinessMessageReject</v>
      </c>
      <c r="C62" t="s">
        <v>486</v>
      </c>
      <c r="D62">
        <f>COUNTIF(C$2:C62,C62)</f>
        <v>1</v>
      </c>
      <c r="E62" s="8" t="s">
        <v>737</v>
      </c>
    </row>
    <row r="63" spans="1:5">
      <c r="A63">
        <v>20</v>
      </c>
      <c r="B63" s="6" t="str">
        <f t="shared" si="15"/>
        <v>BusinessMessageReject</v>
      </c>
      <c r="C63" t="s">
        <v>486</v>
      </c>
      <c r="D63">
        <f>COUNTIF(C$2:C63,C63)</f>
        <v>2</v>
      </c>
      <c r="E63" s="9" t="s">
        <v>738</v>
      </c>
    </row>
    <row r="64" spans="1:5">
      <c r="A64">
        <v>21</v>
      </c>
      <c r="B64" s="6" t="str">
        <f t="shared" si="15"/>
        <v>ExecutionReport</v>
      </c>
      <c r="C64" t="s">
        <v>215</v>
      </c>
      <c r="D64">
        <f>COUNTIF(C$2:C64,C64)</f>
        <v>59</v>
      </c>
      <c r="E64" t="s">
        <v>563</v>
      </c>
    </row>
    <row r="65" spans="1:5">
      <c r="A65">
        <v>21</v>
      </c>
      <c r="B65" s="6" t="str">
        <f t="shared" si="15"/>
        <v>ExecutionReport</v>
      </c>
      <c r="C65" t="s">
        <v>215</v>
      </c>
      <c r="D65">
        <f>COUNTIF(C$2:C65,C65)</f>
        <v>60</v>
      </c>
    </row>
    <row r="66" spans="1:5">
      <c r="A66">
        <v>22</v>
      </c>
      <c r="B66" s="6" t="str">
        <f t="shared" si="15"/>
        <v>ExecutionReport</v>
      </c>
      <c r="C66" t="s">
        <v>215</v>
      </c>
      <c r="D66">
        <f>COUNTIF(C$2:C66,C66)</f>
        <v>61</v>
      </c>
      <c r="E66" t="s">
        <v>564</v>
      </c>
    </row>
    <row r="67" spans="1:5">
      <c r="A67">
        <v>22</v>
      </c>
      <c r="B67" s="6" t="str">
        <f t="shared" si="15"/>
        <v>ExecutionReport</v>
      </c>
      <c r="C67" t="s">
        <v>215</v>
      </c>
      <c r="D67">
        <f>COUNTIF(C$2:C67,C67)</f>
        <v>62</v>
      </c>
    </row>
    <row r="68" spans="1:5">
      <c r="A68">
        <v>22</v>
      </c>
      <c r="B68" s="6" t="str">
        <f t="shared" si="15"/>
        <v>ExecutionReport</v>
      </c>
      <c r="C68" t="s">
        <v>215</v>
      </c>
      <c r="D68">
        <f>COUNTIF(C$2:C68,C68)</f>
        <v>63</v>
      </c>
    </row>
    <row r="69" spans="1:5">
      <c r="A69">
        <v>22</v>
      </c>
      <c r="B69" s="6" t="str">
        <f t="shared" si="15"/>
        <v>ExecutionReport</v>
      </c>
      <c r="C69" t="s">
        <v>215</v>
      </c>
      <c r="D69">
        <f>COUNTIF(C$2:C69,C69)</f>
        <v>64</v>
      </c>
    </row>
    <row r="70" spans="1:5">
      <c r="A70">
        <v>22</v>
      </c>
      <c r="B70" s="6" t="str">
        <f t="shared" si="15"/>
        <v>ExecutionReport</v>
      </c>
      <c r="C70" t="s">
        <v>215</v>
      </c>
      <c r="D70">
        <f>COUNTIF(C$2:C70,C70)</f>
        <v>65</v>
      </c>
    </row>
    <row r="71" spans="1:5">
      <c r="A71">
        <v>22</v>
      </c>
      <c r="B71" s="6" t="str">
        <f t="shared" si="15"/>
        <v>ExecutionReport</v>
      </c>
      <c r="C71" t="s">
        <v>215</v>
      </c>
      <c r="D71">
        <f>COUNTIF(C$2:C71,C71)</f>
        <v>66</v>
      </c>
    </row>
    <row r="72" spans="1:5">
      <c r="A72">
        <v>22</v>
      </c>
      <c r="B72" s="6" t="str">
        <f t="shared" si="15"/>
        <v>ExecutionReport</v>
      </c>
      <c r="C72" t="s">
        <v>215</v>
      </c>
      <c r="D72">
        <f>COUNTIF(C$2:C72,C72)</f>
        <v>67</v>
      </c>
    </row>
    <row r="73" spans="1:5">
      <c r="A73">
        <v>23</v>
      </c>
      <c r="B73" s="6" t="str">
        <f t="shared" si="15"/>
        <v>ExecutionReport</v>
      </c>
      <c r="C73" t="s">
        <v>215</v>
      </c>
      <c r="D73">
        <f>COUNTIF(C$2:C73,C73)</f>
        <v>68</v>
      </c>
      <c r="E73" t="s">
        <v>565</v>
      </c>
    </row>
    <row r="74" spans="1:5">
      <c r="A74">
        <v>23</v>
      </c>
      <c r="B74" s="6" t="str">
        <f t="shared" si="15"/>
        <v>ExecutionReport</v>
      </c>
      <c r="C74" t="s">
        <v>215</v>
      </c>
      <c r="D74">
        <f>COUNTIF(C$2:C74,C74)</f>
        <v>69</v>
      </c>
    </row>
    <row r="75" spans="1:5">
      <c r="A75">
        <v>23</v>
      </c>
      <c r="B75" s="6" t="str">
        <f t="shared" si="15"/>
        <v>ExecutionReport</v>
      </c>
      <c r="C75" t="s">
        <v>215</v>
      </c>
      <c r="D75">
        <f>COUNTIF(C$2:C75,C75)</f>
        <v>70</v>
      </c>
    </row>
    <row r="76" spans="1:5">
      <c r="A76">
        <v>23</v>
      </c>
      <c r="B76" s="6" t="str">
        <f t="shared" si="15"/>
        <v>ExecutionReport</v>
      </c>
      <c r="C76" t="s">
        <v>215</v>
      </c>
      <c r="D76">
        <f>COUNTIF(C$2:C76,C76)</f>
        <v>71</v>
      </c>
    </row>
    <row r="77" spans="1:5">
      <c r="A77">
        <v>23</v>
      </c>
      <c r="B77" s="6" t="str">
        <f t="shared" si="15"/>
        <v>ExecutionReport</v>
      </c>
      <c r="C77" t="s">
        <v>215</v>
      </c>
      <c r="D77">
        <f>COUNTIF(C$2:C77,C77)</f>
        <v>72</v>
      </c>
    </row>
    <row r="78" spans="1:5">
      <c r="A78">
        <v>24</v>
      </c>
      <c r="B78" s="6" t="str">
        <f t="shared" si="15"/>
        <v>ExecutionReport</v>
      </c>
      <c r="C78" t="s">
        <v>215</v>
      </c>
      <c r="D78">
        <f>COUNTIF(C$2:C78,C78)</f>
        <v>73</v>
      </c>
      <c r="E78" t="s">
        <v>566</v>
      </c>
    </row>
    <row r="79" spans="1:5">
      <c r="A79">
        <v>24</v>
      </c>
      <c r="B79" s="6" t="str">
        <f t="shared" si="15"/>
        <v>ExecutionReport</v>
      </c>
      <c r="C79" t="s">
        <v>215</v>
      </c>
      <c r="D79">
        <f>COUNTIF(C$2:C79,C79)</f>
        <v>74</v>
      </c>
    </row>
    <row r="80" spans="1:5">
      <c r="A80">
        <v>24</v>
      </c>
      <c r="B80" s="6" t="str">
        <f t="shared" si="15"/>
        <v>ExecutionReport</v>
      </c>
      <c r="C80" t="s">
        <v>215</v>
      </c>
      <c r="D80">
        <f>COUNTIF(C$2:C80,C80)</f>
        <v>75</v>
      </c>
    </row>
    <row r="81" spans="1:5">
      <c r="A81">
        <v>24</v>
      </c>
      <c r="B81" s="6" t="str">
        <f t="shared" si="15"/>
        <v>ExecutionReport</v>
      </c>
      <c r="C81" t="s">
        <v>215</v>
      </c>
      <c r="D81">
        <f>COUNTIF(C$2:C81,C81)</f>
        <v>76</v>
      </c>
    </row>
    <row r="82" spans="1:5">
      <c r="A82">
        <v>24</v>
      </c>
      <c r="B82" s="6" t="str">
        <f t="shared" si="15"/>
        <v>ExecutionReport</v>
      </c>
      <c r="C82" t="s">
        <v>215</v>
      </c>
      <c r="D82">
        <f>COUNTIF(C$2:C82,C82)</f>
        <v>77</v>
      </c>
    </row>
    <row r="83" spans="1:5">
      <c r="A83">
        <v>24</v>
      </c>
      <c r="B83" s="6" t="str">
        <f t="shared" si="15"/>
        <v>ExecutionReport</v>
      </c>
      <c r="C83" t="s">
        <v>215</v>
      </c>
      <c r="D83">
        <f>COUNTIF(C$2:C83,C83)</f>
        <v>78</v>
      </c>
    </row>
    <row r="84" spans="1:5">
      <c r="A84">
        <v>24</v>
      </c>
      <c r="B84" s="6" t="str">
        <f t="shared" si="15"/>
        <v>ExecutionReport</v>
      </c>
      <c r="C84" t="s">
        <v>215</v>
      </c>
      <c r="D84">
        <f>COUNTIF(C$2:C84,C84)</f>
        <v>79</v>
      </c>
    </row>
    <row r="85" spans="1:5">
      <c r="A85">
        <v>25</v>
      </c>
      <c r="B85" s="6" t="str">
        <f t="shared" si="15"/>
        <v>ExecutionReport</v>
      </c>
      <c r="C85" t="s">
        <v>215</v>
      </c>
      <c r="D85">
        <f>COUNTIF(C$2:C85,C85)</f>
        <v>80</v>
      </c>
      <c r="E85" t="s">
        <v>567</v>
      </c>
    </row>
    <row r="86" spans="1:5">
      <c r="A86">
        <v>25</v>
      </c>
      <c r="B86" s="6" t="str">
        <f t="shared" si="15"/>
        <v>ExecutionReport</v>
      </c>
      <c r="C86" t="s">
        <v>215</v>
      </c>
      <c r="D86">
        <f>COUNTIF(C$2:C86,C86)</f>
        <v>81</v>
      </c>
    </row>
    <row r="87" spans="1:5">
      <c r="A87">
        <v>25</v>
      </c>
      <c r="B87" s="6" t="str">
        <f t="shared" si="15"/>
        <v>ExecutionReport</v>
      </c>
      <c r="C87" t="s">
        <v>215</v>
      </c>
      <c r="D87">
        <f>COUNTIF(C$2:C87,C87)</f>
        <v>82</v>
      </c>
    </row>
    <row r="88" spans="1:5">
      <c r="A88">
        <v>26</v>
      </c>
      <c r="B88" s="6" t="str">
        <f t="shared" si="15"/>
        <v>ExecutionReport</v>
      </c>
      <c r="C88" t="s">
        <v>215</v>
      </c>
      <c r="D88">
        <f>COUNTIF(C$2:C88,C88)</f>
        <v>83</v>
      </c>
      <c r="E88" t="s">
        <v>567</v>
      </c>
    </row>
    <row r="89" spans="1:5">
      <c r="A89">
        <v>26</v>
      </c>
      <c r="B89" s="6" t="str">
        <f t="shared" si="15"/>
        <v>ExecutionReport</v>
      </c>
      <c r="C89" t="s">
        <v>215</v>
      </c>
      <c r="D89">
        <f>COUNTIF(C$2:C89,C89)</f>
        <v>84</v>
      </c>
    </row>
    <row r="90" spans="1:5">
      <c r="A90">
        <v>26</v>
      </c>
      <c r="B90" s="6" t="str">
        <f t="shared" si="15"/>
        <v>ExecutionReport</v>
      </c>
      <c r="C90" t="s">
        <v>215</v>
      </c>
      <c r="D90">
        <f>COUNTIF(C$2:C90,C90)</f>
        <v>85</v>
      </c>
    </row>
    <row r="91" spans="1:5">
      <c r="A91">
        <v>27</v>
      </c>
      <c r="B91" s="6" t="str">
        <f t="shared" si="15"/>
        <v>ExecutionReport</v>
      </c>
      <c r="C91" t="s">
        <v>215</v>
      </c>
      <c r="D91">
        <f>COUNTIF(C$2:C91,C91)</f>
        <v>86</v>
      </c>
      <c r="E91" t="s">
        <v>586</v>
      </c>
    </row>
    <row r="92" spans="1:5">
      <c r="A92">
        <v>27</v>
      </c>
      <c r="B92" s="6" t="str">
        <f t="shared" si="15"/>
        <v>ExecutionReport</v>
      </c>
      <c r="C92" t="s">
        <v>215</v>
      </c>
      <c r="D92">
        <f>COUNTIF(C$2:C92,C92)</f>
        <v>87</v>
      </c>
    </row>
    <row r="93" spans="1:5">
      <c r="A93">
        <v>27</v>
      </c>
      <c r="B93" s="6" t="str">
        <f t="shared" si="15"/>
        <v>ExecutionReport</v>
      </c>
      <c r="C93" t="s">
        <v>215</v>
      </c>
      <c r="D93">
        <f>COUNTIF(C$2:C93,C93)</f>
        <v>88</v>
      </c>
      <c r="E93" t="s">
        <v>587</v>
      </c>
    </row>
    <row r="94" spans="1:5">
      <c r="A94">
        <v>27</v>
      </c>
      <c r="B94" s="6" t="str">
        <f t="shared" si="15"/>
        <v>ExecutionReport</v>
      </c>
      <c r="C94" t="s">
        <v>215</v>
      </c>
      <c r="D94">
        <f>COUNTIF(C$2:C94,C94)</f>
        <v>89</v>
      </c>
    </row>
    <row r="95" spans="1:5">
      <c r="A95">
        <v>27</v>
      </c>
      <c r="B95" s="6" t="str">
        <f t="shared" si="15"/>
        <v>ExecutionReport</v>
      </c>
      <c r="C95" t="s">
        <v>215</v>
      </c>
      <c r="D95">
        <f>COUNTIF(C$2:C95,C95)</f>
        <v>90</v>
      </c>
    </row>
    <row r="96" spans="1:5">
      <c r="A96">
        <v>27</v>
      </c>
      <c r="B96" s="6" t="str">
        <f t="shared" si="15"/>
        <v>ExecutionReport</v>
      </c>
      <c r="C96" t="s">
        <v>215</v>
      </c>
      <c r="D96">
        <f>COUNTIF(C$2:C96,C96)</f>
        <v>91</v>
      </c>
    </row>
    <row r="97" spans="1:5">
      <c r="A97">
        <v>27</v>
      </c>
      <c r="B97" s="6" t="str">
        <f t="shared" si="15"/>
        <v>ExecutionReport</v>
      </c>
      <c r="C97" t="s">
        <v>215</v>
      </c>
      <c r="D97">
        <f>COUNTIF(C$2:C97,C97)</f>
        <v>92</v>
      </c>
    </row>
    <row r="98" spans="1:5">
      <c r="A98">
        <v>28</v>
      </c>
      <c r="B98" s="6" t="str">
        <f t="shared" si="15"/>
        <v>ExecutionReport</v>
      </c>
      <c r="C98" t="s">
        <v>215</v>
      </c>
      <c r="D98">
        <f>COUNTIF(C$2:C98,C98)</f>
        <v>93</v>
      </c>
      <c r="E98" t="s">
        <v>595</v>
      </c>
    </row>
    <row r="99" spans="1:5">
      <c r="A99">
        <v>28</v>
      </c>
      <c r="B99" s="6" t="str">
        <f t="shared" si="15"/>
        <v>ExecutionReport</v>
      </c>
      <c r="C99" t="s">
        <v>215</v>
      </c>
      <c r="D99">
        <f>COUNTIF(C$2:C99,C99)</f>
        <v>94</v>
      </c>
    </row>
    <row r="100" spans="1:5">
      <c r="A100">
        <v>29</v>
      </c>
      <c r="B100" s="6" t="str">
        <f t="shared" si="15"/>
        <v>ExecutionReport</v>
      </c>
      <c r="C100" t="s">
        <v>215</v>
      </c>
      <c r="D100">
        <f>COUNTIF(C$2:C100,C100)</f>
        <v>95</v>
      </c>
      <c r="E100" t="s">
        <v>596</v>
      </c>
    </row>
    <row r="101" spans="1:5">
      <c r="A101">
        <v>29</v>
      </c>
      <c r="B101" s="6" t="str">
        <f t="shared" si="15"/>
        <v>ExecutionReport</v>
      </c>
      <c r="C101" t="s">
        <v>215</v>
      </c>
      <c r="D101">
        <f>COUNTIF(C$2:C101,C101)</f>
        <v>96</v>
      </c>
    </row>
    <row r="102" spans="1:5">
      <c r="A102">
        <v>29</v>
      </c>
      <c r="B102" s="6" t="str">
        <f t="shared" si="15"/>
        <v>ExecutionReport</v>
      </c>
      <c r="C102" t="s">
        <v>215</v>
      </c>
      <c r="D102">
        <f>COUNTIF(C$2:C102,C102)</f>
        <v>97</v>
      </c>
    </row>
    <row r="103" spans="1:5">
      <c r="A103">
        <v>29</v>
      </c>
      <c r="B103" s="6" t="str">
        <f t="shared" si="15"/>
        <v>ExecutionReport</v>
      </c>
      <c r="C103" t="s">
        <v>215</v>
      </c>
      <c r="D103">
        <f>COUNTIF(C$2:C103,C103)</f>
        <v>98</v>
      </c>
    </row>
    <row r="104" spans="1:5">
      <c r="A104">
        <v>29</v>
      </c>
      <c r="B104" s="6" t="str">
        <f t="shared" si="15"/>
        <v>ExecutionReport</v>
      </c>
      <c r="C104" t="s">
        <v>215</v>
      </c>
      <c r="D104">
        <f>COUNTIF(C$2:C104,C104)</f>
        <v>99</v>
      </c>
    </row>
    <row r="105" spans="1:5">
      <c r="A105">
        <v>29</v>
      </c>
      <c r="B105" s="6" t="str">
        <f t="shared" si="15"/>
        <v>ExecutionReport</v>
      </c>
      <c r="C105" t="s">
        <v>215</v>
      </c>
      <c r="D105">
        <f>COUNTIF(C$2:C105,C105)</f>
        <v>100</v>
      </c>
    </row>
    <row r="106" spans="1:5">
      <c r="A106">
        <v>29</v>
      </c>
      <c r="B106" s="6" t="str">
        <f t="shared" si="15"/>
        <v>ExecutionReport</v>
      </c>
      <c r="C106" t="s">
        <v>215</v>
      </c>
      <c r="D106">
        <f>COUNTIF(C$2:C106,C106)</f>
        <v>101</v>
      </c>
    </row>
    <row r="107" spans="1:5">
      <c r="A107">
        <v>30</v>
      </c>
      <c r="B107" s="6" t="str">
        <f t="shared" si="15"/>
        <v>ExecutionReport</v>
      </c>
      <c r="C107" t="s">
        <v>215</v>
      </c>
      <c r="D107">
        <f>COUNTIF(C$2:C107,C107)</f>
        <v>102</v>
      </c>
    </row>
    <row r="108" spans="1:5">
      <c r="A108">
        <v>30</v>
      </c>
      <c r="B108" s="6" t="str">
        <f t="shared" si="15"/>
        <v>ExecutionReport</v>
      </c>
      <c r="C108" t="s">
        <v>215</v>
      </c>
      <c r="D108">
        <f>COUNTIF(C$2:C108,C108)</f>
        <v>103</v>
      </c>
    </row>
    <row r="109" spans="1:5">
      <c r="A109">
        <v>30</v>
      </c>
      <c r="B109" s="6" t="str">
        <f t="shared" si="15"/>
        <v>ExecutionReport</v>
      </c>
      <c r="C109" t="s">
        <v>215</v>
      </c>
      <c r="D109">
        <f>COUNTIF(C$2:C109,C109)</f>
        <v>104</v>
      </c>
    </row>
    <row r="110" spans="1:5">
      <c r="A110">
        <v>31</v>
      </c>
      <c r="B110" s="6" t="str">
        <f t="shared" si="15"/>
        <v>ExecutionReport</v>
      </c>
      <c r="C110" t="s">
        <v>215</v>
      </c>
      <c r="D110">
        <f>COUNTIF(C$2:C110,C110)</f>
        <v>105</v>
      </c>
    </row>
    <row r="111" spans="1:5">
      <c r="A111">
        <v>31</v>
      </c>
      <c r="B111" s="6" t="str">
        <f t="shared" si="15"/>
        <v>ExecutionReport</v>
      </c>
      <c r="C111" t="s">
        <v>215</v>
      </c>
      <c r="D111">
        <f>COUNTIF(C$2:C111,C111)</f>
        <v>106</v>
      </c>
    </row>
    <row r="112" spans="1:5">
      <c r="A112">
        <v>31</v>
      </c>
      <c r="B112" s="6" t="str">
        <f t="shared" si="15"/>
        <v>ExecutionReport</v>
      </c>
      <c r="C112" t="s">
        <v>215</v>
      </c>
      <c r="D112">
        <f>COUNTIF(C$2:C112,C112)</f>
        <v>107</v>
      </c>
    </row>
    <row r="113" spans="1:4">
      <c r="A113">
        <v>32</v>
      </c>
      <c r="B113" s="6" t="str">
        <f t="shared" si="15"/>
        <v>ExecutionReport</v>
      </c>
      <c r="C113" t="s">
        <v>215</v>
      </c>
      <c r="D113">
        <f>COUNTIF(C$2:C113,C113)</f>
        <v>108</v>
      </c>
    </row>
    <row r="114" spans="1:4">
      <c r="A114">
        <v>32</v>
      </c>
      <c r="B114" s="6" t="str">
        <f t="shared" si="15"/>
        <v>ExecutionReport</v>
      </c>
      <c r="C114" t="s">
        <v>215</v>
      </c>
      <c r="D114">
        <f>COUNTIF(C$2:C114,C114)</f>
        <v>109</v>
      </c>
    </row>
    <row r="115" spans="1:4">
      <c r="A115">
        <v>33</v>
      </c>
      <c r="B115" s="6" t="str">
        <f t="shared" si="15"/>
        <v>ExecutionReport</v>
      </c>
      <c r="C115" t="s">
        <v>215</v>
      </c>
      <c r="D115">
        <f>COUNTIF(C$2:C115,C115)</f>
        <v>110</v>
      </c>
    </row>
    <row r="116" spans="1:4">
      <c r="A116">
        <v>33</v>
      </c>
      <c r="B116" s="6" t="str">
        <f t="shared" si="15"/>
        <v>ExecutionReport</v>
      </c>
      <c r="C116" t="s">
        <v>215</v>
      </c>
      <c r="D116">
        <f>COUNTIF(C$2:C116,C116)</f>
        <v>111</v>
      </c>
    </row>
    <row r="117" spans="1:4">
      <c r="A117">
        <v>33</v>
      </c>
      <c r="B117" s="6" t="str">
        <f t="shared" si="15"/>
        <v>ExecutionReport</v>
      </c>
      <c r="C117" t="s">
        <v>215</v>
      </c>
      <c r="D117">
        <f>COUNTIF(C$2:C117,C117)</f>
        <v>112</v>
      </c>
    </row>
    <row r="118" spans="1:4">
      <c r="A118">
        <v>33</v>
      </c>
      <c r="B118" s="6" t="str">
        <f t="shared" si="15"/>
        <v>ExecutionReport</v>
      </c>
      <c r="C118" t="s">
        <v>215</v>
      </c>
      <c r="D118">
        <f>COUNTIF(C$2:C118,C118)</f>
        <v>113</v>
      </c>
    </row>
    <row r="119" spans="1:4">
      <c r="A119">
        <v>33</v>
      </c>
      <c r="B119" s="6" t="str">
        <f t="shared" si="15"/>
        <v>ExecutionReport</v>
      </c>
      <c r="C119" t="s">
        <v>215</v>
      </c>
      <c r="D119">
        <f>COUNTIF(C$2:C119,C119)</f>
        <v>114</v>
      </c>
    </row>
    <row r="120" spans="1:4">
      <c r="A120">
        <v>33</v>
      </c>
      <c r="B120" s="6" t="str">
        <f t="shared" si="15"/>
        <v>ExecutionReport</v>
      </c>
      <c r="C120" t="s">
        <v>215</v>
      </c>
      <c r="D120">
        <f>COUNTIF(C$2:C120,C120)</f>
        <v>115</v>
      </c>
    </row>
    <row r="121" spans="1:4">
      <c r="A121">
        <v>33</v>
      </c>
      <c r="B121" s="6" t="str">
        <f t="shared" si="15"/>
        <v>ExecutionReport</v>
      </c>
      <c r="C121" t="s">
        <v>215</v>
      </c>
      <c r="D121">
        <f>COUNTIF(C$2:C121,C121)</f>
        <v>116</v>
      </c>
    </row>
    <row r="122" spans="1:4">
      <c r="A122">
        <v>33</v>
      </c>
      <c r="B122" s="6" t="str">
        <f t="shared" si="15"/>
        <v>ExecutionReport</v>
      </c>
      <c r="C122" t="s">
        <v>215</v>
      </c>
      <c r="D122">
        <f>COUNTIF(C$2:C122,C122)</f>
        <v>117</v>
      </c>
    </row>
    <row r="123" spans="1:4">
      <c r="A123">
        <v>33</v>
      </c>
      <c r="B123" s="6" t="str">
        <f t="shared" si="15"/>
        <v>ExecutionReport</v>
      </c>
      <c r="C123" t="s">
        <v>215</v>
      </c>
      <c r="D123">
        <f>COUNTIF(C$2:C123,C123)</f>
        <v>118</v>
      </c>
    </row>
    <row r="124" spans="1:4">
      <c r="A124">
        <v>34</v>
      </c>
      <c r="B124" s="6" t="str">
        <f t="shared" si="15"/>
        <v>ExecutionReport</v>
      </c>
      <c r="C124" t="s">
        <v>215</v>
      </c>
      <c r="D124">
        <f>COUNTIF(C$2:C124,C124)</f>
        <v>119</v>
      </c>
    </row>
    <row r="125" spans="1:4">
      <c r="A125">
        <v>34</v>
      </c>
      <c r="B125" s="6" t="str">
        <f t="shared" si="15"/>
        <v>ExecutionReport</v>
      </c>
      <c r="C125" t="s">
        <v>215</v>
      </c>
      <c r="D125">
        <f>COUNTIF(C$2:C125,C125)</f>
        <v>120</v>
      </c>
    </row>
    <row r="126" spans="1:4">
      <c r="A126">
        <v>34</v>
      </c>
      <c r="B126" s="6" t="str">
        <f t="shared" ref="B126:B153" si="16">HYPERLINK("#"&amp;C126&amp;"!A"&amp;(D126+3),C126)</f>
        <v>ExecutionReport</v>
      </c>
      <c r="C126" t="s">
        <v>215</v>
      </c>
      <c r="D126">
        <f>COUNTIF(C$2:C126,C126)</f>
        <v>121</v>
      </c>
    </row>
    <row r="127" spans="1:4">
      <c r="A127">
        <v>35</v>
      </c>
      <c r="B127" s="6" t="str">
        <f t="shared" si="16"/>
        <v>ExecutionReport</v>
      </c>
      <c r="C127" t="s">
        <v>215</v>
      </c>
      <c r="D127">
        <f>COUNTIF(C$2:C127,C127)</f>
        <v>122</v>
      </c>
    </row>
    <row r="128" spans="1:4">
      <c r="A128">
        <v>35</v>
      </c>
      <c r="B128" s="6" t="str">
        <f t="shared" si="16"/>
        <v>ExecutionReport</v>
      </c>
      <c r="C128" t="s">
        <v>215</v>
      </c>
      <c r="D128">
        <f>COUNTIF(C$2:C128,C128)</f>
        <v>123</v>
      </c>
    </row>
    <row r="129" spans="1:5">
      <c r="A129">
        <v>35</v>
      </c>
      <c r="B129" s="6" t="str">
        <f t="shared" si="16"/>
        <v>ExecutionReport</v>
      </c>
      <c r="C129" t="s">
        <v>215</v>
      </c>
      <c r="D129">
        <f>COUNTIF(C$2:C129,C129)</f>
        <v>124</v>
      </c>
    </row>
    <row r="130" spans="1:5">
      <c r="A130">
        <v>36</v>
      </c>
      <c r="B130" s="6" t="str">
        <f t="shared" si="16"/>
        <v>ExecutionReport</v>
      </c>
      <c r="C130" t="s">
        <v>215</v>
      </c>
      <c r="D130">
        <f>COUNTIF(C$2:C130,C130)</f>
        <v>125</v>
      </c>
    </row>
    <row r="131" spans="1:5">
      <c r="A131">
        <v>36</v>
      </c>
      <c r="B131" s="6" t="str">
        <f t="shared" si="16"/>
        <v>ExecutionReport</v>
      </c>
      <c r="C131" t="s">
        <v>215</v>
      </c>
      <c r="D131">
        <f>COUNTIF(C$2:C131,C131)</f>
        <v>126</v>
      </c>
    </row>
    <row r="132" spans="1:5">
      <c r="A132">
        <v>36</v>
      </c>
      <c r="B132" s="6" t="str">
        <f t="shared" si="16"/>
        <v>ExecutionReport</v>
      </c>
      <c r="C132" t="s">
        <v>215</v>
      </c>
      <c r="D132">
        <f>COUNTIF(C$2:C132,C132)</f>
        <v>127</v>
      </c>
    </row>
    <row r="133" spans="1:5">
      <c r="A133">
        <v>36</v>
      </c>
      <c r="B133" s="6" t="str">
        <f t="shared" si="16"/>
        <v>ExecutionReport</v>
      </c>
      <c r="C133" t="s">
        <v>215</v>
      </c>
      <c r="D133">
        <f>COUNTIF(C$2:C133,C133)</f>
        <v>128</v>
      </c>
    </row>
    <row r="134" spans="1:5">
      <c r="A134">
        <v>36</v>
      </c>
      <c r="B134" s="6" t="str">
        <f t="shared" si="16"/>
        <v>ExecutionReport</v>
      </c>
      <c r="C134" t="s">
        <v>215</v>
      </c>
      <c r="D134">
        <f>COUNTIF(C$2:C134,C134)</f>
        <v>129</v>
      </c>
    </row>
    <row r="135" spans="1:5">
      <c r="A135">
        <v>36</v>
      </c>
      <c r="B135" s="6" t="str">
        <f t="shared" si="16"/>
        <v>ExecutionReport</v>
      </c>
      <c r="C135" t="s">
        <v>215</v>
      </c>
      <c r="D135">
        <f>COUNTIF(C$2:C135,C135)</f>
        <v>130</v>
      </c>
      <c r="E135" t="s">
        <v>706</v>
      </c>
    </row>
    <row r="136" spans="1:5">
      <c r="A136">
        <v>36</v>
      </c>
      <c r="B136" s="6" t="str">
        <f t="shared" si="16"/>
        <v>ExecutionReport</v>
      </c>
      <c r="C136" t="s">
        <v>215</v>
      </c>
      <c r="D136">
        <f>COUNTIF(C$2:C136,C136)</f>
        <v>131</v>
      </c>
    </row>
    <row r="137" spans="1:5">
      <c r="A137">
        <v>37</v>
      </c>
      <c r="B137" s="6" t="str">
        <f t="shared" si="16"/>
        <v>ExecutionReport</v>
      </c>
      <c r="C137" t="s">
        <v>215</v>
      </c>
      <c r="D137">
        <f>COUNTIF(C$2:C137,C137)</f>
        <v>132</v>
      </c>
      <c r="E137" t="s">
        <v>707</v>
      </c>
    </row>
    <row r="138" spans="1:5">
      <c r="A138">
        <v>37</v>
      </c>
      <c r="B138" s="6" t="str">
        <f t="shared" si="16"/>
        <v>ExecutionReport</v>
      </c>
      <c r="C138" t="s">
        <v>215</v>
      </c>
      <c r="D138">
        <f>COUNTIF(C$2:C138,C138)</f>
        <v>133</v>
      </c>
    </row>
    <row r="139" spans="1:5">
      <c r="A139">
        <v>37</v>
      </c>
      <c r="B139" s="6" t="str">
        <f t="shared" si="16"/>
        <v>ExecutionReport</v>
      </c>
      <c r="C139" t="s">
        <v>215</v>
      </c>
      <c r="D139">
        <f>COUNTIF(C$2:C139,C139)</f>
        <v>134</v>
      </c>
    </row>
    <row r="140" spans="1:5">
      <c r="A140">
        <v>37</v>
      </c>
      <c r="B140" s="6" t="str">
        <f t="shared" si="16"/>
        <v>ExecutionReport</v>
      </c>
      <c r="C140" t="s">
        <v>215</v>
      </c>
      <c r="D140">
        <f>COUNTIF(C$2:C140,C140)</f>
        <v>135</v>
      </c>
    </row>
    <row r="141" spans="1:5">
      <c r="A141">
        <v>37</v>
      </c>
      <c r="B141" s="6" t="str">
        <f t="shared" si="16"/>
        <v>ExecutionReport</v>
      </c>
      <c r="C141" t="s">
        <v>215</v>
      </c>
      <c r="D141">
        <f>COUNTIF(C$2:C141,C141)</f>
        <v>136</v>
      </c>
    </row>
    <row r="142" spans="1:5">
      <c r="A142">
        <v>38</v>
      </c>
      <c r="B142" s="6" t="str">
        <f t="shared" si="16"/>
        <v>ExecutionReport</v>
      </c>
      <c r="C142" t="s">
        <v>215</v>
      </c>
      <c r="D142">
        <f>COUNTIF(C$2:C142,C142)</f>
        <v>137</v>
      </c>
      <c r="E142" t="s">
        <v>708</v>
      </c>
    </row>
    <row r="143" spans="1:5">
      <c r="A143">
        <v>38</v>
      </c>
      <c r="B143" s="6" t="str">
        <f t="shared" si="16"/>
        <v>ExecutionReport</v>
      </c>
      <c r="C143" t="s">
        <v>215</v>
      </c>
      <c r="D143">
        <f>COUNTIF(C$2:C143,C143)</f>
        <v>138</v>
      </c>
    </row>
    <row r="144" spans="1:5">
      <c r="A144">
        <v>38</v>
      </c>
      <c r="B144" s="6" t="str">
        <f t="shared" si="16"/>
        <v>ExecutionReport</v>
      </c>
      <c r="C144" t="s">
        <v>215</v>
      </c>
      <c r="D144">
        <f>COUNTIF(C$2:C144,C144)</f>
        <v>139</v>
      </c>
    </row>
    <row r="145" spans="1:4">
      <c r="A145">
        <v>38</v>
      </c>
      <c r="B145" s="6" t="str">
        <f t="shared" si="16"/>
        <v>ExecutionReport</v>
      </c>
      <c r="C145" t="s">
        <v>215</v>
      </c>
      <c r="D145">
        <f>COUNTIF(C$2:C145,C145)</f>
        <v>140</v>
      </c>
    </row>
    <row r="146" spans="1:4">
      <c r="A146">
        <v>38</v>
      </c>
      <c r="B146" s="6" t="str">
        <f t="shared" si="16"/>
        <v>ExecutionReport</v>
      </c>
      <c r="C146" t="s">
        <v>215</v>
      </c>
      <c r="D146">
        <f>COUNTIF(C$2:C146,C146)</f>
        <v>141</v>
      </c>
    </row>
    <row r="147" spans="1:4">
      <c r="A147">
        <v>38</v>
      </c>
      <c r="B147" s="6" t="str">
        <f t="shared" si="16"/>
        <v>ExecutionReport</v>
      </c>
      <c r="C147" t="s">
        <v>215</v>
      </c>
      <c r="D147">
        <f>COUNTIF(C$2:C147,C147)</f>
        <v>142</v>
      </c>
    </row>
    <row r="148" spans="1:4">
      <c r="A148">
        <v>38</v>
      </c>
      <c r="B148" s="6" t="str">
        <f t="shared" si="16"/>
        <v>ExecutionReport</v>
      </c>
      <c r="C148" t="s">
        <v>215</v>
      </c>
      <c r="D148">
        <f>COUNTIF(C$2:C148,C148)</f>
        <v>143</v>
      </c>
    </row>
    <row r="149" spans="1:4">
      <c r="A149">
        <v>39</v>
      </c>
      <c r="B149" s="6" t="str">
        <f t="shared" si="16"/>
        <v>ExecutionReport</v>
      </c>
      <c r="C149" t="s">
        <v>215</v>
      </c>
      <c r="D149">
        <f>COUNTIF(C$2:C149,C149)</f>
        <v>144</v>
      </c>
    </row>
    <row r="150" spans="1:4">
      <c r="A150">
        <v>39</v>
      </c>
      <c r="B150" s="6" t="str">
        <f t="shared" si="16"/>
        <v>ExecutionReport</v>
      </c>
      <c r="C150" t="s">
        <v>215</v>
      </c>
      <c r="D150">
        <f>COUNTIF(C$2:C150,C150)</f>
        <v>145</v>
      </c>
    </row>
    <row r="151" spans="1:4">
      <c r="A151">
        <v>39</v>
      </c>
      <c r="B151" s="6" t="str">
        <f t="shared" si="16"/>
        <v>ExecutionReport</v>
      </c>
      <c r="C151" t="s">
        <v>215</v>
      </c>
      <c r="D151">
        <f>COUNTIF(C$2:C151,C151)</f>
        <v>146</v>
      </c>
    </row>
    <row r="152" spans="1:4">
      <c r="A152">
        <v>39</v>
      </c>
      <c r="B152" s="6" t="str">
        <f t="shared" si="16"/>
        <v>ExecutionReport</v>
      </c>
      <c r="C152" t="s">
        <v>215</v>
      </c>
      <c r="D152">
        <f>COUNTIF(C$2:C152,C152)</f>
        <v>147</v>
      </c>
    </row>
    <row r="153" spans="1:4">
      <c r="A153">
        <v>39</v>
      </c>
      <c r="B153" s="6" t="str">
        <f t="shared" si="16"/>
        <v>ExecutionReport</v>
      </c>
      <c r="C153" t="s">
        <v>215</v>
      </c>
      <c r="D153">
        <f>COUNTIF(C$2:C153,C153)</f>
        <v>148</v>
      </c>
    </row>
  </sheetData>
  <phoneticPr fontId="2" type="noConversion"/>
  <hyperlinks>
    <hyperlink ref="G4" location="SecurityDefinition!A1" display="SecurityDefinition!A1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5" sqref="B15"/>
    </sheetView>
  </sheetViews>
  <sheetFormatPr defaultRowHeight="14.25"/>
  <sheetData>
    <row r="1" spans="1:5">
      <c r="A1" t="s">
        <v>67</v>
      </c>
      <c r="B1" s="5" t="s">
        <v>65</v>
      </c>
      <c r="C1" s="5" t="s">
        <v>216</v>
      </c>
      <c r="D1" s="5" t="s">
        <v>66</v>
      </c>
    </row>
    <row r="2" spans="1:5">
      <c r="A2">
        <v>28</v>
      </c>
      <c r="B2" s="6" t="str">
        <f t="shared" ref="B2:B13" si="0">HYPERLINK("#"&amp;C2&amp;"!A"&amp;(D2+3),C2)</f>
        <v>NewOrderSingle</v>
      </c>
      <c r="C2" t="s">
        <v>217</v>
      </c>
      <c r="D2">
        <v>11</v>
      </c>
      <c r="E2">
        <v>1</v>
      </c>
    </row>
    <row r="3" spans="1:5">
      <c r="A3">
        <v>29</v>
      </c>
      <c r="B3" s="6" t="str">
        <f t="shared" si="0"/>
        <v>OrderCancelReplaceRequest</v>
      </c>
      <c r="C3" t="s">
        <v>218</v>
      </c>
      <c r="D3">
        <v>15</v>
      </c>
      <c r="E3">
        <v>2</v>
      </c>
    </row>
    <row r="4" spans="1:5">
      <c r="A4">
        <v>30</v>
      </c>
      <c r="B4" s="6" t="str">
        <f t="shared" si="0"/>
        <v>OrderCancelRequest</v>
      </c>
      <c r="C4" t="s">
        <v>97</v>
      </c>
      <c r="D4">
        <v>4</v>
      </c>
      <c r="E4">
        <v>3</v>
      </c>
    </row>
    <row r="5" spans="1:5">
      <c r="A5">
        <v>31</v>
      </c>
      <c r="B5" s="6" t="str">
        <f t="shared" si="0"/>
        <v>OrderCancelRequest</v>
      </c>
      <c r="C5" t="s">
        <v>97</v>
      </c>
      <c r="D5">
        <v>5</v>
      </c>
      <c r="E5">
        <v>4</v>
      </c>
    </row>
    <row r="6" spans="1:5">
      <c r="A6">
        <v>32</v>
      </c>
      <c r="B6" s="6" t="str">
        <f t="shared" si="0"/>
        <v>NewOrderSingle</v>
      </c>
      <c r="C6" t="s">
        <v>217</v>
      </c>
      <c r="D6">
        <v>12</v>
      </c>
      <c r="E6">
        <v>5</v>
      </c>
    </row>
    <row r="7" spans="1:5">
      <c r="A7">
        <v>33</v>
      </c>
      <c r="B7" s="6" t="str">
        <f t="shared" si="0"/>
        <v>OrderCancelReplaceRequest</v>
      </c>
      <c r="C7" t="s">
        <v>218</v>
      </c>
      <c r="D7">
        <v>16</v>
      </c>
      <c r="E7">
        <v>6</v>
      </c>
    </row>
    <row r="8" spans="1:5">
      <c r="A8">
        <v>34</v>
      </c>
      <c r="B8" s="6" t="str">
        <f t="shared" si="0"/>
        <v>OrderCancelRequest</v>
      </c>
      <c r="C8" t="s">
        <v>97</v>
      </c>
      <c r="D8">
        <v>6</v>
      </c>
      <c r="E8">
        <v>7</v>
      </c>
    </row>
    <row r="9" spans="1:5">
      <c r="A9">
        <v>35</v>
      </c>
      <c r="B9" s="6" t="str">
        <f t="shared" si="0"/>
        <v>OrderCancelRequest</v>
      </c>
      <c r="C9" t="s">
        <v>97</v>
      </c>
      <c r="D9">
        <v>7</v>
      </c>
      <c r="E9">
        <v>8</v>
      </c>
    </row>
    <row r="10" spans="1:5">
      <c r="A10">
        <v>36</v>
      </c>
      <c r="B10" s="6" t="str">
        <f t="shared" si="0"/>
        <v>NewOrderSingle</v>
      </c>
      <c r="C10" t="s">
        <v>217</v>
      </c>
      <c r="D10">
        <v>13</v>
      </c>
      <c r="E10">
        <v>9</v>
      </c>
    </row>
    <row r="11" spans="1:5">
      <c r="A11">
        <v>37</v>
      </c>
      <c r="B11" s="6" t="str">
        <f t="shared" si="0"/>
        <v>OrderCancelReplaceRequest</v>
      </c>
      <c r="C11" t="s">
        <v>218</v>
      </c>
      <c r="D11">
        <v>17</v>
      </c>
      <c r="E11">
        <v>10</v>
      </c>
    </row>
    <row r="12" spans="1:5">
      <c r="A12">
        <v>38</v>
      </c>
      <c r="B12" s="6" t="str">
        <f t="shared" si="0"/>
        <v>NewOrderSingle</v>
      </c>
      <c r="C12" t="s">
        <v>217</v>
      </c>
      <c r="D12">
        <v>14</v>
      </c>
      <c r="E12">
        <v>11</v>
      </c>
    </row>
    <row r="13" spans="1:5">
      <c r="A13">
        <v>39</v>
      </c>
      <c r="B13" s="6" t="str">
        <f t="shared" si="0"/>
        <v>OrderCancelReplaceRequest</v>
      </c>
      <c r="C13" t="s">
        <v>218</v>
      </c>
      <c r="D13">
        <v>18</v>
      </c>
      <c r="E13">
        <v>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34" workbookViewId="0">
      <selection activeCell="B42" sqref="B42"/>
    </sheetView>
  </sheetViews>
  <sheetFormatPr defaultRowHeight="14.25"/>
  <cols>
    <col min="2" max="2" width="17" customWidth="1"/>
    <col min="3" max="3" width="17.375" customWidth="1"/>
    <col min="4" max="4" width="12.75" customWidth="1"/>
  </cols>
  <sheetData>
    <row r="1" spans="1:4">
      <c r="A1" t="s">
        <v>67</v>
      </c>
      <c r="B1" s="5" t="s">
        <v>65</v>
      </c>
      <c r="C1" s="5" t="s">
        <v>216</v>
      </c>
      <c r="D1" s="5" t="s">
        <v>66</v>
      </c>
    </row>
    <row r="2" spans="1:4">
      <c r="A2">
        <v>0</v>
      </c>
      <c r="B2" s="6" t="str">
        <f>HYPERLINK("#"&amp;C2&amp;"!A"&amp;(D2+3),C2)</f>
        <v>OnRspUserLogin</v>
      </c>
      <c r="C2" t="s">
        <v>214</v>
      </c>
      <c r="D2">
        <f>COUNTIF(C$2:C2,C2)</f>
        <v>1</v>
      </c>
    </row>
    <row r="3" spans="1:4">
      <c r="A3">
        <v>28</v>
      </c>
      <c r="B3" s="6" t="str">
        <f t="shared" ref="B3:B32" si="0">HYPERLINK("#"&amp;C3&amp;"!A"&amp;(D3+3),C3)</f>
        <v>ExecutionReport</v>
      </c>
      <c r="C3" t="s">
        <v>215</v>
      </c>
      <c r="D3">
        <v>93</v>
      </c>
    </row>
    <row r="4" spans="1:4">
      <c r="A4">
        <v>28</v>
      </c>
      <c r="B4" s="6" t="str">
        <f t="shared" si="0"/>
        <v>ExecutionReport</v>
      </c>
      <c r="C4" t="s">
        <v>215</v>
      </c>
      <c r="D4">
        <v>94</v>
      </c>
    </row>
    <row r="5" spans="1:4">
      <c r="A5">
        <v>29</v>
      </c>
      <c r="B5" s="6" t="str">
        <f t="shared" si="0"/>
        <v>ExecutionReport</v>
      </c>
      <c r="C5" t="s">
        <v>215</v>
      </c>
      <c r="D5">
        <v>95</v>
      </c>
    </row>
    <row r="6" spans="1:4">
      <c r="A6">
        <v>29</v>
      </c>
      <c r="B6" s="6" t="str">
        <f t="shared" si="0"/>
        <v>ExecutionReport</v>
      </c>
      <c r="C6" t="s">
        <v>215</v>
      </c>
      <c r="D6">
        <v>96</v>
      </c>
    </row>
    <row r="7" spans="1:4">
      <c r="A7">
        <v>29</v>
      </c>
      <c r="B7" s="6" t="str">
        <f t="shared" si="0"/>
        <v>ExecutionReport</v>
      </c>
      <c r="C7" t="s">
        <v>215</v>
      </c>
      <c r="D7">
        <v>97</v>
      </c>
    </row>
    <row r="8" spans="1:4">
      <c r="A8">
        <v>29</v>
      </c>
      <c r="B8" s="6" t="str">
        <f t="shared" si="0"/>
        <v>ExecutionReport</v>
      </c>
      <c r="C8" t="s">
        <v>215</v>
      </c>
      <c r="D8">
        <v>98</v>
      </c>
    </row>
    <row r="9" spans="1:4">
      <c r="A9">
        <v>29</v>
      </c>
      <c r="B9" s="6" t="str">
        <f t="shared" si="0"/>
        <v>ExecutionReport</v>
      </c>
      <c r="C9" t="s">
        <v>215</v>
      </c>
      <c r="D9">
        <v>99</v>
      </c>
    </row>
    <row r="10" spans="1:4">
      <c r="A10">
        <v>29</v>
      </c>
      <c r="B10" s="6" t="str">
        <f t="shared" si="0"/>
        <v>ExecutionReport</v>
      </c>
      <c r="C10" t="s">
        <v>215</v>
      </c>
      <c r="D10">
        <v>100</v>
      </c>
    </row>
    <row r="11" spans="1:4">
      <c r="A11">
        <v>29</v>
      </c>
      <c r="B11" s="6" t="str">
        <f t="shared" si="0"/>
        <v>ExecutionReport</v>
      </c>
      <c r="C11" t="s">
        <v>215</v>
      </c>
      <c r="D11">
        <v>101</v>
      </c>
    </row>
    <row r="12" spans="1:4">
      <c r="A12">
        <v>30</v>
      </c>
      <c r="B12" s="6" t="str">
        <f t="shared" si="0"/>
        <v>ExecutionReport</v>
      </c>
      <c r="C12" t="s">
        <v>215</v>
      </c>
      <c r="D12">
        <v>102</v>
      </c>
    </row>
    <row r="13" spans="1:4">
      <c r="A13">
        <v>30</v>
      </c>
      <c r="B13" s="6" t="str">
        <f t="shared" si="0"/>
        <v>ExecutionReport</v>
      </c>
      <c r="C13" t="s">
        <v>215</v>
      </c>
      <c r="D13">
        <v>103</v>
      </c>
    </row>
    <row r="14" spans="1:4">
      <c r="A14">
        <v>30</v>
      </c>
      <c r="B14" s="6" t="str">
        <f t="shared" si="0"/>
        <v>ExecutionReport</v>
      </c>
      <c r="C14" t="s">
        <v>215</v>
      </c>
      <c r="D14">
        <v>104</v>
      </c>
    </row>
    <row r="15" spans="1:4">
      <c r="A15">
        <v>31</v>
      </c>
      <c r="B15" s="6" t="str">
        <f t="shared" si="0"/>
        <v>ExecutionReport</v>
      </c>
      <c r="C15" t="s">
        <v>215</v>
      </c>
      <c r="D15">
        <v>105</v>
      </c>
    </row>
    <row r="16" spans="1:4">
      <c r="A16">
        <v>31</v>
      </c>
      <c r="B16" s="6" t="str">
        <f t="shared" si="0"/>
        <v>ExecutionReport</v>
      </c>
      <c r="C16" t="s">
        <v>215</v>
      </c>
      <c r="D16">
        <v>106</v>
      </c>
    </row>
    <row r="17" spans="1:4">
      <c r="A17">
        <v>31</v>
      </c>
      <c r="B17" s="6" t="str">
        <f t="shared" si="0"/>
        <v>ExecutionReport</v>
      </c>
      <c r="C17" t="s">
        <v>215</v>
      </c>
      <c r="D17">
        <v>107</v>
      </c>
    </row>
    <row r="18" spans="1:4">
      <c r="A18">
        <v>32</v>
      </c>
      <c r="B18" s="6" t="str">
        <f t="shared" si="0"/>
        <v>ExecutionReport</v>
      </c>
      <c r="C18" t="s">
        <v>215</v>
      </c>
      <c r="D18">
        <v>108</v>
      </c>
    </row>
    <row r="19" spans="1:4">
      <c r="A19">
        <v>32</v>
      </c>
      <c r="B19" s="6" t="str">
        <f t="shared" si="0"/>
        <v>ExecutionReport</v>
      </c>
      <c r="C19" t="s">
        <v>215</v>
      </c>
      <c r="D19">
        <v>109</v>
      </c>
    </row>
    <row r="20" spans="1:4">
      <c r="A20">
        <v>33</v>
      </c>
      <c r="B20" s="6" t="str">
        <f t="shared" si="0"/>
        <v>ExecutionReport</v>
      </c>
      <c r="C20" t="s">
        <v>215</v>
      </c>
      <c r="D20">
        <v>110</v>
      </c>
    </row>
    <row r="21" spans="1:4">
      <c r="A21">
        <v>33</v>
      </c>
      <c r="B21" s="6" t="str">
        <f t="shared" si="0"/>
        <v>ExecutionReport</v>
      </c>
      <c r="C21" t="s">
        <v>215</v>
      </c>
      <c r="D21">
        <v>111</v>
      </c>
    </row>
    <row r="22" spans="1:4">
      <c r="A22">
        <v>33</v>
      </c>
      <c r="B22" s="6" t="str">
        <f t="shared" si="0"/>
        <v>ExecutionReport</v>
      </c>
      <c r="C22" t="s">
        <v>215</v>
      </c>
      <c r="D22">
        <v>112</v>
      </c>
    </row>
    <row r="23" spans="1:4">
      <c r="A23">
        <v>33</v>
      </c>
      <c r="B23" s="6" t="str">
        <f t="shared" si="0"/>
        <v>ExecutionReport</v>
      </c>
      <c r="C23" t="s">
        <v>215</v>
      </c>
      <c r="D23">
        <v>113</v>
      </c>
    </row>
    <row r="24" spans="1:4">
      <c r="A24">
        <v>33</v>
      </c>
      <c r="B24" s="6" t="str">
        <f t="shared" si="0"/>
        <v>ExecutionReport</v>
      </c>
      <c r="C24" t="s">
        <v>215</v>
      </c>
      <c r="D24">
        <v>114</v>
      </c>
    </row>
    <row r="25" spans="1:4">
      <c r="A25">
        <v>33</v>
      </c>
      <c r="B25" s="6" t="str">
        <f t="shared" si="0"/>
        <v>ExecutionReport</v>
      </c>
      <c r="C25" t="s">
        <v>215</v>
      </c>
      <c r="D25">
        <v>115</v>
      </c>
    </row>
    <row r="26" spans="1:4">
      <c r="A26">
        <v>33</v>
      </c>
      <c r="B26" s="6" t="str">
        <f t="shared" si="0"/>
        <v>ExecutionReport</v>
      </c>
      <c r="C26" t="s">
        <v>215</v>
      </c>
      <c r="D26">
        <v>116</v>
      </c>
    </row>
    <row r="27" spans="1:4">
      <c r="A27">
        <v>33</v>
      </c>
      <c r="B27" s="6" t="str">
        <f t="shared" si="0"/>
        <v>ExecutionReport</v>
      </c>
      <c r="C27" t="s">
        <v>215</v>
      </c>
      <c r="D27">
        <v>117</v>
      </c>
    </row>
    <row r="28" spans="1:4">
      <c r="A28">
        <v>33</v>
      </c>
      <c r="B28" s="6" t="str">
        <f t="shared" si="0"/>
        <v>ExecutionReport</v>
      </c>
      <c r="C28" t="s">
        <v>215</v>
      </c>
      <c r="D28">
        <v>118</v>
      </c>
    </row>
    <row r="29" spans="1:4">
      <c r="A29">
        <v>34</v>
      </c>
      <c r="B29" s="6" t="str">
        <f t="shared" si="0"/>
        <v>ExecutionReport</v>
      </c>
      <c r="C29" t="s">
        <v>215</v>
      </c>
      <c r="D29">
        <v>119</v>
      </c>
    </row>
    <row r="30" spans="1:4">
      <c r="A30">
        <v>34</v>
      </c>
      <c r="B30" s="6" t="str">
        <f t="shared" si="0"/>
        <v>ExecutionReport</v>
      </c>
      <c r="C30" t="s">
        <v>215</v>
      </c>
      <c r="D30">
        <v>120</v>
      </c>
    </row>
    <row r="31" spans="1:4">
      <c r="A31">
        <v>34</v>
      </c>
      <c r="B31" s="6" t="str">
        <f t="shared" si="0"/>
        <v>ExecutionReport</v>
      </c>
      <c r="C31" t="s">
        <v>215</v>
      </c>
      <c r="D31">
        <v>121</v>
      </c>
    </row>
    <row r="32" spans="1:4">
      <c r="A32">
        <v>35</v>
      </c>
      <c r="B32" s="6" t="str">
        <f t="shared" si="0"/>
        <v>ExecutionReport</v>
      </c>
      <c r="C32" t="s">
        <v>215</v>
      </c>
      <c r="D32">
        <v>122</v>
      </c>
    </row>
    <row r="33" spans="1:4">
      <c r="A33">
        <v>35</v>
      </c>
      <c r="B33" s="6" t="str">
        <f t="shared" ref="B33:B56" si="1">HYPERLINK("#"&amp;C33&amp;"!A"&amp;(D33+3),C33)</f>
        <v>ExecutionReport</v>
      </c>
      <c r="C33" t="s">
        <v>215</v>
      </c>
      <c r="D33">
        <v>123</v>
      </c>
    </row>
    <row r="34" spans="1:4">
      <c r="A34">
        <v>35</v>
      </c>
      <c r="B34" s="6" t="str">
        <f t="shared" si="1"/>
        <v>ExecutionReport</v>
      </c>
      <c r="C34" t="s">
        <v>215</v>
      </c>
      <c r="D34">
        <v>124</v>
      </c>
    </row>
    <row r="35" spans="1:4">
      <c r="A35">
        <v>36</v>
      </c>
      <c r="B35" s="6" t="str">
        <f t="shared" si="1"/>
        <v>ExecutionReport</v>
      </c>
      <c r="C35" t="s">
        <v>215</v>
      </c>
      <c r="D35">
        <v>125</v>
      </c>
    </row>
    <row r="36" spans="1:4">
      <c r="A36">
        <v>36</v>
      </c>
      <c r="B36" s="6" t="str">
        <f t="shared" si="1"/>
        <v>ExecutionReport</v>
      </c>
      <c r="C36" t="s">
        <v>215</v>
      </c>
      <c r="D36">
        <v>126</v>
      </c>
    </row>
    <row r="37" spans="1:4">
      <c r="A37">
        <v>36</v>
      </c>
      <c r="B37" s="6" t="str">
        <f t="shared" si="1"/>
        <v>ExecutionReport</v>
      </c>
      <c r="C37" t="s">
        <v>215</v>
      </c>
      <c r="D37">
        <v>127</v>
      </c>
    </row>
    <row r="38" spans="1:4">
      <c r="A38">
        <v>36</v>
      </c>
      <c r="B38" s="6" t="str">
        <f t="shared" si="1"/>
        <v>ExecutionReport</v>
      </c>
      <c r="C38" t="s">
        <v>215</v>
      </c>
      <c r="D38">
        <v>128</v>
      </c>
    </row>
    <row r="39" spans="1:4">
      <c r="A39">
        <v>36</v>
      </c>
      <c r="B39" s="6" t="str">
        <f t="shared" si="1"/>
        <v>ExecutionReport</v>
      </c>
      <c r="C39" t="s">
        <v>215</v>
      </c>
      <c r="D39">
        <v>129</v>
      </c>
    </row>
    <row r="40" spans="1:4">
      <c r="A40">
        <v>36</v>
      </c>
      <c r="B40" s="6" t="str">
        <f t="shared" si="1"/>
        <v>ExecutionReport</v>
      </c>
      <c r="C40" t="s">
        <v>215</v>
      </c>
      <c r="D40">
        <v>130</v>
      </c>
    </row>
    <row r="41" spans="1:4">
      <c r="A41">
        <v>36</v>
      </c>
      <c r="B41" s="6" t="str">
        <f t="shared" si="1"/>
        <v>ExecutionReport</v>
      </c>
      <c r="C41" t="s">
        <v>215</v>
      </c>
      <c r="D41">
        <v>131</v>
      </c>
    </row>
    <row r="42" spans="1:4">
      <c r="A42">
        <v>37</v>
      </c>
      <c r="B42" s="6" t="str">
        <f t="shared" si="1"/>
        <v>ExecutionReport</v>
      </c>
      <c r="C42" t="s">
        <v>215</v>
      </c>
      <c r="D42">
        <v>132</v>
      </c>
    </row>
    <row r="43" spans="1:4">
      <c r="A43">
        <v>37</v>
      </c>
      <c r="B43" s="6" t="str">
        <f t="shared" si="1"/>
        <v>ExecutionReport</v>
      </c>
      <c r="C43" t="s">
        <v>215</v>
      </c>
      <c r="D43">
        <v>133</v>
      </c>
    </row>
    <row r="44" spans="1:4">
      <c r="A44">
        <v>37</v>
      </c>
      <c r="B44" s="6" t="str">
        <f t="shared" si="1"/>
        <v>ExecutionReport</v>
      </c>
      <c r="C44" t="s">
        <v>215</v>
      </c>
      <c r="D44">
        <v>134</v>
      </c>
    </row>
    <row r="45" spans="1:4">
      <c r="A45">
        <v>37</v>
      </c>
      <c r="B45" s="6" t="str">
        <f t="shared" si="1"/>
        <v>ExecutionReport</v>
      </c>
      <c r="C45" t="s">
        <v>215</v>
      </c>
      <c r="D45">
        <v>135</v>
      </c>
    </row>
    <row r="46" spans="1:4">
      <c r="A46">
        <v>37</v>
      </c>
      <c r="B46" s="6" t="str">
        <f t="shared" si="1"/>
        <v>ExecutionReport</v>
      </c>
      <c r="C46" t="s">
        <v>215</v>
      </c>
      <c r="D46">
        <v>136</v>
      </c>
    </row>
    <row r="47" spans="1:4">
      <c r="A47">
        <v>38</v>
      </c>
      <c r="B47" s="6" t="str">
        <f t="shared" si="1"/>
        <v>ExecutionReport</v>
      </c>
      <c r="C47" t="s">
        <v>215</v>
      </c>
      <c r="D47">
        <v>137</v>
      </c>
    </row>
    <row r="48" spans="1:4">
      <c r="A48">
        <v>38</v>
      </c>
      <c r="B48" s="6" t="str">
        <f t="shared" si="1"/>
        <v>ExecutionReport</v>
      </c>
      <c r="C48" t="s">
        <v>215</v>
      </c>
      <c r="D48">
        <v>138</v>
      </c>
    </row>
    <row r="49" spans="1:4">
      <c r="A49">
        <v>38</v>
      </c>
      <c r="B49" s="6" t="str">
        <f t="shared" si="1"/>
        <v>ExecutionReport</v>
      </c>
      <c r="C49" t="s">
        <v>215</v>
      </c>
      <c r="D49">
        <v>139</v>
      </c>
    </row>
    <row r="50" spans="1:4">
      <c r="A50">
        <v>38</v>
      </c>
      <c r="B50" s="6" t="str">
        <f t="shared" si="1"/>
        <v>ExecutionReport</v>
      </c>
      <c r="C50" t="s">
        <v>215</v>
      </c>
      <c r="D50">
        <v>140</v>
      </c>
    </row>
    <row r="51" spans="1:4">
      <c r="A51">
        <v>38</v>
      </c>
      <c r="B51" s="6" t="str">
        <f t="shared" si="1"/>
        <v>ExecutionReport</v>
      </c>
      <c r="C51" t="s">
        <v>215</v>
      </c>
      <c r="D51">
        <v>141</v>
      </c>
    </row>
    <row r="52" spans="1:4">
      <c r="A52">
        <v>38</v>
      </c>
      <c r="B52" s="6" t="str">
        <f t="shared" si="1"/>
        <v>ExecutionReport</v>
      </c>
      <c r="C52" t="s">
        <v>215</v>
      </c>
      <c r="D52">
        <v>142</v>
      </c>
    </row>
    <row r="53" spans="1:4">
      <c r="A53">
        <v>38</v>
      </c>
      <c r="B53" s="6" t="str">
        <f t="shared" si="1"/>
        <v>ExecutionReport</v>
      </c>
      <c r="C53" t="s">
        <v>215</v>
      </c>
      <c r="D53">
        <v>143</v>
      </c>
    </row>
    <row r="54" spans="1:4">
      <c r="A54">
        <v>39</v>
      </c>
      <c r="B54" s="6" t="str">
        <f t="shared" si="1"/>
        <v>ExecutionReport</v>
      </c>
      <c r="C54" t="s">
        <v>215</v>
      </c>
      <c r="D54">
        <v>144</v>
      </c>
    </row>
    <row r="55" spans="1:4">
      <c r="A55">
        <v>39</v>
      </c>
      <c r="B55" s="6" t="str">
        <f t="shared" si="1"/>
        <v>ExecutionReport</v>
      </c>
      <c r="C55" t="s">
        <v>215</v>
      </c>
      <c r="D55">
        <v>145</v>
      </c>
    </row>
    <row r="56" spans="1:4">
      <c r="A56">
        <v>39</v>
      </c>
      <c r="B56" s="6" t="str">
        <f t="shared" si="1"/>
        <v>ExecutionReport</v>
      </c>
      <c r="C56" t="s">
        <v>215</v>
      </c>
      <c r="D56">
        <v>146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18" sqref="B18"/>
    </sheetView>
  </sheetViews>
  <sheetFormatPr defaultRowHeight="14.25"/>
  <cols>
    <col min="2" max="2" width="19.625" customWidth="1"/>
    <col min="3" max="3" width="19.125" customWidth="1"/>
    <col min="4" max="4" width="14.75" customWidth="1"/>
  </cols>
  <sheetData>
    <row r="1" spans="1:5">
      <c r="A1" t="s">
        <v>67</v>
      </c>
      <c r="B1" s="5" t="s">
        <v>65</v>
      </c>
      <c r="C1" s="5" t="s">
        <v>216</v>
      </c>
      <c r="D1" s="5" t="s">
        <v>66</v>
      </c>
    </row>
    <row r="2" spans="1:5" ht="14.45" customHeight="1">
      <c r="A2">
        <v>21</v>
      </c>
      <c r="B2" s="6" t="str">
        <f t="shared" ref="B2:B16" si="0">HYPERLINK("#"&amp;C2&amp;"!A"&amp;(D2+3),C2)</f>
        <v>NewOrderSingle</v>
      </c>
      <c r="C2" t="s">
        <v>217</v>
      </c>
      <c r="D2">
        <v>9</v>
      </c>
      <c r="E2">
        <v>1</v>
      </c>
    </row>
    <row r="3" spans="1:5">
      <c r="A3">
        <v>22</v>
      </c>
      <c r="B3" s="6" t="str">
        <f t="shared" si="0"/>
        <v>OrderCancelReplaceRequest</v>
      </c>
      <c r="C3" t="s">
        <v>218</v>
      </c>
      <c r="D3">
        <v>12</v>
      </c>
      <c r="E3">
        <v>2</v>
      </c>
    </row>
    <row r="4" spans="1:5">
      <c r="A4">
        <v>23</v>
      </c>
      <c r="B4" s="6" t="str">
        <f t="shared" si="0"/>
        <v>OrderCancelReplaceRequest</v>
      </c>
      <c r="C4" t="s">
        <v>218</v>
      </c>
      <c r="D4">
        <v>13</v>
      </c>
      <c r="E4">
        <v>3</v>
      </c>
    </row>
    <row r="5" spans="1:5">
      <c r="A5">
        <v>24</v>
      </c>
      <c r="B5" s="6" t="str">
        <f t="shared" si="0"/>
        <v>OrderCancelReplaceRequest</v>
      </c>
      <c r="C5" t="s">
        <v>218</v>
      </c>
      <c r="D5">
        <v>14</v>
      </c>
      <c r="E5">
        <v>4</v>
      </c>
    </row>
    <row r="6" spans="1:5">
      <c r="A6">
        <v>25</v>
      </c>
      <c r="B6" s="6" t="str">
        <f t="shared" si="0"/>
        <v>OrderCancelRequest</v>
      </c>
      <c r="C6" t="s">
        <v>97</v>
      </c>
      <c r="D6">
        <v>2</v>
      </c>
      <c r="E6">
        <v>5</v>
      </c>
    </row>
    <row r="7" spans="1:5">
      <c r="A7">
        <v>26</v>
      </c>
      <c r="B7" s="6" t="str">
        <f t="shared" si="0"/>
        <v>OrderCancelRequest</v>
      </c>
      <c r="C7" t="s">
        <v>97</v>
      </c>
      <c r="D7">
        <v>3</v>
      </c>
      <c r="E7">
        <v>6</v>
      </c>
    </row>
    <row r="8" spans="1:5">
      <c r="A8">
        <v>27</v>
      </c>
      <c r="B8" s="6" t="str">
        <f t="shared" si="0"/>
        <v>NewOrderSingle</v>
      </c>
      <c r="C8" t="s">
        <v>217</v>
      </c>
      <c r="D8">
        <v>10</v>
      </c>
      <c r="E8">
        <v>7</v>
      </c>
    </row>
    <row r="9" spans="1:5">
      <c r="A9">
        <v>28</v>
      </c>
      <c r="B9" s="6" t="str">
        <f t="shared" si="0"/>
        <v>NewOrderSingle</v>
      </c>
      <c r="C9" t="s">
        <v>217</v>
      </c>
      <c r="D9">
        <v>11</v>
      </c>
      <c r="E9">
        <v>8</v>
      </c>
    </row>
    <row r="10" spans="1:5">
      <c r="A10">
        <v>29</v>
      </c>
      <c r="B10" s="6" t="str">
        <f t="shared" si="0"/>
        <v>OrderCancelReplaceRequest</v>
      </c>
      <c r="C10" t="s">
        <v>218</v>
      </c>
      <c r="D10">
        <v>15</v>
      </c>
      <c r="E10">
        <v>9</v>
      </c>
    </row>
    <row r="11" spans="1:5">
      <c r="A11">
        <v>30</v>
      </c>
      <c r="B11" s="6" t="str">
        <f t="shared" si="0"/>
        <v>OrderCancelRequest</v>
      </c>
      <c r="C11" t="s">
        <v>97</v>
      </c>
      <c r="D11">
        <v>4</v>
      </c>
      <c r="E11">
        <v>10</v>
      </c>
    </row>
    <row r="12" spans="1:5">
      <c r="A12">
        <v>31</v>
      </c>
      <c r="B12" s="6" t="str">
        <f t="shared" si="0"/>
        <v>OrderCancelRequest</v>
      </c>
      <c r="C12" t="s">
        <v>97</v>
      </c>
      <c r="D12">
        <v>5</v>
      </c>
      <c r="E12">
        <v>11</v>
      </c>
    </row>
    <row r="13" spans="1:5">
      <c r="A13">
        <v>32</v>
      </c>
      <c r="B13" s="6" t="str">
        <f t="shared" si="0"/>
        <v>NewOrderSingle</v>
      </c>
      <c r="C13" t="s">
        <v>217</v>
      </c>
      <c r="D13">
        <v>12</v>
      </c>
      <c r="E13">
        <v>12</v>
      </c>
    </row>
    <row r="14" spans="1:5">
      <c r="A14">
        <v>33</v>
      </c>
      <c r="B14" s="6" t="str">
        <f t="shared" si="0"/>
        <v>OrderCancelReplaceRequest</v>
      </c>
      <c r="C14" t="s">
        <v>218</v>
      </c>
      <c r="D14">
        <v>16</v>
      </c>
      <c r="E14">
        <v>13</v>
      </c>
    </row>
    <row r="15" spans="1:5">
      <c r="A15">
        <v>34</v>
      </c>
      <c r="B15" s="6" t="str">
        <f t="shared" si="0"/>
        <v>OrderCancelRequest</v>
      </c>
      <c r="C15" t="s">
        <v>97</v>
      </c>
      <c r="D15">
        <v>6</v>
      </c>
      <c r="E15">
        <v>14</v>
      </c>
    </row>
    <row r="16" spans="1:5">
      <c r="A16">
        <v>35</v>
      </c>
      <c r="B16" s="6" t="str">
        <f t="shared" si="0"/>
        <v>OrderCancelRequest</v>
      </c>
      <c r="C16" t="s">
        <v>97</v>
      </c>
      <c r="D16">
        <v>7</v>
      </c>
      <c r="E16">
        <v>15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61" workbookViewId="0">
      <selection activeCell="B77" sqref="B77"/>
    </sheetView>
  </sheetViews>
  <sheetFormatPr defaultRowHeight="14.25"/>
  <cols>
    <col min="2" max="2" width="17" customWidth="1"/>
    <col min="3" max="3" width="17.375" customWidth="1"/>
    <col min="4" max="4" width="12.75" customWidth="1"/>
  </cols>
  <sheetData>
    <row r="1" spans="1:4">
      <c r="A1" t="s">
        <v>67</v>
      </c>
      <c r="B1" s="5" t="s">
        <v>65</v>
      </c>
      <c r="C1" s="5" t="s">
        <v>216</v>
      </c>
      <c r="D1" s="5" t="s">
        <v>66</v>
      </c>
    </row>
    <row r="2" spans="1:4">
      <c r="A2">
        <v>0</v>
      </c>
      <c r="B2" s="6" t="str">
        <f>HYPERLINK("#"&amp;C2&amp;"!A"&amp;(D2+3),C2)</f>
        <v>OnRspUserLogin</v>
      </c>
      <c r="C2" t="s">
        <v>214</v>
      </c>
      <c r="D2">
        <f>COUNTIF(C$2:C2,C2)</f>
        <v>1</v>
      </c>
    </row>
    <row r="3" spans="1:4">
      <c r="A3">
        <v>21</v>
      </c>
      <c r="B3" s="6" t="str">
        <f t="shared" ref="B3:B66" si="0">HYPERLINK("#"&amp;C3&amp;"!A"&amp;(D3+3),C3)</f>
        <v>ExecutionReport</v>
      </c>
      <c r="C3" t="s">
        <v>215</v>
      </c>
      <c r="D3">
        <v>59</v>
      </c>
    </row>
    <row r="4" spans="1:4">
      <c r="A4">
        <v>21</v>
      </c>
      <c r="B4" s="6" t="str">
        <f t="shared" si="0"/>
        <v>ExecutionReport</v>
      </c>
      <c r="C4" t="s">
        <v>215</v>
      </c>
      <c r="D4">
        <v>60</v>
      </c>
    </row>
    <row r="5" spans="1:4">
      <c r="A5">
        <v>22</v>
      </c>
      <c r="B5" s="6" t="str">
        <f t="shared" si="0"/>
        <v>ExecutionReport</v>
      </c>
      <c r="C5" t="s">
        <v>215</v>
      </c>
      <c r="D5">
        <v>61</v>
      </c>
    </row>
    <row r="6" spans="1:4">
      <c r="A6">
        <v>22</v>
      </c>
      <c r="B6" s="6" t="str">
        <f t="shared" si="0"/>
        <v>ExecutionReport</v>
      </c>
      <c r="C6" t="s">
        <v>215</v>
      </c>
      <c r="D6">
        <v>62</v>
      </c>
    </row>
    <row r="7" spans="1:4">
      <c r="A7">
        <v>22</v>
      </c>
      <c r="B7" s="6" t="str">
        <f t="shared" si="0"/>
        <v>ExecutionReport</v>
      </c>
      <c r="C7" t="s">
        <v>215</v>
      </c>
      <c r="D7">
        <v>63</v>
      </c>
    </row>
    <row r="8" spans="1:4">
      <c r="A8">
        <v>22</v>
      </c>
      <c r="B8" s="6" t="str">
        <f t="shared" si="0"/>
        <v>ExecutionReport</v>
      </c>
      <c r="C8" t="s">
        <v>215</v>
      </c>
      <c r="D8">
        <v>64</v>
      </c>
    </row>
    <row r="9" spans="1:4">
      <c r="A9">
        <v>22</v>
      </c>
      <c r="B9" s="6" t="str">
        <f t="shared" si="0"/>
        <v>ExecutionReport</v>
      </c>
      <c r="C9" t="s">
        <v>215</v>
      </c>
      <c r="D9">
        <v>65</v>
      </c>
    </row>
    <row r="10" spans="1:4">
      <c r="A10">
        <v>22</v>
      </c>
      <c r="B10" s="6" t="str">
        <f t="shared" si="0"/>
        <v>ExecutionReport</v>
      </c>
      <c r="C10" t="s">
        <v>215</v>
      </c>
      <c r="D10">
        <v>66</v>
      </c>
    </row>
    <row r="11" spans="1:4">
      <c r="A11">
        <v>22</v>
      </c>
      <c r="B11" s="6" t="str">
        <f t="shared" si="0"/>
        <v>ExecutionReport</v>
      </c>
      <c r="C11" t="s">
        <v>215</v>
      </c>
      <c r="D11">
        <v>67</v>
      </c>
    </row>
    <row r="12" spans="1:4">
      <c r="A12">
        <v>23</v>
      </c>
      <c r="B12" s="6" t="str">
        <f t="shared" si="0"/>
        <v>ExecutionReport</v>
      </c>
      <c r="C12" t="s">
        <v>215</v>
      </c>
      <c r="D12">
        <v>68</v>
      </c>
    </row>
    <row r="13" spans="1:4">
      <c r="A13">
        <v>23</v>
      </c>
      <c r="B13" s="6" t="str">
        <f t="shared" si="0"/>
        <v>ExecutionReport</v>
      </c>
      <c r="C13" t="s">
        <v>215</v>
      </c>
      <c r="D13">
        <v>69</v>
      </c>
    </row>
    <row r="14" spans="1:4">
      <c r="A14">
        <v>23</v>
      </c>
      <c r="B14" s="6" t="str">
        <f t="shared" si="0"/>
        <v>ExecutionReport</v>
      </c>
      <c r="C14" t="s">
        <v>215</v>
      </c>
      <c r="D14">
        <v>70</v>
      </c>
    </row>
    <row r="15" spans="1:4">
      <c r="A15">
        <v>23</v>
      </c>
      <c r="B15" s="6" t="str">
        <f t="shared" si="0"/>
        <v>ExecutionReport</v>
      </c>
      <c r="C15" t="s">
        <v>215</v>
      </c>
      <c r="D15">
        <v>71</v>
      </c>
    </row>
    <row r="16" spans="1:4">
      <c r="A16">
        <v>23</v>
      </c>
      <c r="B16" s="6" t="str">
        <f t="shared" si="0"/>
        <v>ExecutionReport</v>
      </c>
      <c r="C16" t="s">
        <v>215</v>
      </c>
      <c r="D16">
        <v>72</v>
      </c>
    </row>
    <row r="17" spans="1:4">
      <c r="A17">
        <v>24</v>
      </c>
      <c r="B17" s="6" t="str">
        <f t="shared" si="0"/>
        <v>ExecutionReport</v>
      </c>
      <c r="C17" t="s">
        <v>215</v>
      </c>
      <c r="D17">
        <v>73</v>
      </c>
    </row>
    <row r="18" spans="1:4">
      <c r="A18">
        <v>24</v>
      </c>
      <c r="B18" s="6" t="str">
        <f t="shared" si="0"/>
        <v>ExecutionReport</v>
      </c>
      <c r="C18" t="s">
        <v>215</v>
      </c>
      <c r="D18">
        <v>74</v>
      </c>
    </row>
    <row r="19" spans="1:4">
      <c r="A19">
        <v>24</v>
      </c>
      <c r="B19" s="6" t="str">
        <f t="shared" si="0"/>
        <v>ExecutionReport</v>
      </c>
      <c r="C19" t="s">
        <v>215</v>
      </c>
      <c r="D19">
        <v>75</v>
      </c>
    </row>
    <row r="20" spans="1:4">
      <c r="A20">
        <v>24</v>
      </c>
      <c r="B20" s="6" t="str">
        <f t="shared" si="0"/>
        <v>ExecutionReport</v>
      </c>
      <c r="C20" t="s">
        <v>215</v>
      </c>
      <c r="D20">
        <v>76</v>
      </c>
    </row>
    <row r="21" spans="1:4">
      <c r="A21">
        <v>24</v>
      </c>
      <c r="B21" s="6" t="str">
        <f t="shared" si="0"/>
        <v>ExecutionReport</v>
      </c>
      <c r="C21" t="s">
        <v>215</v>
      </c>
      <c r="D21">
        <v>77</v>
      </c>
    </row>
    <row r="22" spans="1:4">
      <c r="A22">
        <v>24</v>
      </c>
      <c r="B22" s="6" t="str">
        <f t="shared" si="0"/>
        <v>ExecutionReport</v>
      </c>
      <c r="C22" t="s">
        <v>215</v>
      </c>
      <c r="D22">
        <v>78</v>
      </c>
    </row>
    <row r="23" spans="1:4">
      <c r="A23">
        <v>24</v>
      </c>
      <c r="B23" s="6" t="str">
        <f t="shared" si="0"/>
        <v>ExecutionReport</v>
      </c>
      <c r="C23" t="s">
        <v>215</v>
      </c>
      <c r="D23">
        <v>79</v>
      </c>
    </row>
    <row r="24" spans="1:4">
      <c r="A24">
        <v>25</v>
      </c>
      <c r="B24" s="6" t="str">
        <f t="shared" si="0"/>
        <v>ExecutionReport</v>
      </c>
      <c r="C24" t="s">
        <v>215</v>
      </c>
      <c r="D24">
        <v>80</v>
      </c>
    </row>
    <row r="25" spans="1:4">
      <c r="A25">
        <v>25</v>
      </c>
      <c r="B25" s="6" t="str">
        <f t="shared" si="0"/>
        <v>ExecutionReport</v>
      </c>
      <c r="C25" t="s">
        <v>215</v>
      </c>
      <c r="D25">
        <v>81</v>
      </c>
    </row>
    <row r="26" spans="1:4">
      <c r="A26">
        <v>25</v>
      </c>
      <c r="B26" s="6" t="str">
        <f t="shared" si="0"/>
        <v>ExecutionReport</v>
      </c>
      <c r="C26" t="s">
        <v>215</v>
      </c>
      <c r="D26">
        <v>82</v>
      </c>
    </row>
    <row r="27" spans="1:4">
      <c r="A27">
        <v>26</v>
      </c>
      <c r="B27" s="6" t="str">
        <f t="shared" si="0"/>
        <v>ExecutionReport</v>
      </c>
      <c r="C27" t="s">
        <v>215</v>
      </c>
      <c r="D27">
        <v>83</v>
      </c>
    </row>
    <row r="28" spans="1:4">
      <c r="A28">
        <v>26</v>
      </c>
      <c r="B28" s="6" t="str">
        <f t="shared" si="0"/>
        <v>ExecutionReport</v>
      </c>
      <c r="C28" t="s">
        <v>215</v>
      </c>
      <c r="D28">
        <v>84</v>
      </c>
    </row>
    <row r="29" spans="1:4">
      <c r="A29">
        <v>26</v>
      </c>
      <c r="B29" s="6" t="str">
        <f t="shared" si="0"/>
        <v>ExecutionReport</v>
      </c>
      <c r="C29" t="s">
        <v>215</v>
      </c>
      <c r="D29">
        <v>85</v>
      </c>
    </row>
    <row r="30" spans="1:4">
      <c r="A30">
        <v>27</v>
      </c>
      <c r="B30" s="6" t="str">
        <f t="shared" si="0"/>
        <v>ExecutionReport</v>
      </c>
      <c r="C30" t="s">
        <v>215</v>
      </c>
      <c r="D30">
        <v>86</v>
      </c>
    </row>
    <row r="31" spans="1:4">
      <c r="A31">
        <v>27</v>
      </c>
      <c r="B31" s="6" t="str">
        <f t="shared" si="0"/>
        <v>ExecutionReport</v>
      </c>
      <c r="C31" t="s">
        <v>215</v>
      </c>
      <c r="D31">
        <v>87</v>
      </c>
    </row>
    <row r="32" spans="1:4">
      <c r="A32">
        <v>27</v>
      </c>
      <c r="B32" s="6" t="str">
        <f t="shared" si="0"/>
        <v>ExecutionReport</v>
      </c>
      <c r="C32" t="s">
        <v>215</v>
      </c>
      <c r="D32">
        <v>88</v>
      </c>
    </row>
    <row r="33" spans="1:4">
      <c r="A33">
        <v>27</v>
      </c>
      <c r="B33" s="6" t="str">
        <f t="shared" si="0"/>
        <v>ExecutionReport</v>
      </c>
      <c r="C33" t="s">
        <v>215</v>
      </c>
      <c r="D33">
        <v>89</v>
      </c>
    </row>
    <row r="34" spans="1:4">
      <c r="A34">
        <v>27</v>
      </c>
      <c r="B34" s="6" t="str">
        <f t="shared" si="0"/>
        <v>ExecutionReport</v>
      </c>
      <c r="C34" t="s">
        <v>215</v>
      </c>
      <c r="D34">
        <v>90</v>
      </c>
    </row>
    <row r="35" spans="1:4">
      <c r="A35">
        <v>27</v>
      </c>
      <c r="B35" s="6" t="str">
        <f t="shared" si="0"/>
        <v>ExecutionReport</v>
      </c>
      <c r="C35" t="s">
        <v>215</v>
      </c>
      <c r="D35">
        <v>91</v>
      </c>
    </row>
    <row r="36" spans="1:4">
      <c r="A36">
        <v>27</v>
      </c>
      <c r="B36" s="6" t="str">
        <f t="shared" si="0"/>
        <v>ExecutionReport</v>
      </c>
      <c r="C36" t="s">
        <v>215</v>
      </c>
      <c r="D36">
        <v>92</v>
      </c>
    </row>
    <row r="37" spans="1:4">
      <c r="A37">
        <v>28</v>
      </c>
      <c r="B37" s="6" t="str">
        <f t="shared" si="0"/>
        <v>ExecutionReport</v>
      </c>
      <c r="C37" t="s">
        <v>215</v>
      </c>
      <c r="D37">
        <v>93</v>
      </c>
    </row>
    <row r="38" spans="1:4">
      <c r="A38">
        <v>28</v>
      </c>
      <c r="B38" s="6" t="str">
        <f t="shared" si="0"/>
        <v>ExecutionReport</v>
      </c>
      <c r="C38" t="s">
        <v>215</v>
      </c>
      <c r="D38">
        <v>94</v>
      </c>
    </row>
    <row r="39" spans="1:4">
      <c r="A39">
        <v>29</v>
      </c>
      <c r="B39" s="6" t="str">
        <f t="shared" si="0"/>
        <v>ExecutionReport</v>
      </c>
      <c r="C39" t="s">
        <v>215</v>
      </c>
      <c r="D39">
        <v>95</v>
      </c>
    </row>
    <row r="40" spans="1:4">
      <c r="A40">
        <v>29</v>
      </c>
      <c r="B40" s="6" t="str">
        <f t="shared" si="0"/>
        <v>ExecutionReport</v>
      </c>
      <c r="C40" t="s">
        <v>215</v>
      </c>
      <c r="D40">
        <v>96</v>
      </c>
    </row>
    <row r="41" spans="1:4">
      <c r="A41">
        <v>29</v>
      </c>
      <c r="B41" s="6" t="str">
        <f t="shared" si="0"/>
        <v>ExecutionReport</v>
      </c>
      <c r="C41" t="s">
        <v>215</v>
      </c>
      <c r="D41">
        <v>97</v>
      </c>
    </row>
    <row r="42" spans="1:4">
      <c r="A42">
        <v>29</v>
      </c>
      <c r="B42" s="6" t="str">
        <f t="shared" si="0"/>
        <v>ExecutionReport</v>
      </c>
      <c r="C42" t="s">
        <v>215</v>
      </c>
      <c r="D42">
        <v>98</v>
      </c>
    </row>
    <row r="43" spans="1:4">
      <c r="A43">
        <v>29</v>
      </c>
      <c r="B43" s="6" t="str">
        <f t="shared" si="0"/>
        <v>ExecutionReport</v>
      </c>
      <c r="C43" t="s">
        <v>215</v>
      </c>
      <c r="D43">
        <v>99</v>
      </c>
    </row>
    <row r="44" spans="1:4">
      <c r="A44">
        <v>29</v>
      </c>
      <c r="B44" s="6" t="str">
        <f t="shared" si="0"/>
        <v>ExecutionReport</v>
      </c>
      <c r="C44" t="s">
        <v>215</v>
      </c>
      <c r="D44">
        <v>100</v>
      </c>
    </row>
    <row r="45" spans="1:4">
      <c r="A45">
        <v>29</v>
      </c>
      <c r="B45" s="6" t="str">
        <f t="shared" si="0"/>
        <v>ExecutionReport</v>
      </c>
      <c r="C45" t="s">
        <v>215</v>
      </c>
      <c r="D45">
        <v>101</v>
      </c>
    </row>
    <row r="46" spans="1:4">
      <c r="A46">
        <v>30</v>
      </c>
      <c r="B46" s="6" t="str">
        <f t="shared" si="0"/>
        <v>ExecutionReport</v>
      </c>
      <c r="C46" t="s">
        <v>215</v>
      </c>
      <c r="D46">
        <v>102</v>
      </c>
    </row>
    <row r="47" spans="1:4">
      <c r="A47">
        <v>30</v>
      </c>
      <c r="B47" s="6" t="str">
        <f t="shared" si="0"/>
        <v>ExecutionReport</v>
      </c>
      <c r="C47" t="s">
        <v>215</v>
      </c>
      <c r="D47">
        <v>103</v>
      </c>
    </row>
    <row r="48" spans="1:4">
      <c r="A48">
        <v>30</v>
      </c>
      <c r="B48" s="6" t="str">
        <f t="shared" si="0"/>
        <v>ExecutionReport</v>
      </c>
      <c r="C48" t="s">
        <v>215</v>
      </c>
      <c r="D48">
        <v>104</v>
      </c>
    </row>
    <row r="49" spans="1:4">
      <c r="A49">
        <v>31</v>
      </c>
      <c r="B49" s="6" t="str">
        <f t="shared" si="0"/>
        <v>ExecutionReport</v>
      </c>
      <c r="C49" t="s">
        <v>215</v>
      </c>
      <c r="D49">
        <v>105</v>
      </c>
    </row>
    <row r="50" spans="1:4">
      <c r="A50">
        <v>31</v>
      </c>
      <c r="B50" s="6" t="str">
        <f t="shared" si="0"/>
        <v>ExecutionReport</v>
      </c>
      <c r="C50" t="s">
        <v>215</v>
      </c>
      <c r="D50">
        <v>106</v>
      </c>
    </row>
    <row r="51" spans="1:4">
      <c r="A51">
        <v>31</v>
      </c>
      <c r="B51" s="6" t="str">
        <f t="shared" si="0"/>
        <v>ExecutionReport</v>
      </c>
      <c r="C51" t="s">
        <v>215</v>
      </c>
      <c r="D51">
        <v>107</v>
      </c>
    </row>
    <row r="52" spans="1:4">
      <c r="A52">
        <v>32</v>
      </c>
      <c r="B52" s="6" t="str">
        <f t="shared" si="0"/>
        <v>ExecutionReport</v>
      </c>
      <c r="C52" t="s">
        <v>215</v>
      </c>
      <c r="D52">
        <v>108</v>
      </c>
    </row>
    <row r="53" spans="1:4">
      <c r="A53">
        <v>32</v>
      </c>
      <c r="B53" s="6" t="str">
        <f t="shared" si="0"/>
        <v>ExecutionReport</v>
      </c>
      <c r="C53" t="s">
        <v>215</v>
      </c>
      <c r="D53">
        <v>109</v>
      </c>
    </row>
    <row r="54" spans="1:4">
      <c r="A54">
        <v>33</v>
      </c>
      <c r="B54" s="6" t="str">
        <f t="shared" si="0"/>
        <v>ExecutionReport</v>
      </c>
      <c r="C54" t="s">
        <v>215</v>
      </c>
      <c r="D54">
        <v>110</v>
      </c>
    </row>
    <row r="55" spans="1:4">
      <c r="A55">
        <v>33</v>
      </c>
      <c r="B55" s="6" t="str">
        <f t="shared" si="0"/>
        <v>ExecutionReport</v>
      </c>
      <c r="C55" t="s">
        <v>215</v>
      </c>
      <c r="D55">
        <v>111</v>
      </c>
    </row>
    <row r="56" spans="1:4">
      <c r="A56">
        <v>33</v>
      </c>
      <c r="B56" s="6" t="str">
        <f t="shared" si="0"/>
        <v>ExecutionReport</v>
      </c>
      <c r="C56" t="s">
        <v>215</v>
      </c>
      <c r="D56">
        <v>112</v>
      </c>
    </row>
    <row r="57" spans="1:4">
      <c r="A57">
        <v>33</v>
      </c>
      <c r="B57" s="6" t="str">
        <f t="shared" si="0"/>
        <v>ExecutionReport</v>
      </c>
      <c r="C57" t="s">
        <v>215</v>
      </c>
      <c r="D57">
        <v>113</v>
      </c>
    </row>
    <row r="58" spans="1:4">
      <c r="A58">
        <v>33</v>
      </c>
      <c r="B58" s="6" t="str">
        <f t="shared" si="0"/>
        <v>ExecutionReport</v>
      </c>
      <c r="C58" t="s">
        <v>215</v>
      </c>
      <c r="D58">
        <v>114</v>
      </c>
    </row>
    <row r="59" spans="1:4">
      <c r="A59">
        <v>33</v>
      </c>
      <c r="B59" s="6" t="str">
        <f t="shared" si="0"/>
        <v>ExecutionReport</v>
      </c>
      <c r="C59" t="s">
        <v>215</v>
      </c>
      <c r="D59">
        <v>115</v>
      </c>
    </row>
    <row r="60" spans="1:4">
      <c r="A60">
        <v>33</v>
      </c>
      <c r="B60" s="6" t="str">
        <f t="shared" si="0"/>
        <v>ExecutionReport</v>
      </c>
      <c r="C60" t="s">
        <v>215</v>
      </c>
      <c r="D60">
        <v>116</v>
      </c>
    </row>
    <row r="61" spans="1:4">
      <c r="A61">
        <v>33</v>
      </c>
      <c r="B61" s="6" t="str">
        <f t="shared" si="0"/>
        <v>ExecutionReport</v>
      </c>
      <c r="C61" t="s">
        <v>215</v>
      </c>
      <c r="D61">
        <v>117</v>
      </c>
    </row>
    <row r="62" spans="1:4">
      <c r="A62">
        <v>33</v>
      </c>
      <c r="B62" s="6" t="str">
        <f t="shared" si="0"/>
        <v>ExecutionReport</v>
      </c>
      <c r="C62" t="s">
        <v>215</v>
      </c>
      <c r="D62">
        <v>118</v>
      </c>
    </row>
    <row r="63" spans="1:4">
      <c r="A63">
        <v>34</v>
      </c>
      <c r="B63" s="6" t="str">
        <f t="shared" si="0"/>
        <v>ExecutionReport</v>
      </c>
      <c r="C63" t="s">
        <v>215</v>
      </c>
      <c r="D63">
        <v>119</v>
      </c>
    </row>
    <row r="64" spans="1:4">
      <c r="A64">
        <v>34</v>
      </c>
      <c r="B64" s="6" t="str">
        <f t="shared" si="0"/>
        <v>ExecutionReport</v>
      </c>
      <c r="C64" t="s">
        <v>215</v>
      </c>
      <c r="D64">
        <v>120</v>
      </c>
    </row>
    <row r="65" spans="1:4">
      <c r="A65">
        <v>34</v>
      </c>
      <c r="B65" s="6" t="str">
        <f t="shared" si="0"/>
        <v>ExecutionReport</v>
      </c>
      <c r="C65" t="s">
        <v>215</v>
      </c>
      <c r="D65">
        <v>121</v>
      </c>
    </row>
    <row r="66" spans="1:4">
      <c r="A66">
        <v>35</v>
      </c>
      <c r="B66" s="6" t="str">
        <f t="shared" si="0"/>
        <v>ExecutionReport</v>
      </c>
      <c r="C66" t="s">
        <v>215</v>
      </c>
      <c r="D66">
        <v>122</v>
      </c>
    </row>
    <row r="67" spans="1:4">
      <c r="A67">
        <v>35</v>
      </c>
      <c r="B67" s="6" t="str">
        <f t="shared" ref="B67:B68" si="1">HYPERLINK("#"&amp;C67&amp;"!A"&amp;(D67+3),C67)</f>
        <v>ExecutionReport</v>
      </c>
      <c r="C67" t="s">
        <v>215</v>
      </c>
      <c r="D67">
        <v>123</v>
      </c>
    </row>
    <row r="68" spans="1:4" ht="13.5" customHeight="1">
      <c r="A68">
        <v>35</v>
      </c>
      <c r="B68" s="6" t="str">
        <f t="shared" si="1"/>
        <v>ExecutionReport</v>
      </c>
      <c r="C68" t="s">
        <v>215</v>
      </c>
      <c r="D68">
        <v>124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E2" sqref="E2"/>
    </sheetView>
  </sheetViews>
  <sheetFormatPr defaultRowHeight="14.25"/>
  <cols>
    <col min="2" max="2" width="23.875" customWidth="1"/>
    <col min="3" max="3" width="24.375" customWidth="1"/>
    <col min="10" max="10" width="22.375" customWidth="1"/>
  </cols>
  <sheetData>
    <row r="1" spans="1:12">
      <c r="A1" t="s">
        <v>279</v>
      </c>
      <c r="B1" s="5" t="s">
        <v>280</v>
      </c>
      <c r="C1" s="5" t="s">
        <v>216</v>
      </c>
      <c r="D1" s="5" t="s">
        <v>281</v>
      </c>
      <c r="E1" s="10" t="s">
        <v>771</v>
      </c>
      <c r="K1" t="s">
        <v>412</v>
      </c>
    </row>
    <row r="2" spans="1:12">
      <c r="A2">
        <v>1</v>
      </c>
      <c r="B2" s="6" t="str">
        <f>HYPERLINK("#"&amp;C2&amp;"!A"&amp;(D2+3),C2)</f>
        <v>NewOrderSingle</v>
      </c>
      <c r="C2" t="s">
        <v>217</v>
      </c>
      <c r="D2">
        <f>COUNTIF(C$2:C2,C2)</f>
        <v>1</v>
      </c>
      <c r="E2" t="s">
        <v>282</v>
      </c>
      <c r="K2">
        <v>100</v>
      </c>
    </row>
    <row r="3" spans="1:12">
      <c r="A3">
        <v>2</v>
      </c>
      <c r="B3" s="6" t="str">
        <f t="shared" ref="B3" si="0">HYPERLINK("#"&amp;C3&amp;"!A"&amp;(D3+3),C3)</f>
        <v>OrderCancelReplaceRequest</v>
      </c>
      <c r="C3" t="s">
        <v>283</v>
      </c>
      <c r="D3">
        <f>COUNTIF(C$2:C3,C3)</f>
        <v>1</v>
      </c>
      <c r="E3" t="s">
        <v>407</v>
      </c>
      <c r="F3" s="4"/>
      <c r="K3">
        <v>500</v>
      </c>
      <c r="L3" t="s">
        <v>725</v>
      </c>
    </row>
    <row r="4" spans="1:12">
      <c r="A4">
        <v>3</v>
      </c>
      <c r="B4" s="6" t="str">
        <f>HYPERLINK("#"&amp;C4&amp;"!A"&amp;(D4+3),C4)</f>
        <v>NewOrderSingle</v>
      </c>
      <c r="C4" t="s">
        <v>217</v>
      </c>
      <c r="D4">
        <f>COUNTIF(C$2:C4,C4)</f>
        <v>2</v>
      </c>
      <c r="E4" t="s">
        <v>282</v>
      </c>
      <c r="F4" s="2"/>
      <c r="K4">
        <v>102</v>
      </c>
    </row>
    <row r="5" spans="1:12">
      <c r="A5">
        <v>4</v>
      </c>
      <c r="B5" s="6" t="str">
        <f t="shared" ref="B5" si="1">HYPERLINK("#"&amp;C5&amp;"!A"&amp;(D5+3),C5)</f>
        <v>OrderCancelReplaceRequest</v>
      </c>
      <c r="C5" t="s">
        <v>283</v>
      </c>
      <c r="D5">
        <f>COUNTIF(C$2:C5,C5)</f>
        <v>2</v>
      </c>
      <c r="E5" t="s">
        <v>408</v>
      </c>
      <c r="F5" s="4"/>
      <c r="K5">
        <v>501</v>
      </c>
      <c r="L5" t="s">
        <v>726</v>
      </c>
    </row>
    <row r="6" spans="1:12">
      <c r="A6">
        <v>5</v>
      </c>
      <c r="B6" s="6" t="str">
        <f>HYPERLINK("#"&amp;C6&amp;"!A"&amp;(D6+3),C6)</f>
        <v>NewOrderSingle</v>
      </c>
      <c r="C6" t="s">
        <v>217</v>
      </c>
      <c r="D6">
        <f>COUNTIF(C$2:C6,C6)</f>
        <v>3</v>
      </c>
      <c r="E6" t="s">
        <v>500</v>
      </c>
      <c r="F6" s="4"/>
      <c r="K6">
        <v>104</v>
      </c>
    </row>
    <row r="7" spans="1:12">
      <c r="A7">
        <v>6</v>
      </c>
      <c r="B7" s="6" t="str">
        <f t="shared" ref="B7:B8" si="2">HYPERLINK("#"&amp;C7&amp;"!A"&amp;(D7+3),C7)</f>
        <v>OrderCancelReplaceRequest</v>
      </c>
      <c r="C7" t="s">
        <v>283</v>
      </c>
      <c r="D7">
        <f>COUNTIF(C$2:C7,C7)</f>
        <v>3</v>
      </c>
      <c r="E7" t="s">
        <v>409</v>
      </c>
      <c r="F7" s="4"/>
      <c r="K7">
        <v>502</v>
      </c>
      <c r="L7" t="s">
        <v>727</v>
      </c>
    </row>
    <row r="8" spans="1:12">
      <c r="A8">
        <v>7</v>
      </c>
      <c r="B8" s="6" t="str">
        <f t="shared" si="2"/>
        <v>OrderCancelRequest</v>
      </c>
      <c r="C8" t="s">
        <v>288</v>
      </c>
      <c r="D8">
        <f>COUNTIF(C$2:C8,C8)</f>
        <v>1</v>
      </c>
      <c r="E8" t="s">
        <v>501</v>
      </c>
      <c r="F8" s="4"/>
      <c r="K8">
        <v>800</v>
      </c>
      <c r="L8" t="s">
        <v>728</v>
      </c>
    </row>
    <row r="9" spans="1:12">
      <c r="A9">
        <v>8</v>
      </c>
      <c r="B9" s="6" t="str">
        <f>HYPERLINK("#"&amp;C9&amp;"!A"&amp;(D9+3),C9)</f>
        <v>NewOrderSingle</v>
      </c>
      <c r="C9" t="s">
        <v>217</v>
      </c>
      <c r="D9">
        <f>COUNTIF(C$2:C9,C9)</f>
        <v>4</v>
      </c>
      <c r="E9" t="s">
        <v>282</v>
      </c>
      <c r="F9" s="4"/>
      <c r="K9">
        <v>106</v>
      </c>
    </row>
    <row r="10" spans="1:12">
      <c r="A10">
        <v>9</v>
      </c>
      <c r="B10" s="6" t="str">
        <f t="shared" ref="B10" si="3">HYPERLINK("#"&amp;C10&amp;"!A"&amp;(D10+3),C10)</f>
        <v>OrderCancelReplaceRequest</v>
      </c>
      <c r="C10" t="s">
        <v>283</v>
      </c>
      <c r="D10">
        <f>COUNTIF(C$2:C10,C10)</f>
        <v>4</v>
      </c>
      <c r="E10" t="s">
        <v>410</v>
      </c>
      <c r="F10" s="4"/>
      <c r="K10">
        <v>503</v>
      </c>
      <c r="L10" t="s">
        <v>729</v>
      </c>
    </row>
    <row r="11" spans="1:12">
      <c r="A11">
        <v>10</v>
      </c>
      <c r="B11" s="6" t="str">
        <f>HYPERLINK("#"&amp;C11&amp;"!A"&amp;(D11+3),C11)</f>
        <v>NewOrderSingle</v>
      </c>
      <c r="C11" t="s">
        <v>217</v>
      </c>
      <c r="D11">
        <f>COUNTIF(C$2:C11,C11)</f>
        <v>5</v>
      </c>
      <c r="E11" t="s">
        <v>413</v>
      </c>
      <c r="F11" s="4"/>
      <c r="K11">
        <v>108</v>
      </c>
    </row>
    <row r="12" spans="1:12">
      <c r="A12">
        <v>11</v>
      </c>
      <c r="B12" s="6" t="str">
        <f t="shared" ref="B12" si="4">HYPERLINK("#"&amp;C12&amp;"!A"&amp;(D12+3),C12)</f>
        <v>OrderCancelReplaceRequest</v>
      </c>
      <c r="C12" t="s">
        <v>283</v>
      </c>
      <c r="D12">
        <f>COUNTIF(C$2:C12,C12)</f>
        <v>5</v>
      </c>
      <c r="E12" t="s">
        <v>411</v>
      </c>
      <c r="F12" s="4"/>
      <c r="K12">
        <v>504</v>
      </c>
      <c r="L12" t="s">
        <v>730</v>
      </c>
    </row>
    <row r="13" spans="1:12">
      <c r="A13">
        <v>12</v>
      </c>
      <c r="B13" s="6" t="str">
        <f>HYPERLINK("#"&amp;C13&amp;"!A"&amp;(D13+3),C13)</f>
        <v>NewOrderSingle</v>
      </c>
      <c r="C13" t="s">
        <v>217</v>
      </c>
      <c r="D13">
        <f>COUNTIF(C$2:C13,C13)</f>
        <v>6</v>
      </c>
      <c r="E13" t="s">
        <v>282</v>
      </c>
      <c r="F13" s="4"/>
      <c r="K13">
        <v>110</v>
      </c>
    </row>
    <row r="14" spans="1:12">
      <c r="A14">
        <v>13</v>
      </c>
      <c r="B14" s="6" t="str">
        <f t="shared" ref="B14" si="5">HYPERLINK("#"&amp;C14&amp;"!A"&amp;(D14+3),C14)</f>
        <v>OrderCancelReplaceRequest</v>
      </c>
      <c r="C14" t="s">
        <v>283</v>
      </c>
      <c r="D14">
        <f>COUNTIF(C$2:C14,C14)</f>
        <v>6</v>
      </c>
      <c r="E14" t="s">
        <v>289</v>
      </c>
      <c r="F14" s="4"/>
      <c r="K14">
        <v>505</v>
      </c>
      <c r="L14" t="s">
        <v>731</v>
      </c>
    </row>
    <row r="15" spans="1:12">
      <c r="A15">
        <v>14</v>
      </c>
      <c r="B15" s="6" t="str">
        <f t="shared" ref="B15:B41" si="6">HYPERLINK("#"&amp;C15&amp;"!A"&amp;(D15+3),C15)</f>
        <v>NewOrderSingle</v>
      </c>
      <c r="C15" t="s">
        <v>217</v>
      </c>
      <c r="D15">
        <f>COUNTIF(C$2:C15,C15)</f>
        <v>7</v>
      </c>
      <c r="E15" t="s">
        <v>282</v>
      </c>
      <c r="F15" s="4"/>
      <c r="K15">
        <v>112</v>
      </c>
    </row>
    <row r="16" spans="1:12" ht="13.5" customHeight="1">
      <c r="A16">
        <v>15</v>
      </c>
      <c r="B16" s="6" t="str">
        <f t="shared" si="6"/>
        <v>OrderCancelReplaceRequest</v>
      </c>
      <c r="C16" t="s">
        <v>283</v>
      </c>
      <c r="D16">
        <f>COUNTIF(C$2:C16,C16)</f>
        <v>7</v>
      </c>
      <c r="E16" t="s">
        <v>290</v>
      </c>
      <c r="K16">
        <v>506</v>
      </c>
      <c r="L16" t="s">
        <v>732</v>
      </c>
    </row>
    <row r="17" spans="1:12">
      <c r="A17">
        <v>16</v>
      </c>
      <c r="B17" s="6" t="str">
        <f t="shared" si="6"/>
        <v>OrderCancelReplaceRequest</v>
      </c>
      <c r="C17" t="s">
        <v>283</v>
      </c>
      <c r="D17">
        <f>COUNTIF(C$2:C17,C17)</f>
        <v>8</v>
      </c>
      <c r="E17" t="s">
        <v>291</v>
      </c>
      <c r="K17">
        <v>507</v>
      </c>
      <c r="L17" t="s">
        <v>733</v>
      </c>
    </row>
    <row r="18" spans="1:12">
      <c r="A18">
        <v>17</v>
      </c>
      <c r="B18" s="6" t="str">
        <f t="shared" si="6"/>
        <v>OrderCancelReplaceRequest</v>
      </c>
      <c r="C18" t="s">
        <v>283</v>
      </c>
      <c r="D18">
        <f>COUNTIF(C$2:C18,C18)</f>
        <v>9</v>
      </c>
      <c r="E18" t="s">
        <v>292</v>
      </c>
      <c r="K18">
        <v>508</v>
      </c>
      <c r="L18" t="s">
        <v>734</v>
      </c>
    </row>
    <row r="19" spans="1:12">
      <c r="A19">
        <v>18</v>
      </c>
      <c r="B19" s="6" t="str">
        <f t="shared" si="6"/>
        <v>NewOrderSingle</v>
      </c>
      <c r="C19" t="s">
        <v>217</v>
      </c>
      <c r="D19">
        <f>COUNTIF(C$2:C19,C19)</f>
        <v>8</v>
      </c>
      <c r="E19" t="s">
        <v>282</v>
      </c>
      <c r="K19">
        <v>116</v>
      </c>
    </row>
    <row r="20" spans="1:12">
      <c r="A20">
        <v>19</v>
      </c>
      <c r="B20" s="6" t="str">
        <f t="shared" si="6"/>
        <v>OrderCancelReplaceRequest</v>
      </c>
      <c r="C20" t="s">
        <v>283</v>
      </c>
      <c r="D20">
        <f>COUNTIF(C$2:C20,C20)</f>
        <v>10</v>
      </c>
      <c r="E20" s="8" t="s">
        <v>498</v>
      </c>
      <c r="K20">
        <v>509</v>
      </c>
      <c r="L20" t="s">
        <v>735</v>
      </c>
    </row>
    <row r="21" spans="1:12">
      <c r="A21">
        <v>20</v>
      </c>
      <c r="B21" s="6" t="str">
        <f t="shared" si="6"/>
        <v>OrderCancelReplaceRequest</v>
      </c>
      <c r="C21" t="s">
        <v>283</v>
      </c>
      <c r="D21">
        <f>COUNTIF(C$2:C21,C21)</f>
        <v>11</v>
      </c>
      <c r="E21" s="9" t="s">
        <v>499</v>
      </c>
      <c r="K21">
        <v>510</v>
      </c>
      <c r="L21" t="s">
        <v>736</v>
      </c>
    </row>
    <row r="22" spans="1:12">
      <c r="A22">
        <v>21</v>
      </c>
      <c r="B22" s="6" t="str">
        <f t="shared" ref="B22" si="7">HYPERLINK("#"&amp;C22&amp;"!A"&amp;(D22+3),C22)</f>
        <v>NewOrderSingle</v>
      </c>
      <c r="C22" t="s">
        <v>507</v>
      </c>
      <c r="D22">
        <f>COUNTIF(C$2:C22,C22)</f>
        <v>9</v>
      </c>
      <c r="E22" t="s">
        <v>502</v>
      </c>
      <c r="K22">
        <v>117</v>
      </c>
    </row>
    <row r="23" spans="1:12">
      <c r="A23">
        <v>22</v>
      </c>
      <c r="B23" s="6" t="str">
        <f t="shared" si="6"/>
        <v>OrderCancelReplaceRequest</v>
      </c>
      <c r="C23" t="s">
        <v>283</v>
      </c>
      <c r="D23">
        <f>COUNTIF(C$2:C23,C23)</f>
        <v>12</v>
      </c>
      <c r="E23" t="s">
        <v>592</v>
      </c>
      <c r="K23">
        <v>511</v>
      </c>
      <c r="L23" t="s">
        <v>739</v>
      </c>
    </row>
    <row r="24" spans="1:12">
      <c r="A24">
        <v>23</v>
      </c>
      <c r="B24" s="6" t="str">
        <f t="shared" si="6"/>
        <v>OrderCancelReplaceRequest</v>
      </c>
      <c r="C24" t="s">
        <v>283</v>
      </c>
      <c r="D24">
        <f>COUNTIF(C$2:C24,C24)</f>
        <v>13</v>
      </c>
      <c r="E24" t="s">
        <v>506</v>
      </c>
      <c r="K24">
        <v>512</v>
      </c>
      <c r="L24" t="s">
        <v>741</v>
      </c>
    </row>
    <row r="25" spans="1:12">
      <c r="A25">
        <v>24</v>
      </c>
      <c r="B25" s="6" t="str">
        <f t="shared" si="6"/>
        <v>OrderCancelReplaceRequest</v>
      </c>
      <c r="C25" t="s">
        <v>283</v>
      </c>
      <c r="D25">
        <f>COUNTIF(C$2:C25,C25)</f>
        <v>14</v>
      </c>
      <c r="E25" t="s">
        <v>503</v>
      </c>
      <c r="K25">
        <v>513</v>
      </c>
      <c r="L25" t="s">
        <v>740</v>
      </c>
    </row>
    <row r="26" spans="1:12">
      <c r="A26">
        <v>25</v>
      </c>
      <c r="B26" s="6" t="str">
        <f t="shared" si="6"/>
        <v>OrderCancelRequest</v>
      </c>
      <c r="C26" t="s">
        <v>288</v>
      </c>
      <c r="D26">
        <f>COUNTIF(C$2:C26,C26)</f>
        <v>2</v>
      </c>
      <c r="E26" t="s">
        <v>504</v>
      </c>
      <c r="K26">
        <v>801</v>
      </c>
    </row>
    <row r="27" spans="1:12">
      <c r="A27">
        <v>26</v>
      </c>
      <c r="B27" s="6" t="str">
        <f t="shared" si="6"/>
        <v>OrderCancelRequest</v>
      </c>
      <c r="C27" t="s">
        <v>288</v>
      </c>
      <c r="D27">
        <f>COUNTIF(C$2:C27,C27)</f>
        <v>3</v>
      </c>
      <c r="E27" t="s">
        <v>505</v>
      </c>
      <c r="K27">
        <v>802</v>
      </c>
    </row>
    <row r="28" spans="1:12">
      <c r="A28">
        <v>27</v>
      </c>
      <c r="B28" s="6" t="str">
        <f t="shared" si="6"/>
        <v>NewOrderSingle</v>
      </c>
      <c r="C28" t="s">
        <v>217</v>
      </c>
      <c r="D28">
        <f>COUNTIF(C$2:C28,C28)</f>
        <v>10</v>
      </c>
      <c r="E28" t="s">
        <v>588</v>
      </c>
      <c r="K28">
        <v>123</v>
      </c>
    </row>
    <row r="29" spans="1:12">
      <c r="A29">
        <v>28</v>
      </c>
      <c r="B29" s="6" t="str">
        <f t="shared" si="6"/>
        <v>NewOrderSingle</v>
      </c>
      <c r="C29" t="s">
        <v>217</v>
      </c>
      <c r="D29">
        <f>COUNTIF(C$2:C29,C29)</f>
        <v>11</v>
      </c>
      <c r="E29" t="s">
        <v>593</v>
      </c>
      <c r="K29">
        <v>124</v>
      </c>
    </row>
    <row r="30" spans="1:12">
      <c r="A30">
        <v>29</v>
      </c>
      <c r="B30" s="6" t="str">
        <f t="shared" si="6"/>
        <v>OrderCancelReplaceRequest</v>
      </c>
      <c r="C30" t="s">
        <v>283</v>
      </c>
      <c r="D30">
        <f>COUNTIF(C$2:C30,C30)</f>
        <v>15</v>
      </c>
      <c r="E30" t="s">
        <v>594</v>
      </c>
      <c r="K30">
        <v>514</v>
      </c>
      <c r="L30" t="s">
        <v>742</v>
      </c>
    </row>
    <row r="31" spans="1:12">
      <c r="A31">
        <v>30</v>
      </c>
      <c r="B31" s="6" t="str">
        <f t="shared" si="6"/>
        <v>OrderCancelRequest</v>
      </c>
      <c r="C31" t="s">
        <v>288</v>
      </c>
      <c r="D31">
        <f>COUNTIF(C$2:C31,C31)</f>
        <v>4</v>
      </c>
      <c r="E31" t="s">
        <v>618</v>
      </c>
      <c r="K31">
        <v>803</v>
      </c>
    </row>
    <row r="32" spans="1:12">
      <c r="A32">
        <v>31</v>
      </c>
      <c r="B32" s="6" t="str">
        <f t="shared" si="6"/>
        <v>OrderCancelRequest</v>
      </c>
      <c r="C32" t="s">
        <v>288</v>
      </c>
      <c r="D32">
        <f>COUNTIF(C$2:C32,C32)</f>
        <v>5</v>
      </c>
      <c r="E32" t="s">
        <v>620</v>
      </c>
      <c r="K32">
        <v>804</v>
      </c>
    </row>
    <row r="33" spans="1:12">
      <c r="A33">
        <v>32</v>
      </c>
      <c r="B33" s="6" t="str">
        <f t="shared" si="6"/>
        <v>NewOrderSingle</v>
      </c>
      <c r="C33" t="s">
        <v>217</v>
      </c>
      <c r="D33">
        <f>COUNTIF(C$2:C33,C33)</f>
        <v>12</v>
      </c>
      <c r="E33" t="s">
        <v>617</v>
      </c>
      <c r="K33">
        <v>127</v>
      </c>
    </row>
    <row r="34" spans="1:12">
      <c r="A34">
        <v>33</v>
      </c>
      <c r="B34" s="6" t="str">
        <f t="shared" si="6"/>
        <v>OrderCancelReplaceRequest</v>
      </c>
      <c r="C34" t="s">
        <v>283</v>
      </c>
      <c r="D34">
        <f>COUNTIF(C$2:C34,C34)</f>
        <v>16</v>
      </c>
      <c r="E34" t="s">
        <v>619</v>
      </c>
      <c r="K34">
        <v>515</v>
      </c>
      <c r="L34" t="s">
        <v>709</v>
      </c>
    </row>
    <row r="35" spans="1:12">
      <c r="A35">
        <v>34</v>
      </c>
      <c r="B35" s="6" t="str">
        <f t="shared" si="6"/>
        <v>OrderCancelRequest</v>
      </c>
      <c r="C35" t="s">
        <v>288</v>
      </c>
      <c r="D35">
        <f>COUNTIF(C$2:C35,C35)</f>
        <v>6</v>
      </c>
      <c r="E35" t="s">
        <v>652</v>
      </c>
      <c r="K35">
        <v>805</v>
      </c>
    </row>
    <row r="36" spans="1:12">
      <c r="A36">
        <v>35</v>
      </c>
      <c r="B36" s="6" t="str">
        <f t="shared" si="6"/>
        <v>OrderCancelRequest</v>
      </c>
      <c r="C36" t="s">
        <v>288</v>
      </c>
      <c r="D36">
        <f>COUNTIF(C$2:C36,C36)</f>
        <v>7</v>
      </c>
      <c r="E36" t="s">
        <v>653</v>
      </c>
      <c r="K36">
        <v>806</v>
      </c>
    </row>
    <row r="37" spans="1:12">
      <c r="A37">
        <v>36</v>
      </c>
      <c r="B37" s="6" t="str">
        <f t="shared" ref="B37" si="8">HYPERLINK("#"&amp;C37&amp;"!A"&amp;(D37+3),C37)</f>
        <v>NewOrderSingle</v>
      </c>
      <c r="C37" t="s">
        <v>217</v>
      </c>
      <c r="D37">
        <f>COUNTIF(C$2:C37,C37)</f>
        <v>13</v>
      </c>
      <c r="E37" t="s">
        <v>750</v>
      </c>
      <c r="K37">
        <v>131</v>
      </c>
      <c r="L37" t="s">
        <v>710</v>
      </c>
    </row>
    <row r="38" spans="1:12">
      <c r="A38">
        <v>37</v>
      </c>
      <c r="B38" s="6" t="str">
        <f t="shared" si="6"/>
        <v>OrderCancelReplaceRequest</v>
      </c>
      <c r="C38" t="s">
        <v>283</v>
      </c>
      <c r="D38">
        <f>COUNTIF(C$2:C38,C38)</f>
        <v>17</v>
      </c>
      <c r="E38" t="s">
        <v>758</v>
      </c>
      <c r="K38">
        <v>516</v>
      </c>
    </row>
    <row r="39" spans="1:12">
      <c r="A39">
        <v>38</v>
      </c>
      <c r="B39" s="6" t="str">
        <f t="shared" si="6"/>
        <v>NewOrderSingle</v>
      </c>
      <c r="C39" t="s">
        <v>217</v>
      </c>
      <c r="D39">
        <f>COUNTIF(C$2:C39,C39)</f>
        <v>14</v>
      </c>
      <c r="E39" t="s">
        <v>759</v>
      </c>
      <c r="K39">
        <v>133</v>
      </c>
      <c r="L39" t="s">
        <v>711</v>
      </c>
    </row>
    <row r="40" spans="1:12">
      <c r="A40">
        <v>39</v>
      </c>
      <c r="B40" s="6" t="str">
        <f t="shared" si="6"/>
        <v>OrderCancelReplaceRequest</v>
      </c>
      <c r="C40" t="s">
        <v>283</v>
      </c>
      <c r="D40">
        <f>COUNTIF(C$2:C40,C40)</f>
        <v>18</v>
      </c>
      <c r="E40" s="8" t="s">
        <v>767</v>
      </c>
      <c r="K40">
        <v>517</v>
      </c>
    </row>
    <row r="41" spans="1:12">
      <c r="A41">
        <v>40</v>
      </c>
      <c r="B41" s="6" t="str">
        <f t="shared" si="6"/>
        <v>OrderCancelRequest</v>
      </c>
      <c r="C41" t="s">
        <v>288</v>
      </c>
      <c r="D41">
        <f>COUNTIF(C$2:C41,C41)</f>
        <v>8</v>
      </c>
      <c r="E41" t="s">
        <v>768</v>
      </c>
    </row>
    <row r="42" spans="1:12">
      <c r="A42">
        <v>41</v>
      </c>
      <c r="B42" s="6" t="str">
        <f t="shared" ref="B42:B43" si="9">HYPERLINK("#"&amp;C42&amp;"!A"&amp;(D42+3),C42)</f>
        <v>NewOrderSingle</v>
      </c>
      <c r="C42" t="s">
        <v>217</v>
      </c>
      <c r="D42">
        <f>COUNTIF(C$2:C42,C42)</f>
        <v>15</v>
      </c>
      <c r="E42" t="s">
        <v>763</v>
      </c>
    </row>
    <row r="43" spans="1:12">
      <c r="A43">
        <v>42</v>
      </c>
      <c r="B43" s="6" t="str">
        <f t="shared" si="9"/>
        <v>NewOrderSingle</v>
      </c>
      <c r="C43" t="s">
        <v>217</v>
      </c>
      <c r="D43">
        <f>COUNTIF(C$2:C43,C43)</f>
        <v>16</v>
      </c>
      <c r="E43" t="s">
        <v>763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9"/>
  <sheetViews>
    <sheetView workbookViewId="0">
      <pane ySplit="3" topLeftCell="A4" activePane="bottomLeft" state="frozen"/>
      <selection pane="bottomLeft" activeCell="I22" sqref="I22"/>
    </sheetView>
  </sheetViews>
  <sheetFormatPr defaultRowHeight="14.25"/>
  <cols>
    <col min="6" max="6" width="15.75" customWidth="1"/>
    <col min="7" max="7" width="14.625" customWidth="1"/>
    <col min="19" max="19" width="13.25" customWidth="1"/>
    <col min="35" max="35" width="14.75" customWidth="1"/>
  </cols>
  <sheetData>
    <row r="1" spans="1:3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116</v>
      </c>
      <c r="H1" t="s">
        <v>6</v>
      </c>
      <c r="I1" t="s">
        <v>31</v>
      </c>
      <c r="J1" t="s">
        <v>54</v>
      </c>
      <c r="K1" t="s">
        <v>33</v>
      </c>
      <c r="L1" t="s">
        <v>148</v>
      </c>
      <c r="M1" t="s">
        <v>53</v>
      </c>
      <c r="N1" t="s">
        <v>88</v>
      </c>
      <c r="O1" t="s">
        <v>39</v>
      </c>
      <c r="P1" t="s">
        <v>34</v>
      </c>
      <c r="Q1" t="s">
        <v>38</v>
      </c>
      <c r="R1" t="s">
        <v>36</v>
      </c>
      <c r="S1" t="s">
        <v>32</v>
      </c>
      <c r="T1" t="s">
        <v>41</v>
      </c>
      <c r="U1" t="s">
        <v>47</v>
      </c>
      <c r="V1" t="s">
        <v>37</v>
      </c>
      <c r="W1" t="s">
        <v>43</v>
      </c>
      <c r="X1" t="s">
        <v>42</v>
      </c>
      <c r="Y1" t="s">
        <v>44</v>
      </c>
      <c r="Z1" t="s">
        <v>112</v>
      </c>
      <c r="AA1" t="s">
        <v>48</v>
      </c>
      <c r="AB1" t="s">
        <v>50</v>
      </c>
      <c r="AC1" t="s">
        <v>51</v>
      </c>
      <c r="AD1" t="s">
        <v>50</v>
      </c>
      <c r="AE1" t="s">
        <v>51</v>
      </c>
      <c r="AF1" t="s">
        <v>55</v>
      </c>
      <c r="AG1" t="s">
        <v>52</v>
      </c>
      <c r="AH1" t="s">
        <v>57</v>
      </c>
      <c r="AI1" t="s">
        <v>226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38</v>
      </c>
      <c r="K2" t="s">
        <v>13</v>
      </c>
      <c r="L2" t="s">
        <v>148</v>
      </c>
      <c r="M2" t="s">
        <v>35</v>
      </c>
      <c r="N2" t="s">
        <v>35</v>
      </c>
      <c r="O2" t="s">
        <v>40</v>
      </c>
      <c r="P2" t="s">
        <v>35</v>
      </c>
      <c r="Q2" t="s">
        <v>38</v>
      </c>
      <c r="R2" t="s">
        <v>35</v>
      </c>
      <c r="S2" t="s">
        <v>10</v>
      </c>
      <c r="T2" t="s">
        <v>35</v>
      </c>
      <c r="U2" t="s">
        <v>46</v>
      </c>
      <c r="V2" t="s">
        <v>35</v>
      </c>
      <c r="W2" t="s">
        <v>38</v>
      </c>
      <c r="X2" t="s">
        <v>40</v>
      </c>
      <c r="Y2" t="s">
        <v>45</v>
      </c>
      <c r="Z2" t="s">
        <v>113</v>
      </c>
      <c r="AA2" t="s">
        <v>49</v>
      </c>
      <c r="AB2" t="s">
        <v>10</v>
      </c>
      <c r="AC2" t="s">
        <v>13</v>
      </c>
      <c r="AD2" t="s">
        <v>10</v>
      </c>
      <c r="AE2" t="s">
        <v>13</v>
      </c>
      <c r="AF2" t="s">
        <v>56</v>
      </c>
      <c r="AG2" t="s">
        <v>14</v>
      </c>
      <c r="AH2" t="s">
        <v>56</v>
      </c>
      <c r="AI2" t="s">
        <v>56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221</v>
      </c>
      <c r="H3" s="2" t="s">
        <v>22</v>
      </c>
      <c r="I3" s="3" t="s">
        <v>64</v>
      </c>
      <c r="J3" s="3" t="s">
        <v>68</v>
      </c>
      <c r="K3" s="3" t="s">
        <v>69</v>
      </c>
      <c r="L3" s="3" t="s">
        <v>224</v>
      </c>
      <c r="M3" s="3" t="s">
        <v>70</v>
      </c>
      <c r="N3" s="3" t="s">
        <v>89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>
        <v>432</v>
      </c>
      <c r="AA3" s="3" t="s">
        <v>82</v>
      </c>
      <c r="AB3" s="3" t="s">
        <v>111</v>
      </c>
      <c r="AC3" s="3" t="s">
        <v>110</v>
      </c>
      <c r="AD3" s="3" t="s">
        <v>222</v>
      </c>
      <c r="AE3" s="3" t="s">
        <v>223</v>
      </c>
      <c r="AF3" s="3" t="s">
        <v>83</v>
      </c>
      <c r="AG3" s="3" t="s">
        <v>84</v>
      </c>
      <c r="AH3" s="3" t="s">
        <v>85</v>
      </c>
      <c r="AI3" s="3" t="s">
        <v>225</v>
      </c>
      <c r="AJ3" s="2" t="s">
        <v>25</v>
      </c>
    </row>
    <row r="4" spans="1:36">
      <c r="A4" s="3" t="s">
        <v>26</v>
      </c>
      <c r="B4" s="3" t="s">
        <v>27</v>
      </c>
      <c r="C4" s="3" t="s">
        <v>86</v>
      </c>
      <c r="D4" s="3"/>
      <c r="E4" s="3" t="s">
        <v>229</v>
      </c>
      <c r="F4" s="4">
        <f t="shared" ref="F4:F19" ca="1" si="0">NOW()</f>
        <v>44265.406385532406</v>
      </c>
      <c r="G4" s="4"/>
      <c r="H4" s="3" t="s">
        <v>28</v>
      </c>
      <c r="I4" s="3" t="s">
        <v>229</v>
      </c>
      <c r="J4" s="3" t="s">
        <v>61</v>
      </c>
      <c r="K4" s="3" t="s">
        <v>299</v>
      </c>
      <c r="L4" s="3"/>
      <c r="M4" s="3" t="s">
        <v>61</v>
      </c>
      <c r="N4" s="3" t="s">
        <v>90</v>
      </c>
      <c r="O4" s="3" t="s">
        <v>29</v>
      </c>
      <c r="P4" s="3" t="s">
        <v>63</v>
      </c>
      <c r="Q4" s="3" t="s">
        <v>301</v>
      </c>
      <c r="R4" s="3" t="s">
        <v>29</v>
      </c>
      <c r="S4" t="s">
        <v>285</v>
      </c>
      <c r="T4" s="3" t="s">
        <v>61</v>
      </c>
      <c r="U4" s="3" t="s">
        <v>91</v>
      </c>
      <c r="V4" t="s">
        <v>59</v>
      </c>
      <c r="W4" s="3">
        <v>0</v>
      </c>
      <c r="X4" s="3">
        <v>0</v>
      </c>
      <c r="Y4" t="s">
        <v>60</v>
      </c>
      <c r="AF4" s="3" t="s">
        <v>29</v>
      </c>
      <c r="AG4" t="s">
        <v>278</v>
      </c>
      <c r="AJ4" s="3" t="s">
        <v>30</v>
      </c>
    </row>
    <row r="5" spans="1:36">
      <c r="A5" s="3" t="s">
        <v>26</v>
      </c>
      <c r="B5" s="3" t="s">
        <v>27</v>
      </c>
      <c r="C5" s="3" t="s">
        <v>86</v>
      </c>
      <c r="D5" s="3"/>
      <c r="E5" s="3" t="s">
        <v>231</v>
      </c>
      <c r="F5" s="4">
        <f t="shared" ca="1" si="0"/>
        <v>44265.406385532406</v>
      </c>
      <c r="G5" s="4"/>
      <c r="H5" s="3" t="s">
        <v>28</v>
      </c>
      <c r="I5" s="3" t="s">
        <v>231</v>
      </c>
      <c r="J5" s="3" t="s">
        <v>61</v>
      </c>
      <c r="K5" s="3" t="s">
        <v>312</v>
      </c>
      <c r="L5" s="3"/>
      <c r="M5" s="3" t="s">
        <v>61</v>
      </c>
      <c r="N5" s="3" t="s">
        <v>90</v>
      </c>
      <c r="O5" s="3" t="s">
        <v>62</v>
      </c>
      <c r="P5" s="3" t="s">
        <v>63</v>
      </c>
      <c r="Q5" s="3" t="s">
        <v>339</v>
      </c>
      <c r="R5" s="3" t="s">
        <v>64</v>
      </c>
      <c r="S5" t="s">
        <v>298</v>
      </c>
      <c r="T5" s="3" t="s">
        <v>61</v>
      </c>
      <c r="U5" s="3" t="s">
        <v>91</v>
      </c>
      <c r="V5" t="s">
        <v>59</v>
      </c>
      <c r="W5" s="3">
        <v>0</v>
      </c>
      <c r="X5" s="3">
        <v>0</v>
      </c>
      <c r="Y5" t="s">
        <v>60</v>
      </c>
      <c r="AF5" s="3" t="s">
        <v>62</v>
      </c>
      <c r="AG5" t="s">
        <v>278</v>
      </c>
      <c r="AJ5" s="3" t="s">
        <v>30</v>
      </c>
    </row>
    <row r="6" spans="1:36">
      <c r="A6" s="3" t="s">
        <v>26</v>
      </c>
      <c r="B6" s="3" t="s">
        <v>27</v>
      </c>
      <c r="C6" s="3" t="s">
        <v>87</v>
      </c>
      <c r="D6" s="3"/>
      <c r="E6" s="3" t="s">
        <v>231</v>
      </c>
      <c r="F6" s="4">
        <f t="shared" ca="1" si="0"/>
        <v>44265.406385532406</v>
      </c>
      <c r="G6" s="4"/>
      <c r="H6" s="3" t="s">
        <v>28</v>
      </c>
      <c r="I6" s="3" t="s">
        <v>232</v>
      </c>
      <c r="J6" s="3" t="s">
        <v>61</v>
      </c>
      <c r="K6" s="3" t="s">
        <v>314</v>
      </c>
      <c r="L6" s="3"/>
      <c r="M6" s="3" t="s">
        <v>61</v>
      </c>
      <c r="N6" s="3" t="s">
        <v>90</v>
      </c>
      <c r="O6" s="3" t="s">
        <v>58</v>
      </c>
      <c r="P6" s="3" t="s">
        <v>63</v>
      </c>
      <c r="Q6" s="3" t="s">
        <v>341</v>
      </c>
      <c r="R6" s="3" t="s">
        <v>302</v>
      </c>
      <c r="S6" t="s">
        <v>303</v>
      </c>
      <c r="T6" s="3" t="s">
        <v>61</v>
      </c>
      <c r="U6" s="3" t="s">
        <v>91</v>
      </c>
      <c r="V6" t="s">
        <v>59</v>
      </c>
      <c r="W6" s="3">
        <v>0</v>
      </c>
      <c r="X6" s="3">
        <v>0</v>
      </c>
      <c r="Y6" t="s">
        <v>60</v>
      </c>
      <c r="AF6" s="3" t="s">
        <v>58</v>
      </c>
      <c r="AG6" t="s">
        <v>278</v>
      </c>
      <c r="AJ6" s="3" t="s">
        <v>30</v>
      </c>
    </row>
    <row r="7" spans="1:36">
      <c r="A7" s="3" t="s">
        <v>26</v>
      </c>
      <c r="B7" s="3" t="s">
        <v>27</v>
      </c>
      <c r="C7" s="3" t="s">
        <v>87</v>
      </c>
      <c r="D7" s="3"/>
      <c r="E7" s="3" t="s">
        <v>228</v>
      </c>
      <c r="F7" s="4">
        <f t="shared" ca="1" si="0"/>
        <v>44265.406385532406</v>
      </c>
      <c r="G7" s="4"/>
      <c r="H7" s="3" t="s">
        <v>28</v>
      </c>
      <c r="I7" s="3" t="s">
        <v>228</v>
      </c>
      <c r="J7" s="3" t="s">
        <v>61</v>
      </c>
      <c r="K7" s="3" t="s">
        <v>316</v>
      </c>
      <c r="L7" s="3"/>
      <c r="M7" s="3" t="s">
        <v>61</v>
      </c>
      <c r="N7" s="3" t="s">
        <v>90</v>
      </c>
      <c r="O7" s="3" t="s">
        <v>58</v>
      </c>
      <c r="P7" s="3" t="s">
        <v>63</v>
      </c>
      <c r="Q7" s="3" t="s">
        <v>343</v>
      </c>
      <c r="R7" s="3" t="s">
        <v>58</v>
      </c>
      <c r="S7" t="s">
        <v>284</v>
      </c>
      <c r="T7" s="3" t="s">
        <v>61</v>
      </c>
      <c r="U7" s="3" t="s">
        <v>91</v>
      </c>
      <c r="V7" t="s">
        <v>59</v>
      </c>
      <c r="W7" s="3">
        <v>0</v>
      </c>
      <c r="X7" s="3">
        <v>0</v>
      </c>
      <c r="Y7" t="s">
        <v>60</v>
      </c>
      <c r="AF7" s="3" t="s">
        <v>58</v>
      </c>
      <c r="AG7" t="s">
        <v>278</v>
      </c>
      <c r="AJ7" s="3" t="s">
        <v>30</v>
      </c>
    </row>
    <row r="8" spans="1:36">
      <c r="A8" s="3" t="s">
        <v>26</v>
      </c>
      <c r="B8" s="3" t="s">
        <v>27</v>
      </c>
      <c r="C8" s="3" t="s">
        <v>86</v>
      </c>
      <c r="D8" s="3"/>
      <c r="E8" s="3" t="s">
        <v>228</v>
      </c>
      <c r="F8" s="4">
        <f t="shared" ca="1" si="0"/>
        <v>44265.406385532406</v>
      </c>
      <c r="G8" s="4"/>
      <c r="H8" s="3" t="s">
        <v>28</v>
      </c>
      <c r="I8" s="3" t="s">
        <v>228</v>
      </c>
      <c r="J8" s="3" t="s">
        <v>61</v>
      </c>
      <c r="K8" s="3" t="s">
        <v>414</v>
      </c>
      <c r="L8" s="3"/>
      <c r="M8" s="3" t="s">
        <v>61</v>
      </c>
      <c r="N8" s="3" t="s">
        <v>90</v>
      </c>
      <c r="O8" s="3" t="s">
        <v>29</v>
      </c>
      <c r="P8" s="3" t="s">
        <v>63</v>
      </c>
      <c r="Q8" s="3" t="s">
        <v>493</v>
      </c>
      <c r="R8" s="3" t="s">
        <v>29</v>
      </c>
      <c r="S8" t="s">
        <v>399</v>
      </c>
      <c r="T8" s="3" t="s">
        <v>61</v>
      </c>
      <c r="U8" s="3" t="s">
        <v>91</v>
      </c>
      <c r="V8" t="s">
        <v>59</v>
      </c>
      <c r="W8" s="3">
        <v>0</v>
      </c>
      <c r="X8" s="3">
        <v>0</v>
      </c>
      <c r="Y8" t="s">
        <v>60</v>
      </c>
      <c r="AF8" s="3" t="s">
        <v>29</v>
      </c>
      <c r="AG8" t="s">
        <v>278</v>
      </c>
      <c r="AJ8" s="3" t="s">
        <v>30</v>
      </c>
    </row>
    <row r="9" spans="1:36">
      <c r="A9" s="3" t="s">
        <v>26</v>
      </c>
      <c r="B9" s="3" t="s">
        <v>27</v>
      </c>
      <c r="C9" s="3" t="s">
        <v>86</v>
      </c>
      <c r="D9" s="3"/>
      <c r="E9" s="3" t="s">
        <v>228</v>
      </c>
      <c r="F9" s="4">
        <f t="shared" ca="1" si="0"/>
        <v>44265.406385532406</v>
      </c>
      <c r="G9" s="4"/>
      <c r="H9" s="3" t="s">
        <v>28</v>
      </c>
      <c r="I9" s="3" t="s">
        <v>228</v>
      </c>
      <c r="J9" s="3" t="s">
        <v>61</v>
      </c>
      <c r="K9" s="3" t="s">
        <v>421</v>
      </c>
      <c r="L9" s="3"/>
      <c r="M9" s="3" t="s">
        <v>61</v>
      </c>
      <c r="N9" s="3" t="s">
        <v>90</v>
      </c>
      <c r="O9" s="3" t="s">
        <v>29</v>
      </c>
      <c r="P9" s="3" t="s">
        <v>63</v>
      </c>
      <c r="Q9" s="3" t="s">
        <v>419</v>
      </c>
      <c r="R9" s="3" t="s">
        <v>29</v>
      </c>
      <c r="S9" t="s">
        <v>284</v>
      </c>
      <c r="T9" s="3" t="s">
        <v>61</v>
      </c>
      <c r="U9" s="3" t="s">
        <v>91</v>
      </c>
      <c r="V9" t="s">
        <v>59</v>
      </c>
      <c r="W9" s="3">
        <v>0</v>
      </c>
      <c r="X9" s="3">
        <v>0</v>
      </c>
      <c r="Y9" t="s">
        <v>60</v>
      </c>
      <c r="AF9" s="3" t="s">
        <v>29</v>
      </c>
      <c r="AG9" t="s">
        <v>278</v>
      </c>
      <c r="AJ9" s="3" t="s">
        <v>30</v>
      </c>
    </row>
    <row r="10" spans="1:36">
      <c r="A10" s="3" t="s">
        <v>26</v>
      </c>
      <c r="B10" s="3" t="s">
        <v>27</v>
      </c>
      <c r="C10" s="3" t="s">
        <v>86</v>
      </c>
      <c r="D10" s="3"/>
      <c r="E10" s="3" t="s">
        <v>228</v>
      </c>
      <c r="F10" s="4">
        <f t="shared" ca="1" si="0"/>
        <v>44265.406385532406</v>
      </c>
      <c r="G10" s="4"/>
      <c r="H10" s="3" t="s">
        <v>28</v>
      </c>
      <c r="I10" s="3" t="s">
        <v>228</v>
      </c>
      <c r="J10" s="3" t="s">
        <v>61</v>
      </c>
      <c r="K10" s="3" t="s">
        <v>436</v>
      </c>
      <c r="L10" s="3"/>
      <c r="M10" s="3" t="s">
        <v>61</v>
      </c>
      <c r="N10" s="3" t="s">
        <v>90</v>
      </c>
      <c r="O10" s="3" t="s">
        <v>29</v>
      </c>
      <c r="P10" s="3" t="s">
        <v>63</v>
      </c>
      <c r="Q10" s="3" t="s">
        <v>438</v>
      </c>
      <c r="R10" s="3" t="s">
        <v>29</v>
      </c>
      <c r="S10" t="s">
        <v>284</v>
      </c>
      <c r="T10" s="3" t="s">
        <v>61</v>
      </c>
      <c r="U10" s="3" t="s">
        <v>91</v>
      </c>
      <c r="V10" t="s">
        <v>59</v>
      </c>
      <c r="W10" s="3">
        <v>0</v>
      </c>
      <c r="X10" s="3">
        <v>0</v>
      </c>
      <c r="Y10" t="s">
        <v>60</v>
      </c>
      <c r="AF10" s="3" t="s">
        <v>29</v>
      </c>
      <c r="AG10" t="s">
        <v>278</v>
      </c>
      <c r="AJ10" s="3" t="s">
        <v>30</v>
      </c>
    </row>
    <row r="11" spans="1:36">
      <c r="A11" s="3" t="s">
        <v>26</v>
      </c>
      <c r="B11" s="3" t="s">
        <v>27</v>
      </c>
      <c r="C11" s="3" t="s">
        <v>86</v>
      </c>
      <c r="D11" s="3"/>
      <c r="E11" s="3" t="s">
        <v>228</v>
      </c>
      <c r="F11" s="4">
        <f t="shared" ca="1" si="0"/>
        <v>44265.406385532406</v>
      </c>
      <c r="G11" s="4"/>
      <c r="H11" s="3" t="s">
        <v>28</v>
      </c>
      <c r="I11" s="3" t="s">
        <v>228</v>
      </c>
      <c r="J11" s="3" t="s">
        <v>61</v>
      </c>
      <c r="K11" s="3" t="s">
        <v>473</v>
      </c>
      <c r="L11" s="3"/>
      <c r="M11" s="3" t="s">
        <v>61</v>
      </c>
      <c r="N11" s="3" t="s">
        <v>90</v>
      </c>
      <c r="O11" s="3" t="s">
        <v>29</v>
      </c>
      <c r="P11" s="3" t="s">
        <v>63</v>
      </c>
      <c r="Q11" s="3" t="s">
        <v>474</v>
      </c>
      <c r="R11" s="3" t="s">
        <v>29</v>
      </c>
      <c r="S11" t="s">
        <v>284</v>
      </c>
      <c r="T11" s="3" t="s">
        <v>61</v>
      </c>
      <c r="U11" s="3" t="s">
        <v>91</v>
      </c>
      <c r="V11" t="s">
        <v>59</v>
      </c>
      <c r="W11" s="3">
        <v>0</v>
      </c>
      <c r="X11" s="3">
        <v>0</v>
      </c>
      <c r="Y11" t="s">
        <v>60</v>
      </c>
      <c r="AF11" s="3" t="s">
        <v>29</v>
      </c>
      <c r="AG11" t="s">
        <v>278</v>
      </c>
      <c r="AJ11" s="3" t="s">
        <v>30</v>
      </c>
    </row>
    <row r="12" spans="1:36">
      <c r="A12" s="3" t="s">
        <v>26</v>
      </c>
      <c r="B12" s="3" t="s">
        <v>27</v>
      </c>
      <c r="C12" s="3" t="s">
        <v>86</v>
      </c>
      <c r="D12" s="3"/>
      <c r="E12" s="3" t="s">
        <v>229</v>
      </c>
      <c r="F12" s="4">
        <f t="shared" ca="1" si="0"/>
        <v>44265.406385532406</v>
      </c>
      <c r="G12" s="4"/>
      <c r="H12" s="3" t="s">
        <v>28</v>
      </c>
      <c r="I12" s="3" t="s">
        <v>232</v>
      </c>
      <c r="J12" s="3" t="s">
        <v>61</v>
      </c>
      <c r="K12" s="3" t="s">
        <v>509</v>
      </c>
      <c r="L12" s="3"/>
      <c r="M12" s="3" t="s">
        <v>61</v>
      </c>
      <c r="N12" s="3" t="s">
        <v>90</v>
      </c>
      <c r="O12" s="3" t="s">
        <v>29</v>
      </c>
      <c r="P12" s="3" t="s">
        <v>63</v>
      </c>
      <c r="Q12" s="3" t="s">
        <v>511</v>
      </c>
      <c r="R12" s="3" t="s">
        <v>63</v>
      </c>
      <c r="S12" t="s">
        <v>287</v>
      </c>
      <c r="T12" s="3" t="s">
        <v>61</v>
      </c>
      <c r="U12" s="3" t="s">
        <v>61</v>
      </c>
      <c r="V12" t="s">
        <v>59</v>
      </c>
      <c r="W12" s="3">
        <v>0</v>
      </c>
      <c r="X12" s="3">
        <v>0</v>
      </c>
      <c r="Y12" t="s">
        <v>60</v>
      </c>
      <c r="AF12" s="3" t="s">
        <v>29</v>
      </c>
      <c r="AG12" t="s">
        <v>142</v>
      </c>
      <c r="AJ12" s="3" t="s">
        <v>30</v>
      </c>
    </row>
    <row r="13" spans="1:36">
      <c r="A13" s="3" t="s">
        <v>26</v>
      </c>
      <c r="B13" s="3" t="s">
        <v>27</v>
      </c>
      <c r="C13" s="3" t="s">
        <v>86</v>
      </c>
      <c r="D13" s="3"/>
      <c r="E13" s="3" t="s">
        <v>229</v>
      </c>
      <c r="F13" s="4">
        <f t="shared" ca="1" si="0"/>
        <v>44265.406385532406</v>
      </c>
      <c r="G13" s="4"/>
      <c r="H13" s="3" t="s">
        <v>28</v>
      </c>
      <c r="I13" s="3" t="s">
        <v>232</v>
      </c>
      <c r="J13" s="3" t="s">
        <v>61</v>
      </c>
      <c r="K13" s="3" t="s">
        <v>581</v>
      </c>
      <c r="L13" s="3"/>
      <c r="M13" s="3" t="s">
        <v>61</v>
      </c>
      <c r="N13" s="3" t="s">
        <v>90</v>
      </c>
      <c r="O13" s="3" t="s">
        <v>220</v>
      </c>
      <c r="P13" s="3" t="s">
        <v>63</v>
      </c>
      <c r="Q13" s="3" t="s">
        <v>589</v>
      </c>
      <c r="R13" s="3" t="s">
        <v>29</v>
      </c>
      <c r="S13" t="s">
        <v>287</v>
      </c>
      <c r="T13" s="3" t="s">
        <v>61</v>
      </c>
      <c r="U13" s="3" t="s">
        <v>61</v>
      </c>
      <c r="V13" t="s">
        <v>59</v>
      </c>
      <c r="W13" s="3">
        <v>0</v>
      </c>
      <c r="X13" s="3">
        <v>0</v>
      </c>
      <c r="Y13" t="s">
        <v>60</v>
      </c>
      <c r="AF13" s="3" t="s">
        <v>29</v>
      </c>
      <c r="AG13" t="s">
        <v>142</v>
      </c>
      <c r="AJ13" s="3" t="s">
        <v>30</v>
      </c>
    </row>
    <row r="14" spans="1:36">
      <c r="A14" s="3" t="s">
        <v>26</v>
      </c>
      <c r="B14" s="3" t="s">
        <v>27</v>
      </c>
      <c r="C14" s="3" t="s">
        <v>86</v>
      </c>
      <c r="D14" s="3"/>
      <c r="E14" s="3" t="s">
        <v>229</v>
      </c>
      <c r="F14" s="4">
        <f t="shared" ca="1" si="0"/>
        <v>44265.406385532406</v>
      </c>
      <c r="G14" s="4"/>
      <c r="H14" s="3" t="s">
        <v>28</v>
      </c>
      <c r="I14" s="3" t="s">
        <v>232</v>
      </c>
      <c r="J14" s="3" t="s">
        <v>61</v>
      </c>
      <c r="K14" s="3" t="s">
        <v>597</v>
      </c>
      <c r="L14" s="3"/>
      <c r="M14" s="3" t="s">
        <v>61</v>
      </c>
      <c r="N14" s="3" t="s">
        <v>90</v>
      </c>
      <c r="O14" s="3" t="s">
        <v>29</v>
      </c>
      <c r="P14" s="3" t="s">
        <v>63</v>
      </c>
      <c r="Q14" s="3" t="s">
        <v>598</v>
      </c>
      <c r="R14" s="3" t="s">
        <v>29</v>
      </c>
      <c r="S14" t="s">
        <v>287</v>
      </c>
      <c r="T14" s="3" t="s">
        <v>61</v>
      </c>
      <c r="U14" s="3" t="s">
        <v>61</v>
      </c>
      <c r="V14" t="s">
        <v>59</v>
      </c>
      <c r="W14" s="3">
        <v>0</v>
      </c>
      <c r="X14" s="3">
        <v>0</v>
      </c>
      <c r="Y14" t="s">
        <v>60</v>
      </c>
      <c r="AF14" s="3" t="s">
        <v>29</v>
      </c>
      <c r="AG14" t="s">
        <v>142</v>
      </c>
      <c r="AJ14" s="3" t="s">
        <v>30</v>
      </c>
    </row>
    <row r="15" spans="1:36">
      <c r="A15" s="3" t="s">
        <v>26</v>
      </c>
      <c r="B15" s="3" t="s">
        <v>27</v>
      </c>
      <c r="C15" s="3" t="s">
        <v>86</v>
      </c>
      <c r="D15" s="3"/>
      <c r="E15" s="3" t="s">
        <v>229</v>
      </c>
      <c r="F15" s="4">
        <f t="shared" ca="1" si="0"/>
        <v>44265.406385532406</v>
      </c>
      <c r="G15" s="4"/>
      <c r="H15" s="3" t="s">
        <v>28</v>
      </c>
      <c r="I15" s="3" t="s">
        <v>232</v>
      </c>
      <c r="J15" s="3" t="s">
        <v>61</v>
      </c>
      <c r="K15" s="3" t="s">
        <v>632</v>
      </c>
      <c r="L15" s="3"/>
      <c r="M15" s="3" t="s">
        <v>61</v>
      </c>
      <c r="N15" s="3" t="s">
        <v>90</v>
      </c>
      <c r="O15" s="3" t="s">
        <v>29</v>
      </c>
      <c r="P15" s="3" t="s">
        <v>63</v>
      </c>
      <c r="Q15" s="3" t="s">
        <v>635</v>
      </c>
      <c r="R15" s="3" t="s">
        <v>633</v>
      </c>
      <c r="S15" t="s">
        <v>287</v>
      </c>
      <c r="T15" s="3" t="s">
        <v>61</v>
      </c>
      <c r="U15" s="3" t="s">
        <v>61</v>
      </c>
      <c r="V15" t="s">
        <v>59</v>
      </c>
      <c r="W15" s="3">
        <v>0</v>
      </c>
      <c r="X15" s="3">
        <v>0</v>
      </c>
      <c r="Y15" t="s">
        <v>60</v>
      </c>
      <c r="AF15" s="3" t="s">
        <v>29</v>
      </c>
      <c r="AG15" t="s">
        <v>142</v>
      </c>
      <c r="AJ15" s="3" t="s">
        <v>30</v>
      </c>
    </row>
    <row r="16" spans="1:36">
      <c r="A16" s="3" t="s">
        <v>26</v>
      </c>
      <c r="B16" s="3" t="s">
        <v>27</v>
      </c>
      <c r="C16" s="3" t="s">
        <v>86</v>
      </c>
      <c r="D16" s="3"/>
      <c r="E16" s="3" t="s">
        <v>229</v>
      </c>
      <c r="F16" s="4">
        <f t="shared" ca="1" si="0"/>
        <v>44265.406385532406</v>
      </c>
      <c r="G16" s="4"/>
      <c r="H16" s="3" t="s">
        <v>28</v>
      </c>
      <c r="I16" s="3" t="s">
        <v>231</v>
      </c>
      <c r="J16" s="3" t="s">
        <v>61</v>
      </c>
      <c r="K16" s="3" t="s">
        <v>684</v>
      </c>
      <c r="L16" s="3"/>
      <c r="M16" s="3" t="s">
        <v>61</v>
      </c>
      <c r="N16" s="3" t="s">
        <v>90</v>
      </c>
      <c r="O16" s="3" t="s">
        <v>29</v>
      </c>
      <c r="P16" s="3" t="s">
        <v>686</v>
      </c>
      <c r="Q16" s="3" t="s">
        <v>685</v>
      </c>
      <c r="R16" s="3" t="s">
        <v>29</v>
      </c>
      <c r="S16" t="s">
        <v>287</v>
      </c>
      <c r="T16" s="3" t="s">
        <v>61</v>
      </c>
      <c r="U16" s="3" t="s">
        <v>61</v>
      </c>
      <c r="V16" t="s">
        <v>59</v>
      </c>
      <c r="W16" s="3">
        <v>0</v>
      </c>
      <c r="X16" s="3">
        <v>0</v>
      </c>
      <c r="Y16" t="s">
        <v>60</v>
      </c>
      <c r="AF16" s="3" t="s">
        <v>29</v>
      </c>
      <c r="AG16" t="s">
        <v>142</v>
      </c>
      <c r="AJ16" s="3" t="s">
        <v>30</v>
      </c>
    </row>
    <row r="17" spans="1:36">
      <c r="A17" s="3" t="s">
        <v>26</v>
      </c>
      <c r="B17" s="3" t="s">
        <v>27</v>
      </c>
      <c r="C17" s="3" t="s">
        <v>86</v>
      </c>
      <c r="D17" s="3"/>
      <c r="E17" s="3" t="s">
        <v>229</v>
      </c>
      <c r="F17" s="4">
        <f t="shared" ca="1" si="0"/>
        <v>44265.406385532406</v>
      </c>
      <c r="G17" s="4"/>
      <c r="H17" s="3" t="s">
        <v>28</v>
      </c>
      <c r="I17" s="3" t="s">
        <v>231</v>
      </c>
      <c r="J17" s="3" t="s">
        <v>61</v>
      </c>
      <c r="K17" s="3" t="s">
        <v>712</v>
      </c>
      <c r="L17" s="3"/>
      <c r="M17" s="3" t="s">
        <v>61</v>
      </c>
      <c r="N17" s="3" t="s">
        <v>90</v>
      </c>
      <c r="O17" s="3" t="s">
        <v>68</v>
      </c>
      <c r="P17" s="3" t="s">
        <v>686</v>
      </c>
      <c r="Q17" s="3" t="s">
        <v>715</v>
      </c>
      <c r="R17" s="3" t="s">
        <v>29</v>
      </c>
      <c r="S17" t="s">
        <v>287</v>
      </c>
      <c r="T17" s="3" t="s">
        <v>61</v>
      </c>
      <c r="U17" s="3" t="s">
        <v>61</v>
      </c>
      <c r="V17" t="s">
        <v>59</v>
      </c>
      <c r="W17" s="3">
        <v>0</v>
      </c>
      <c r="X17" s="3">
        <v>0</v>
      </c>
      <c r="Y17" t="s">
        <v>60</v>
      </c>
      <c r="AF17" s="3" t="s">
        <v>29</v>
      </c>
      <c r="AG17" t="s">
        <v>142</v>
      </c>
      <c r="AJ17" s="3" t="s">
        <v>30</v>
      </c>
    </row>
    <row r="18" spans="1:36">
      <c r="A18" s="3" t="s">
        <v>26</v>
      </c>
      <c r="B18" s="3" t="s">
        <v>27</v>
      </c>
      <c r="C18" s="3" t="s">
        <v>86</v>
      </c>
      <c r="D18" s="3"/>
      <c r="E18" s="3" t="s">
        <v>229</v>
      </c>
      <c r="F18" s="4">
        <f t="shared" ca="1" si="0"/>
        <v>44265.406385532406</v>
      </c>
      <c r="G18" s="4"/>
      <c r="H18" s="3" t="s">
        <v>28</v>
      </c>
      <c r="I18" s="3" t="s">
        <v>231</v>
      </c>
      <c r="J18" s="3" t="s">
        <v>61</v>
      </c>
      <c r="K18" s="3" t="s">
        <v>30</v>
      </c>
      <c r="L18" s="3"/>
      <c r="M18" s="3" t="s">
        <v>61</v>
      </c>
      <c r="N18" s="3" t="s">
        <v>90</v>
      </c>
      <c r="O18" s="3" t="s">
        <v>760</v>
      </c>
      <c r="P18" s="3" t="s">
        <v>686</v>
      </c>
      <c r="Q18" s="3" t="s">
        <v>761</v>
      </c>
      <c r="R18" s="3" t="s">
        <v>29</v>
      </c>
      <c r="S18" t="s">
        <v>287</v>
      </c>
      <c r="T18" s="3" t="s">
        <v>61</v>
      </c>
      <c r="U18" s="3" t="s">
        <v>61</v>
      </c>
      <c r="V18" t="s">
        <v>753</v>
      </c>
      <c r="W18" s="3">
        <v>0</v>
      </c>
      <c r="X18" s="3">
        <v>0</v>
      </c>
      <c r="Y18" t="s">
        <v>60</v>
      </c>
      <c r="AF18" s="3" t="s">
        <v>29</v>
      </c>
      <c r="AG18" t="s">
        <v>142</v>
      </c>
      <c r="AJ18" s="3" t="s">
        <v>30</v>
      </c>
    </row>
    <row r="19" spans="1:36">
      <c r="A19" s="3" t="s">
        <v>26</v>
      </c>
      <c r="B19" s="3" t="s">
        <v>27</v>
      </c>
      <c r="C19" s="3" t="s">
        <v>86</v>
      </c>
      <c r="D19" s="3"/>
      <c r="E19" s="3" t="s">
        <v>229</v>
      </c>
      <c r="F19" s="4">
        <f t="shared" ca="1" si="0"/>
        <v>44265.406385532406</v>
      </c>
      <c r="G19" s="4"/>
      <c r="H19" s="3" t="s">
        <v>28</v>
      </c>
      <c r="I19" s="3" t="s">
        <v>231</v>
      </c>
      <c r="J19" s="3" t="s">
        <v>61</v>
      </c>
      <c r="K19" s="3" t="s">
        <v>762</v>
      </c>
      <c r="L19" s="3"/>
      <c r="M19" s="3" t="s">
        <v>61</v>
      </c>
      <c r="N19" s="3" t="s">
        <v>90</v>
      </c>
      <c r="O19" s="3" t="s">
        <v>760</v>
      </c>
      <c r="P19" s="3" t="s">
        <v>686</v>
      </c>
      <c r="Q19" s="3" t="s">
        <v>761</v>
      </c>
      <c r="R19" s="3" t="s">
        <v>63</v>
      </c>
      <c r="S19" t="s">
        <v>287</v>
      </c>
      <c r="T19" s="3" t="s">
        <v>61</v>
      </c>
      <c r="U19" s="3" t="s">
        <v>61</v>
      </c>
      <c r="V19" t="s">
        <v>753</v>
      </c>
      <c r="W19" s="3">
        <v>0</v>
      </c>
      <c r="X19" s="3">
        <v>0</v>
      </c>
      <c r="Y19" t="s">
        <v>60</v>
      </c>
      <c r="AF19" s="3" t="s">
        <v>29</v>
      </c>
      <c r="AG19" t="s">
        <v>142</v>
      </c>
      <c r="AJ19" s="3" t="s">
        <v>30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C1" workbookViewId="0">
      <selection activeCell="K6" sqref="K6"/>
    </sheetView>
  </sheetViews>
  <sheetFormatPr defaultRowHeight="14.25"/>
  <cols>
    <col min="6" max="6" width="16.125" customWidth="1"/>
    <col min="16" max="16" width="14.87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31</v>
      </c>
      <c r="I1" t="s">
        <v>33</v>
      </c>
      <c r="J1" t="s">
        <v>93</v>
      </c>
      <c r="K1" t="s">
        <v>39</v>
      </c>
      <c r="L1" t="s">
        <v>92</v>
      </c>
      <c r="M1" t="s">
        <v>36</v>
      </c>
      <c r="N1" t="s">
        <v>32</v>
      </c>
      <c r="O1" t="s">
        <v>47</v>
      </c>
      <c r="P1" t="s">
        <v>44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40</v>
      </c>
      <c r="L2" t="s">
        <v>10</v>
      </c>
      <c r="M2" t="s">
        <v>35</v>
      </c>
      <c r="N2" t="s">
        <v>10</v>
      </c>
      <c r="O2" t="s">
        <v>12</v>
      </c>
      <c r="P2" t="s">
        <v>45</v>
      </c>
      <c r="Q2" t="s">
        <v>13</v>
      </c>
      <c r="R2" t="s">
        <v>13</v>
      </c>
    </row>
    <row r="3" spans="1:18">
      <c r="A3" s="2" t="s">
        <v>158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98</v>
      </c>
      <c r="I3" s="3" t="s">
        <v>99</v>
      </c>
      <c r="J3" s="3" t="s">
        <v>100</v>
      </c>
      <c r="K3" s="3" t="s">
        <v>101</v>
      </c>
      <c r="L3" s="3" t="s">
        <v>102</v>
      </c>
      <c r="M3" s="3" t="s">
        <v>103</v>
      </c>
      <c r="N3" s="3" t="s">
        <v>104</v>
      </c>
      <c r="O3" s="3" t="s">
        <v>105</v>
      </c>
      <c r="P3" s="3" t="s">
        <v>106</v>
      </c>
      <c r="Q3" s="3" t="s">
        <v>107</v>
      </c>
      <c r="R3" s="3" t="s">
        <v>108</v>
      </c>
    </row>
    <row r="4" spans="1:18">
      <c r="A4" s="3" t="s">
        <v>26</v>
      </c>
      <c r="B4" s="3" t="s">
        <v>27</v>
      </c>
      <c r="C4" s="3" t="s">
        <v>95</v>
      </c>
      <c r="D4" s="3"/>
      <c r="E4" s="3" t="s">
        <v>233</v>
      </c>
      <c r="F4" s="4">
        <f t="shared" ref="F4:F11" ca="1" si="0">NOW()</f>
        <v>44265.406385532406</v>
      </c>
      <c r="G4" s="3" t="s">
        <v>28</v>
      </c>
      <c r="H4" s="3" t="s">
        <v>231</v>
      </c>
      <c r="I4" s="3" t="s">
        <v>381</v>
      </c>
      <c r="J4" s="3" t="s">
        <v>355</v>
      </c>
      <c r="K4" s="3"/>
      <c r="L4" s="3" t="s">
        <v>356</v>
      </c>
      <c r="M4" s="3" t="s">
        <v>396</v>
      </c>
      <c r="N4" t="s">
        <v>422</v>
      </c>
      <c r="P4" t="s">
        <v>94</v>
      </c>
      <c r="Q4" s="3" t="s">
        <v>96</v>
      </c>
      <c r="R4" s="3" t="s">
        <v>96</v>
      </c>
    </row>
    <row r="5" spans="1:18">
      <c r="A5" s="3" t="s">
        <v>26</v>
      </c>
      <c r="B5" s="3" t="s">
        <v>27</v>
      </c>
      <c r="C5" s="3" t="s">
        <v>95</v>
      </c>
      <c r="D5" s="3"/>
      <c r="E5" s="3" t="s">
        <v>232</v>
      </c>
      <c r="F5" s="4">
        <f t="shared" ca="1" si="0"/>
        <v>44265.406385532406</v>
      </c>
      <c r="G5" s="3" t="s">
        <v>28</v>
      </c>
      <c r="H5" s="3" t="s">
        <v>229</v>
      </c>
      <c r="I5" s="3" t="s">
        <v>555</v>
      </c>
      <c r="J5" s="3" t="s">
        <v>306</v>
      </c>
      <c r="K5" s="3"/>
      <c r="L5" s="3" t="s">
        <v>551</v>
      </c>
      <c r="M5" s="3" t="s">
        <v>63</v>
      </c>
      <c r="N5" t="s">
        <v>422</v>
      </c>
      <c r="P5" t="s">
        <v>60</v>
      </c>
      <c r="Q5" s="3" t="s">
        <v>61</v>
      </c>
      <c r="R5" s="3" t="s">
        <v>61</v>
      </c>
    </row>
    <row r="6" spans="1:18">
      <c r="A6" s="3" t="s">
        <v>26</v>
      </c>
      <c r="B6" s="3" t="s">
        <v>27</v>
      </c>
      <c r="C6" s="3" t="s">
        <v>95</v>
      </c>
      <c r="D6" s="3"/>
      <c r="E6" s="3" t="s">
        <v>232</v>
      </c>
      <c r="F6" s="4">
        <f t="shared" ca="1" si="0"/>
        <v>44265.406385532406</v>
      </c>
      <c r="G6" s="3" t="s">
        <v>28</v>
      </c>
      <c r="H6" s="3" t="s">
        <v>229</v>
      </c>
      <c r="I6" s="3" t="s">
        <v>556</v>
      </c>
      <c r="J6" s="3" t="s">
        <v>306</v>
      </c>
      <c r="K6" s="3"/>
      <c r="L6" s="3" t="s">
        <v>552</v>
      </c>
      <c r="M6" s="3" t="s">
        <v>63</v>
      </c>
      <c r="N6" t="s">
        <v>422</v>
      </c>
      <c r="P6" t="s">
        <v>60</v>
      </c>
      <c r="Q6" s="3" t="s">
        <v>61</v>
      </c>
      <c r="R6" s="3" t="s">
        <v>61</v>
      </c>
    </row>
    <row r="7" spans="1:18">
      <c r="A7" s="3" t="s">
        <v>26</v>
      </c>
      <c r="B7" s="3" t="s">
        <v>27</v>
      </c>
      <c r="C7" s="3" t="s">
        <v>95</v>
      </c>
      <c r="D7" s="3"/>
      <c r="E7" s="3" t="s">
        <v>232</v>
      </c>
      <c r="F7" s="4">
        <f t="shared" ca="1" si="0"/>
        <v>44265.406385532406</v>
      </c>
      <c r="G7" s="3" t="s">
        <v>28</v>
      </c>
      <c r="H7" s="3" t="s">
        <v>229</v>
      </c>
      <c r="I7" s="3" t="s">
        <v>621</v>
      </c>
      <c r="J7" s="3" t="s">
        <v>306</v>
      </c>
      <c r="K7" s="3"/>
      <c r="L7" s="3" t="s">
        <v>623</v>
      </c>
      <c r="M7" s="3" t="s">
        <v>29</v>
      </c>
      <c r="N7" t="s">
        <v>422</v>
      </c>
      <c r="P7" t="s">
        <v>60</v>
      </c>
      <c r="Q7" s="3" t="s">
        <v>61</v>
      </c>
      <c r="R7" s="3" t="s">
        <v>61</v>
      </c>
    </row>
    <row r="8" spans="1:18">
      <c r="A8" s="3" t="s">
        <v>26</v>
      </c>
      <c r="B8" s="3" t="s">
        <v>27</v>
      </c>
      <c r="C8" s="3" t="s">
        <v>95</v>
      </c>
      <c r="D8" s="3"/>
      <c r="E8" s="3" t="s">
        <v>232</v>
      </c>
      <c r="F8" s="4">
        <f t="shared" ca="1" si="0"/>
        <v>44265.406385532406</v>
      </c>
      <c r="G8" s="3" t="s">
        <v>28</v>
      </c>
      <c r="H8" s="3" t="s">
        <v>229</v>
      </c>
      <c r="I8" s="3" t="s">
        <v>622</v>
      </c>
      <c r="J8" s="3" t="s">
        <v>306</v>
      </c>
      <c r="K8" s="3"/>
      <c r="L8" s="3" t="s">
        <v>604</v>
      </c>
      <c r="M8" s="3" t="s">
        <v>29</v>
      </c>
      <c r="N8" t="s">
        <v>422</v>
      </c>
      <c r="P8" t="s">
        <v>60</v>
      </c>
      <c r="Q8" s="3" t="s">
        <v>61</v>
      </c>
      <c r="R8" s="3" t="s">
        <v>61</v>
      </c>
    </row>
    <row r="9" spans="1:18">
      <c r="A9" s="3" t="s">
        <v>26</v>
      </c>
      <c r="B9" s="3" t="s">
        <v>27</v>
      </c>
      <c r="C9" s="3" t="s">
        <v>95</v>
      </c>
      <c r="D9" s="3"/>
      <c r="E9" s="3" t="s">
        <v>232</v>
      </c>
      <c r="F9" s="4">
        <f t="shared" ca="1" si="0"/>
        <v>44265.406385532406</v>
      </c>
      <c r="G9" s="3" t="s">
        <v>28</v>
      </c>
      <c r="H9" s="3" t="s">
        <v>229</v>
      </c>
      <c r="I9" s="3" t="s">
        <v>654</v>
      </c>
      <c r="J9" s="3" t="s">
        <v>306</v>
      </c>
      <c r="K9" s="3"/>
      <c r="L9" s="3" t="s">
        <v>656</v>
      </c>
      <c r="M9" s="3" t="s">
        <v>63</v>
      </c>
      <c r="N9" t="s">
        <v>422</v>
      </c>
      <c r="P9" t="s">
        <v>60</v>
      </c>
      <c r="Q9" s="3" t="s">
        <v>61</v>
      </c>
      <c r="R9" s="3" t="s">
        <v>61</v>
      </c>
    </row>
    <row r="10" spans="1:18">
      <c r="A10" s="3" t="s">
        <v>26</v>
      </c>
      <c r="B10" s="3" t="s">
        <v>27</v>
      </c>
      <c r="C10" s="3" t="s">
        <v>95</v>
      </c>
      <c r="D10" s="3"/>
      <c r="E10" s="3" t="s">
        <v>232</v>
      </c>
      <c r="F10" s="4">
        <f t="shared" ca="1" si="0"/>
        <v>44265.406385532406</v>
      </c>
      <c r="G10" s="3" t="s">
        <v>28</v>
      </c>
      <c r="H10" s="3" t="s">
        <v>229</v>
      </c>
      <c r="I10" s="3" t="s">
        <v>655</v>
      </c>
      <c r="J10" s="3" t="s">
        <v>306</v>
      </c>
      <c r="K10" s="3"/>
      <c r="L10" s="3" t="s">
        <v>657</v>
      </c>
      <c r="M10" s="3" t="s">
        <v>63</v>
      </c>
      <c r="N10" t="s">
        <v>422</v>
      </c>
      <c r="P10" t="s">
        <v>60</v>
      </c>
      <c r="Q10" s="3" t="s">
        <v>61</v>
      </c>
      <c r="R10" s="3" t="s">
        <v>61</v>
      </c>
    </row>
    <row r="11" spans="1:18">
      <c r="A11" s="3" t="s">
        <v>26</v>
      </c>
      <c r="B11" s="3" t="s">
        <v>27</v>
      </c>
      <c r="C11" s="3" t="s">
        <v>95</v>
      </c>
      <c r="D11" s="3"/>
      <c r="E11" s="3" t="s">
        <v>231</v>
      </c>
      <c r="F11" s="4">
        <f t="shared" ca="1" si="0"/>
        <v>44265.406385532406</v>
      </c>
      <c r="G11" s="3" t="s">
        <v>28</v>
      </c>
      <c r="H11" s="3" t="s">
        <v>229</v>
      </c>
      <c r="I11" s="3" t="s">
        <v>748</v>
      </c>
      <c r="J11" s="3" t="s">
        <v>306</v>
      </c>
      <c r="K11" s="3"/>
      <c r="L11" s="3" t="s">
        <v>749</v>
      </c>
      <c r="M11" s="3" t="s">
        <v>29</v>
      </c>
      <c r="N11" t="s">
        <v>422</v>
      </c>
      <c r="P11" t="s">
        <v>60</v>
      </c>
      <c r="Q11" s="3" t="s">
        <v>61</v>
      </c>
      <c r="R11" s="3" t="s">
        <v>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pane ySplit="3" topLeftCell="A4" activePane="bottomLeft" state="frozen"/>
      <selection pane="bottomLeft" activeCell="M23" sqref="M23"/>
    </sheetView>
  </sheetViews>
  <sheetFormatPr defaultRowHeight="14.25"/>
  <cols>
    <col min="6" max="6" width="17" customWidth="1"/>
  </cols>
  <sheetData>
    <row r="1" spans="1:2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31</v>
      </c>
      <c r="I1" t="s">
        <v>33</v>
      </c>
      <c r="J1" t="s">
        <v>88</v>
      </c>
      <c r="K1" t="s">
        <v>93</v>
      </c>
      <c r="L1" t="s">
        <v>39</v>
      </c>
      <c r="M1" t="s">
        <v>92</v>
      </c>
      <c r="N1" t="s">
        <v>38</v>
      </c>
      <c r="O1" t="s">
        <v>36</v>
      </c>
      <c r="P1" t="s">
        <v>32</v>
      </c>
      <c r="Q1" t="s">
        <v>47</v>
      </c>
      <c r="R1" t="s">
        <v>37</v>
      </c>
      <c r="S1" t="s">
        <v>44</v>
      </c>
      <c r="T1" t="s">
        <v>112</v>
      </c>
      <c r="U1" t="s">
        <v>48</v>
      </c>
      <c r="V1" t="s">
        <v>50</v>
      </c>
      <c r="W1" t="s">
        <v>15</v>
      </c>
      <c r="X1" t="s">
        <v>16</v>
      </c>
    </row>
    <row r="2" spans="1:2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35</v>
      </c>
      <c r="K2" t="s">
        <v>10</v>
      </c>
      <c r="L2" t="s">
        <v>40</v>
      </c>
      <c r="M2" t="s">
        <v>10</v>
      </c>
      <c r="N2" t="s">
        <v>38</v>
      </c>
      <c r="O2" t="s">
        <v>35</v>
      </c>
      <c r="P2" t="s">
        <v>10</v>
      </c>
      <c r="Q2" t="s">
        <v>12</v>
      </c>
      <c r="R2" t="s">
        <v>35</v>
      </c>
      <c r="S2" t="s">
        <v>45</v>
      </c>
      <c r="T2" t="s">
        <v>113</v>
      </c>
      <c r="U2" t="s">
        <v>49</v>
      </c>
      <c r="V2" t="s">
        <v>10</v>
      </c>
      <c r="W2" t="s">
        <v>13</v>
      </c>
      <c r="X2" t="s">
        <v>13</v>
      </c>
    </row>
    <row r="3" spans="1:24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98</v>
      </c>
      <c r="I3" s="3" t="s">
        <v>99</v>
      </c>
      <c r="J3" s="3" t="s">
        <v>89</v>
      </c>
      <c r="K3" s="3" t="s">
        <v>100</v>
      </c>
      <c r="L3" s="3" t="s">
        <v>101</v>
      </c>
      <c r="M3" s="3" t="s">
        <v>102</v>
      </c>
      <c r="N3" s="3" t="s">
        <v>73</v>
      </c>
      <c r="O3" s="3" t="s">
        <v>103</v>
      </c>
      <c r="P3" s="3" t="s">
        <v>104</v>
      </c>
      <c r="Q3" s="3" t="s">
        <v>105</v>
      </c>
      <c r="R3" s="3" t="s">
        <v>78</v>
      </c>
      <c r="S3" s="3" t="s">
        <v>106</v>
      </c>
      <c r="T3">
        <v>432</v>
      </c>
      <c r="U3" s="3" t="s">
        <v>82</v>
      </c>
      <c r="V3" s="3" t="s">
        <v>111</v>
      </c>
      <c r="W3" s="3" t="s">
        <v>107</v>
      </c>
      <c r="X3" s="3" t="s">
        <v>108</v>
      </c>
    </row>
    <row r="4" spans="1:24">
      <c r="A4" s="3" t="s">
        <v>26</v>
      </c>
      <c r="B4" s="3" t="s">
        <v>27</v>
      </c>
      <c r="C4" s="3" t="s">
        <v>109</v>
      </c>
      <c r="D4" s="3"/>
      <c r="E4" s="3" t="s">
        <v>231</v>
      </c>
      <c r="F4" s="4">
        <f t="shared" ref="F4:F21" ca="1" si="0">NOW()</f>
        <v>44265.406385532406</v>
      </c>
      <c r="G4" s="3" t="s">
        <v>28</v>
      </c>
      <c r="H4" s="3" t="s">
        <v>233</v>
      </c>
      <c r="I4" s="3" t="s">
        <v>253</v>
      </c>
      <c r="J4" s="3" t="s">
        <v>90</v>
      </c>
      <c r="K4" s="3" t="s">
        <v>306</v>
      </c>
      <c r="L4" s="3" t="s">
        <v>114</v>
      </c>
      <c r="M4" s="3" t="s">
        <v>143</v>
      </c>
      <c r="N4" s="3" t="s">
        <v>307</v>
      </c>
      <c r="O4" s="3" t="s">
        <v>64</v>
      </c>
      <c r="P4" t="s">
        <v>305</v>
      </c>
      <c r="R4" t="s">
        <v>59</v>
      </c>
      <c r="S4" t="s">
        <v>94</v>
      </c>
      <c r="W4" s="3"/>
      <c r="X4" s="3"/>
    </row>
    <row r="5" spans="1:24">
      <c r="A5" s="3" t="s">
        <v>26</v>
      </c>
      <c r="B5" s="3" t="s">
        <v>27</v>
      </c>
      <c r="C5" s="3" t="s">
        <v>109</v>
      </c>
      <c r="D5" s="3"/>
      <c r="E5" s="3" t="s">
        <v>230</v>
      </c>
      <c r="F5" s="4">
        <f t="shared" ca="1" si="0"/>
        <v>44265.406385532406</v>
      </c>
      <c r="G5" s="3" t="s">
        <v>28</v>
      </c>
      <c r="H5" s="3" t="s">
        <v>229</v>
      </c>
      <c r="I5" s="3" t="s">
        <v>318</v>
      </c>
      <c r="J5" s="3" t="s">
        <v>90</v>
      </c>
      <c r="K5" s="3" t="s">
        <v>306</v>
      </c>
      <c r="L5" s="3" t="s">
        <v>29</v>
      </c>
      <c r="M5" s="3" t="s">
        <v>317</v>
      </c>
      <c r="N5" s="3" t="s">
        <v>338</v>
      </c>
      <c r="O5" s="3" t="s">
        <v>29</v>
      </c>
      <c r="P5" t="s">
        <v>305</v>
      </c>
      <c r="R5" t="s">
        <v>59</v>
      </c>
      <c r="S5" t="s">
        <v>60</v>
      </c>
      <c r="W5" s="3"/>
      <c r="X5" s="3"/>
    </row>
    <row r="6" spans="1:24">
      <c r="A6" s="3" t="s">
        <v>26</v>
      </c>
      <c r="B6" s="3" t="s">
        <v>27</v>
      </c>
      <c r="C6" s="3" t="s">
        <v>109</v>
      </c>
      <c r="D6" s="3"/>
      <c r="E6" s="3" t="s">
        <v>230</v>
      </c>
      <c r="F6" s="4">
        <f t="shared" ca="1" si="0"/>
        <v>44265.406385532406</v>
      </c>
      <c r="G6" s="3" t="s">
        <v>28</v>
      </c>
      <c r="H6" s="3" t="s">
        <v>229</v>
      </c>
      <c r="I6" s="3" t="s">
        <v>344</v>
      </c>
      <c r="J6" s="3" t="s">
        <v>90</v>
      </c>
      <c r="K6" s="3" t="s">
        <v>306</v>
      </c>
      <c r="L6" s="3" t="s">
        <v>29</v>
      </c>
      <c r="M6" s="3" t="s">
        <v>345</v>
      </c>
      <c r="N6" s="3" t="s">
        <v>346</v>
      </c>
      <c r="O6" s="3" t="s">
        <v>395</v>
      </c>
      <c r="P6" t="s">
        <v>389</v>
      </c>
      <c r="R6" t="s">
        <v>429</v>
      </c>
      <c r="S6" t="s">
        <v>60</v>
      </c>
      <c r="W6" s="3"/>
      <c r="X6" s="3"/>
    </row>
    <row r="7" spans="1:24">
      <c r="A7" s="3" t="s">
        <v>26</v>
      </c>
      <c r="B7" s="3" t="s">
        <v>27</v>
      </c>
      <c r="C7" s="3" t="s">
        <v>109</v>
      </c>
      <c r="D7" s="3"/>
      <c r="E7" s="3" t="s">
        <v>230</v>
      </c>
      <c r="F7" s="4">
        <f t="shared" ca="1" si="0"/>
        <v>44265.406385532406</v>
      </c>
      <c r="G7" s="3" t="s">
        <v>28</v>
      </c>
      <c r="H7" s="3" t="s">
        <v>229</v>
      </c>
      <c r="I7" s="3" t="s">
        <v>385</v>
      </c>
      <c r="J7" s="3" t="s">
        <v>90</v>
      </c>
      <c r="K7" s="3" t="s">
        <v>306</v>
      </c>
      <c r="L7" s="3" t="s">
        <v>29</v>
      </c>
      <c r="M7" s="3" t="s">
        <v>384</v>
      </c>
      <c r="N7" s="3" t="s">
        <v>397</v>
      </c>
      <c r="O7" s="3" t="s">
        <v>395</v>
      </c>
      <c r="P7" t="s">
        <v>285</v>
      </c>
      <c r="R7" t="s">
        <v>59</v>
      </c>
      <c r="S7" t="s">
        <v>60</v>
      </c>
      <c r="W7" s="3"/>
      <c r="X7" s="3"/>
    </row>
    <row r="8" spans="1:24">
      <c r="A8" s="3" t="s">
        <v>26</v>
      </c>
      <c r="B8" s="3" t="s">
        <v>27</v>
      </c>
      <c r="C8" s="3" t="s">
        <v>109</v>
      </c>
      <c r="D8" s="3"/>
      <c r="E8" s="3" t="s">
        <v>230</v>
      </c>
      <c r="F8" s="4">
        <f t="shared" ca="1" si="0"/>
        <v>44265.406385532406</v>
      </c>
      <c r="G8" s="3" t="s">
        <v>28</v>
      </c>
      <c r="H8" s="3" t="s">
        <v>229</v>
      </c>
      <c r="I8" s="3" t="s">
        <v>406</v>
      </c>
      <c r="J8" s="3" t="s">
        <v>90</v>
      </c>
      <c r="K8" s="3" t="s">
        <v>306</v>
      </c>
      <c r="L8" s="3" t="s">
        <v>90</v>
      </c>
      <c r="M8" s="3" t="s">
        <v>402</v>
      </c>
      <c r="N8" s="3" t="s">
        <v>494</v>
      </c>
      <c r="O8" s="3" t="s">
        <v>29</v>
      </c>
      <c r="P8" t="s">
        <v>416</v>
      </c>
      <c r="R8" t="s">
        <v>59</v>
      </c>
      <c r="S8" t="s">
        <v>60</v>
      </c>
      <c r="W8" s="3"/>
      <c r="X8" s="3"/>
    </row>
    <row r="9" spans="1:24">
      <c r="A9" s="3" t="s">
        <v>26</v>
      </c>
      <c r="B9" s="3" t="s">
        <v>27</v>
      </c>
      <c r="C9" s="3" t="s">
        <v>109</v>
      </c>
      <c r="D9" s="3"/>
      <c r="E9" s="3" t="s">
        <v>230</v>
      </c>
      <c r="F9" s="4">
        <f t="shared" ca="1" si="0"/>
        <v>44265.406385532406</v>
      </c>
      <c r="G9" s="3" t="s">
        <v>28</v>
      </c>
      <c r="H9" s="3" t="s">
        <v>229</v>
      </c>
      <c r="I9" s="3" t="s">
        <v>423</v>
      </c>
      <c r="J9" s="3" t="s">
        <v>90</v>
      </c>
      <c r="K9" s="3" t="s">
        <v>306</v>
      </c>
      <c r="L9" s="3" t="s">
        <v>29</v>
      </c>
      <c r="M9" s="3" t="s">
        <v>80</v>
      </c>
      <c r="N9" s="3" t="s">
        <v>424</v>
      </c>
      <c r="O9" s="3" t="s">
        <v>29</v>
      </c>
      <c r="P9" t="s">
        <v>285</v>
      </c>
      <c r="R9" t="s">
        <v>428</v>
      </c>
      <c r="S9" t="s">
        <v>60</v>
      </c>
      <c r="W9" s="3"/>
      <c r="X9" s="3"/>
    </row>
    <row r="10" spans="1:24">
      <c r="A10" s="3" t="s">
        <v>26</v>
      </c>
      <c r="B10" s="3" t="s">
        <v>27</v>
      </c>
      <c r="C10" s="3" t="s">
        <v>109</v>
      </c>
      <c r="D10" s="3"/>
      <c r="E10" s="3" t="s">
        <v>230</v>
      </c>
      <c r="F10" s="4">
        <f t="shared" ca="1" si="0"/>
        <v>44265.406385532406</v>
      </c>
      <c r="G10" s="3" t="s">
        <v>28</v>
      </c>
      <c r="H10" s="3" t="s">
        <v>229</v>
      </c>
      <c r="I10" s="3" t="s">
        <v>442</v>
      </c>
      <c r="J10" s="3" t="s">
        <v>90</v>
      </c>
      <c r="K10" s="3" t="s">
        <v>306</v>
      </c>
      <c r="L10" s="3" t="s">
        <v>443</v>
      </c>
      <c r="M10" s="3" t="s">
        <v>439</v>
      </c>
      <c r="N10" s="3" t="s">
        <v>441</v>
      </c>
      <c r="O10" s="3" t="s">
        <v>29</v>
      </c>
      <c r="P10" t="s">
        <v>285</v>
      </c>
      <c r="R10" t="s">
        <v>59</v>
      </c>
      <c r="S10" t="s">
        <v>60</v>
      </c>
      <c r="W10" s="3"/>
      <c r="X10" s="3"/>
    </row>
    <row r="11" spans="1:24">
      <c r="A11" s="3" t="s">
        <v>26</v>
      </c>
      <c r="B11" s="3" t="s">
        <v>27</v>
      </c>
      <c r="C11" s="3" t="s">
        <v>109</v>
      </c>
      <c r="D11" s="3"/>
      <c r="E11" s="3" t="s">
        <v>230</v>
      </c>
      <c r="F11" s="4">
        <f t="shared" ca="1" si="0"/>
        <v>44265.406385532406</v>
      </c>
      <c r="G11" s="3" t="s">
        <v>28</v>
      </c>
      <c r="H11" s="3" t="s">
        <v>229</v>
      </c>
      <c r="I11" s="3" t="s">
        <v>452</v>
      </c>
      <c r="J11" s="3" t="s">
        <v>90</v>
      </c>
      <c r="K11" s="3" t="s">
        <v>306</v>
      </c>
      <c r="L11" s="3" t="s">
        <v>90</v>
      </c>
      <c r="M11" s="3" t="s">
        <v>446</v>
      </c>
      <c r="N11" s="3" t="s">
        <v>453</v>
      </c>
      <c r="O11" s="3" t="s">
        <v>29</v>
      </c>
      <c r="P11" t="s">
        <v>285</v>
      </c>
      <c r="R11" t="s">
        <v>59</v>
      </c>
      <c r="S11" t="s">
        <v>60</v>
      </c>
      <c r="W11" s="3"/>
      <c r="X11" s="3"/>
    </row>
    <row r="12" spans="1:24">
      <c r="A12" s="3" t="s">
        <v>26</v>
      </c>
      <c r="B12" s="3" t="s">
        <v>27</v>
      </c>
      <c r="C12" s="3" t="s">
        <v>109</v>
      </c>
      <c r="D12" s="3"/>
      <c r="E12" s="3" t="s">
        <v>230</v>
      </c>
      <c r="F12" s="4">
        <f t="shared" ca="1" si="0"/>
        <v>44265.406385532406</v>
      </c>
      <c r="G12" s="3" t="s">
        <v>28</v>
      </c>
      <c r="H12" s="3" t="s">
        <v>229</v>
      </c>
      <c r="I12" s="3" t="s">
        <v>457</v>
      </c>
      <c r="J12" s="3" t="s">
        <v>90</v>
      </c>
      <c r="K12" s="3" t="s">
        <v>306</v>
      </c>
      <c r="L12" s="3" t="s">
        <v>197</v>
      </c>
      <c r="M12" s="3" t="s">
        <v>439</v>
      </c>
      <c r="N12" s="3" t="s">
        <v>458</v>
      </c>
      <c r="O12" s="3" t="s">
        <v>29</v>
      </c>
      <c r="P12" t="s">
        <v>285</v>
      </c>
      <c r="R12" t="s">
        <v>59</v>
      </c>
      <c r="S12" t="s">
        <v>60</v>
      </c>
      <c r="W12" s="3"/>
      <c r="X12" s="3"/>
    </row>
    <row r="13" spans="1:24">
      <c r="A13" s="3" t="s">
        <v>26</v>
      </c>
      <c r="B13" s="3" t="s">
        <v>27</v>
      </c>
      <c r="C13" s="3" t="s">
        <v>109</v>
      </c>
      <c r="D13" s="3"/>
      <c r="E13" s="3" t="s">
        <v>230</v>
      </c>
      <c r="F13" s="4">
        <f t="shared" ca="1" si="0"/>
        <v>44265.406385532406</v>
      </c>
      <c r="G13" s="3" t="s">
        <v>28</v>
      </c>
      <c r="H13" s="3" t="s">
        <v>229</v>
      </c>
      <c r="I13" s="3" t="s">
        <v>472</v>
      </c>
      <c r="J13" s="3" t="s">
        <v>90</v>
      </c>
      <c r="K13" s="3" t="s">
        <v>306</v>
      </c>
      <c r="L13" s="3" t="s">
        <v>63</v>
      </c>
      <c r="M13" s="3" t="s">
        <v>478</v>
      </c>
      <c r="N13" s="3" t="s">
        <v>475</v>
      </c>
      <c r="O13" s="3" t="s">
        <v>29</v>
      </c>
      <c r="P13" t="s">
        <v>285</v>
      </c>
      <c r="R13" t="s">
        <v>59</v>
      </c>
      <c r="S13" t="s">
        <v>60</v>
      </c>
      <c r="W13" s="3"/>
      <c r="X13" s="3"/>
    </row>
    <row r="14" spans="1:24">
      <c r="A14" s="3" t="s">
        <v>26</v>
      </c>
      <c r="B14" s="3" t="s">
        <v>27</v>
      </c>
      <c r="C14" s="3" t="s">
        <v>109</v>
      </c>
      <c r="D14" s="3"/>
      <c r="E14" s="3" t="s">
        <v>230</v>
      </c>
      <c r="F14" s="4">
        <f t="shared" ca="1" si="0"/>
        <v>44265.406385532406</v>
      </c>
      <c r="G14" s="3" t="s">
        <v>28</v>
      </c>
      <c r="H14" s="3" t="s">
        <v>229</v>
      </c>
      <c r="I14" s="3" t="s">
        <v>479</v>
      </c>
      <c r="J14" s="3" t="s">
        <v>90</v>
      </c>
      <c r="K14" s="3" t="s">
        <v>306</v>
      </c>
      <c r="L14" s="3" t="s">
        <v>90</v>
      </c>
      <c r="M14" s="3" t="s">
        <v>481</v>
      </c>
      <c r="N14" s="3" t="s">
        <v>482</v>
      </c>
      <c r="O14" s="3" t="s">
        <v>29</v>
      </c>
      <c r="P14" t="s">
        <v>480</v>
      </c>
      <c r="R14" t="s">
        <v>533</v>
      </c>
      <c r="S14" t="s">
        <v>60</v>
      </c>
      <c r="W14" s="3"/>
      <c r="X14" s="3"/>
    </row>
    <row r="15" spans="1:24">
      <c r="A15" s="3" t="s">
        <v>26</v>
      </c>
      <c r="B15" s="3" t="s">
        <v>27</v>
      </c>
      <c r="C15" s="3" t="s">
        <v>109</v>
      </c>
      <c r="D15" s="3"/>
      <c r="E15" s="3" t="s">
        <v>229</v>
      </c>
      <c r="F15" s="4">
        <f t="shared" ca="1" si="0"/>
        <v>44265.406385532406</v>
      </c>
      <c r="G15" s="3" t="s">
        <v>28</v>
      </c>
      <c r="H15" s="3" t="s">
        <v>229</v>
      </c>
      <c r="I15" s="3" t="s">
        <v>517</v>
      </c>
      <c r="J15" s="3" t="s">
        <v>90</v>
      </c>
      <c r="K15" s="3" t="s">
        <v>306</v>
      </c>
      <c r="L15" s="3" t="s">
        <v>269</v>
      </c>
      <c r="M15" s="3" t="s">
        <v>515</v>
      </c>
      <c r="N15" s="3" t="s">
        <v>527</v>
      </c>
      <c r="O15" s="3" t="s">
        <v>63</v>
      </c>
      <c r="P15" t="s">
        <v>389</v>
      </c>
      <c r="S15" t="s">
        <v>60</v>
      </c>
      <c r="W15" s="3"/>
      <c r="X15" s="3"/>
    </row>
    <row r="16" spans="1:24">
      <c r="A16" s="3" t="s">
        <v>26</v>
      </c>
      <c r="B16" s="3" t="s">
        <v>27</v>
      </c>
      <c r="C16" s="3" t="s">
        <v>109</v>
      </c>
      <c r="D16" s="3"/>
      <c r="E16" s="3" t="s">
        <v>229</v>
      </c>
      <c r="F16" s="4">
        <f t="shared" ca="1" si="0"/>
        <v>44265.406385532406</v>
      </c>
      <c r="G16" s="3" t="s">
        <v>28</v>
      </c>
      <c r="H16" s="3" t="s">
        <v>229</v>
      </c>
      <c r="I16" s="3" t="s">
        <v>534</v>
      </c>
      <c r="J16" s="3" t="s">
        <v>90</v>
      </c>
      <c r="K16" s="3" t="s">
        <v>306</v>
      </c>
      <c r="L16" s="3" t="s">
        <v>532</v>
      </c>
      <c r="M16" s="3" t="s">
        <v>529</v>
      </c>
      <c r="N16" s="3" t="s">
        <v>531</v>
      </c>
      <c r="O16" s="3" t="s">
        <v>63</v>
      </c>
      <c r="P16" t="s">
        <v>389</v>
      </c>
      <c r="R16" t="s">
        <v>533</v>
      </c>
      <c r="S16" t="s">
        <v>60</v>
      </c>
      <c r="W16" s="3"/>
      <c r="X16" s="3"/>
    </row>
    <row r="17" spans="1:24">
      <c r="A17" s="3" t="s">
        <v>26</v>
      </c>
      <c r="B17" s="3" t="s">
        <v>27</v>
      </c>
      <c r="C17" s="3" t="s">
        <v>109</v>
      </c>
      <c r="D17" s="3"/>
      <c r="E17" s="3" t="s">
        <v>229</v>
      </c>
      <c r="F17" s="4">
        <f t="shared" ca="1" si="0"/>
        <v>44265.406385532406</v>
      </c>
      <c r="G17" s="3" t="s">
        <v>28</v>
      </c>
      <c r="H17" s="3" t="s">
        <v>229</v>
      </c>
      <c r="I17" s="3" t="s">
        <v>535</v>
      </c>
      <c r="J17" s="3" t="s">
        <v>90</v>
      </c>
      <c r="K17" s="3" t="s">
        <v>306</v>
      </c>
      <c r="L17" s="3" t="s">
        <v>19</v>
      </c>
      <c r="M17" s="3" t="s">
        <v>536</v>
      </c>
      <c r="N17" s="3" t="s">
        <v>538</v>
      </c>
      <c r="O17" s="3" t="s">
        <v>63</v>
      </c>
      <c r="P17" t="s">
        <v>389</v>
      </c>
      <c r="S17" t="s">
        <v>60</v>
      </c>
      <c r="W17" s="3"/>
      <c r="X17" s="3"/>
    </row>
    <row r="18" spans="1:24">
      <c r="A18" s="3" t="s">
        <v>26</v>
      </c>
      <c r="B18" s="3" t="s">
        <v>27</v>
      </c>
      <c r="C18" s="3" t="s">
        <v>109</v>
      </c>
      <c r="D18" s="3"/>
      <c r="E18" s="3" t="s">
        <v>229</v>
      </c>
      <c r="F18" s="4">
        <f t="shared" ca="1" si="0"/>
        <v>44265.406385532406</v>
      </c>
      <c r="G18" s="3" t="s">
        <v>28</v>
      </c>
      <c r="H18" s="3" t="s">
        <v>229</v>
      </c>
      <c r="I18" s="3" t="s">
        <v>605</v>
      </c>
      <c r="J18" s="3" t="s">
        <v>90</v>
      </c>
      <c r="K18" s="3" t="s">
        <v>306</v>
      </c>
      <c r="L18" s="3" t="s">
        <v>269</v>
      </c>
      <c r="M18" s="3" t="s">
        <v>597</v>
      </c>
      <c r="N18" s="3" t="s">
        <v>608</v>
      </c>
      <c r="O18" s="3" t="s">
        <v>609</v>
      </c>
      <c r="P18" t="s">
        <v>389</v>
      </c>
      <c r="S18" t="s">
        <v>60</v>
      </c>
      <c r="W18" s="3"/>
      <c r="X18" s="3"/>
    </row>
    <row r="19" spans="1:24">
      <c r="A19" s="3" t="s">
        <v>26</v>
      </c>
      <c r="B19" s="3" t="s">
        <v>27</v>
      </c>
      <c r="C19" s="3" t="s">
        <v>109</v>
      </c>
      <c r="D19" s="3"/>
      <c r="E19" s="3" t="s">
        <v>229</v>
      </c>
      <c r="F19" s="4">
        <f t="shared" ca="1" si="0"/>
        <v>44265.406385532406</v>
      </c>
      <c r="G19" s="3" t="s">
        <v>28</v>
      </c>
      <c r="H19" s="3" t="s">
        <v>229</v>
      </c>
      <c r="I19" s="3" t="s">
        <v>637</v>
      </c>
      <c r="J19" s="3" t="s">
        <v>90</v>
      </c>
      <c r="K19" s="3" t="s">
        <v>306</v>
      </c>
      <c r="L19" s="3" t="s">
        <v>636</v>
      </c>
      <c r="M19" s="3" t="s">
        <v>632</v>
      </c>
      <c r="N19" s="3" t="s">
        <v>639</v>
      </c>
      <c r="O19" s="3" t="s">
        <v>63</v>
      </c>
      <c r="P19" t="s">
        <v>389</v>
      </c>
      <c r="S19" t="s">
        <v>60</v>
      </c>
      <c r="W19" s="3"/>
      <c r="X19" s="3"/>
    </row>
    <row r="20" spans="1:24">
      <c r="A20" s="3" t="s">
        <v>26</v>
      </c>
      <c r="B20" s="3" t="s">
        <v>27</v>
      </c>
      <c r="C20" s="3" t="s">
        <v>109</v>
      </c>
      <c r="D20" s="3"/>
      <c r="E20" s="3" t="s">
        <v>229</v>
      </c>
      <c r="F20" s="4">
        <f t="shared" ca="1" si="0"/>
        <v>44265.406385532406</v>
      </c>
      <c r="G20" s="3" t="s">
        <v>28</v>
      </c>
      <c r="H20" s="3" t="s">
        <v>229</v>
      </c>
      <c r="I20" s="3" t="s">
        <v>697</v>
      </c>
      <c r="J20" s="3" t="s">
        <v>90</v>
      </c>
      <c r="K20" s="3" t="s">
        <v>306</v>
      </c>
      <c r="L20" s="3" t="s">
        <v>751</v>
      </c>
      <c r="M20" s="3" t="s">
        <v>698</v>
      </c>
      <c r="N20" s="3" t="s">
        <v>700</v>
      </c>
      <c r="O20" s="3" t="s">
        <v>63</v>
      </c>
      <c r="P20" t="s">
        <v>389</v>
      </c>
      <c r="R20" t="s">
        <v>59</v>
      </c>
      <c r="S20" t="s">
        <v>60</v>
      </c>
      <c r="W20" s="3"/>
      <c r="X20" s="3"/>
    </row>
    <row r="21" spans="1:24">
      <c r="A21" s="3" t="s">
        <v>26</v>
      </c>
      <c r="B21" s="3" t="s">
        <v>27</v>
      </c>
      <c r="C21" s="3" t="s">
        <v>109</v>
      </c>
      <c r="D21" s="3"/>
      <c r="E21" s="3" t="s">
        <v>229</v>
      </c>
      <c r="F21" s="4">
        <f t="shared" ca="1" si="0"/>
        <v>44265.406385532406</v>
      </c>
      <c r="G21" s="3" t="s">
        <v>28</v>
      </c>
      <c r="H21" s="3" t="s">
        <v>229</v>
      </c>
      <c r="I21" s="3" t="s">
        <v>722</v>
      </c>
      <c r="J21" s="3" t="s">
        <v>90</v>
      </c>
      <c r="K21" s="3" t="s">
        <v>306</v>
      </c>
      <c r="L21" s="3" t="s">
        <v>29</v>
      </c>
      <c r="M21" s="3" t="s">
        <v>719</v>
      </c>
      <c r="N21" s="3" t="s">
        <v>720</v>
      </c>
      <c r="O21" s="3" t="s">
        <v>721</v>
      </c>
      <c r="P21" t="s">
        <v>389</v>
      </c>
      <c r="R21" t="s">
        <v>533</v>
      </c>
      <c r="S21" t="s">
        <v>60</v>
      </c>
      <c r="W21" s="3"/>
      <c r="X21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opLeftCell="C1" workbookViewId="0">
      <selection activeCell="G6" sqref="G6"/>
    </sheetView>
  </sheetViews>
  <sheetFormatPr defaultRowHeight="14.25"/>
  <cols>
    <col min="6" max="6" width="16.375" bestFit="1" customWidth="1"/>
  </cols>
  <sheetData>
    <row r="1" spans="1:16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15</v>
      </c>
      <c r="N1" t="s">
        <v>16</v>
      </c>
      <c r="O1" s="1" t="s">
        <v>17</v>
      </c>
      <c r="P1" t="s">
        <v>120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121</v>
      </c>
    </row>
    <row r="3" spans="1:16" s="7" customFormat="1">
      <c r="A3" s="2" t="s">
        <v>18</v>
      </c>
      <c r="B3" s="2" t="s">
        <v>19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7" t="s">
        <v>135</v>
      </c>
    </row>
    <row r="4" spans="1:16">
      <c r="A4" s="3" t="s">
        <v>136</v>
      </c>
      <c r="B4" s="3" t="s">
        <v>137</v>
      </c>
      <c r="C4" s="3" t="s">
        <v>138</v>
      </c>
      <c r="D4" s="3" t="s">
        <v>29</v>
      </c>
      <c r="E4" s="3" t="s">
        <v>139</v>
      </c>
      <c r="F4" s="4">
        <f ca="1">NOW()</f>
        <v>44265.406385532406</v>
      </c>
      <c r="G4" s="3" t="s">
        <v>234</v>
      </c>
      <c r="H4" s="3" t="s">
        <v>29</v>
      </c>
      <c r="I4" s="3" t="s">
        <v>140</v>
      </c>
      <c r="J4" s="3" t="s">
        <v>61</v>
      </c>
      <c r="K4" s="3" t="s">
        <v>141</v>
      </c>
      <c r="L4" t="s">
        <v>142</v>
      </c>
      <c r="M4" s="3" t="s">
        <v>143</v>
      </c>
      <c r="N4" s="3" t="s">
        <v>144</v>
      </c>
      <c r="O4" s="3" t="s">
        <v>145</v>
      </c>
      <c r="P4" s="3" t="s">
        <v>146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"/>
  <sheetViews>
    <sheetView topLeftCell="A7" workbookViewId="0">
      <selection activeCell="A8" sqref="A8"/>
    </sheetView>
  </sheetViews>
  <sheetFormatPr defaultRowHeight="14.25"/>
  <cols>
    <col min="1" max="1" width="12.125" customWidth="1"/>
    <col min="7" max="7" width="17.375" customWidth="1"/>
    <col min="8" max="8" width="13.375" customWidth="1"/>
    <col min="9" max="9" width="12.25" bestFit="1" customWidth="1"/>
    <col min="33" max="33" width="10.625" customWidth="1"/>
  </cols>
  <sheetData>
    <row r="1" spans="1:44" ht="15.75">
      <c r="A1" t="s">
        <v>273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115</v>
      </c>
      <c r="J1" t="s">
        <v>116</v>
      </c>
      <c r="K1" t="s">
        <v>31</v>
      </c>
      <c r="L1" t="s">
        <v>54</v>
      </c>
      <c r="M1" t="s">
        <v>33</v>
      </c>
      <c r="N1" t="s">
        <v>147</v>
      </c>
      <c r="O1" t="s">
        <v>148</v>
      </c>
      <c r="P1" t="s">
        <v>149</v>
      </c>
      <c r="Q1" t="s">
        <v>53</v>
      </c>
      <c r="R1" t="s">
        <v>93</v>
      </c>
      <c r="S1" t="s">
        <v>39</v>
      </c>
      <c r="T1" t="s">
        <v>150</v>
      </c>
      <c r="U1" t="s">
        <v>34</v>
      </c>
      <c r="V1" t="s">
        <v>38</v>
      </c>
      <c r="W1" t="s">
        <v>36</v>
      </c>
      <c r="X1" t="s">
        <v>32</v>
      </c>
      <c r="Y1" t="s">
        <v>151</v>
      </c>
      <c r="Z1" t="s">
        <v>41</v>
      </c>
      <c r="AA1" t="s">
        <v>47</v>
      </c>
      <c r="AB1" t="s">
        <v>152</v>
      </c>
      <c r="AC1" t="s">
        <v>37</v>
      </c>
      <c r="AD1" t="s">
        <v>43</v>
      </c>
      <c r="AE1" t="s">
        <v>42</v>
      </c>
      <c r="AF1" t="s">
        <v>153</v>
      </c>
      <c r="AG1" t="s">
        <v>154</v>
      </c>
      <c r="AH1" t="s">
        <v>44</v>
      </c>
      <c r="AI1" t="s">
        <v>112</v>
      </c>
      <c r="AJ1" t="s">
        <v>155</v>
      </c>
      <c r="AK1" t="s">
        <v>48</v>
      </c>
      <c r="AL1" t="s">
        <v>55</v>
      </c>
      <c r="AM1" t="s">
        <v>52</v>
      </c>
      <c r="AN1" t="s">
        <v>15</v>
      </c>
      <c r="AO1" t="s">
        <v>16</v>
      </c>
      <c r="AP1" t="s">
        <v>57</v>
      </c>
      <c r="AQ1" s="1" t="s">
        <v>17</v>
      </c>
      <c r="AR1" t="s">
        <v>156</v>
      </c>
    </row>
    <row r="2" spans="1:44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10</v>
      </c>
      <c r="L2" t="s">
        <v>38</v>
      </c>
      <c r="M2" t="s">
        <v>13</v>
      </c>
      <c r="N2" t="s">
        <v>40</v>
      </c>
      <c r="O2" t="s">
        <v>148</v>
      </c>
      <c r="P2" t="s">
        <v>10</v>
      </c>
      <c r="Q2" t="s">
        <v>35</v>
      </c>
      <c r="R2" t="s">
        <v>10</v>
      </c>
      <c r="S2" t="s">
        <v>40</v>
      </c>
      <c r="T2" t="s">
        <v>35</v>
      </c>
      <c r="U2" t="s">
        <v>35</v>
      </c>
      <c r="V2" t="s">
        <v>38</v>
      </c>
      <c r="W2" t="s">
        <v>35</v>
      </c>
      <c r="X2" t="s">
        <v>10</v>
      </c>
      <c r="Y2" t="s">
        <v>10</v>
      </c>
      <c r="Z2" t="s">
        <v>35</v>
      </c>
      <c r="AA2" t="s">
        <v>46</v>
      </c>
      <c r="AB2" t="s">
        <v>113</v>
      </c>
      <c r="AC2" t="s">
        <v>35</v>
      </c>
      <c r="AD2" t="s">
        <v>38</v>
      </c>
      <c r="AE2" t="s">
        <v>40</v>
      </c>
      <c r="AF2" t="s">
        <v>35</v>
      </c>
      <c r="AG2" t="s">
        <v>40</v>
      </c>
      <c r="AH2" t="s">
        <v>45</v>
      </c>
      <c r="AI2" t="s">
        <v>113</v>
      </c>
      <c r="AJ2" t="s">
        <v>35</v>
      </c>
      <c r="AK2" t="s">
        <v>49</v>
      </c>
      <c r="AL2" t="s">
        <v>56</v>
      </c>
      <c r="AM2" t="s">
        <v>14</v>
      </c>
      <c r="AN2" t="s">
        <v>13</v>
      </c>
      <c r="AO2" t="s">
        <v>13</v>
      </c>
      <c r="AP2" t="s">
        <v>56</v>
      </c>
      <c r="AQ2" t="s">
        <v>10</v>
      </c>
      <c r="AR2" t="s">
        <v>157</v>
      </c>
    </row>
    <row r="3" spans="1:44">
      <c r="B3" s="2" t="s">
        <v>158</v>
      </c>
      <c r="C3" s="2" t="s">
        <v>159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3" t="s">
        <v>160</v>
      </c>
      <c r="L3" s="3" t="s">
        <v>161</v>
      </c>
      <c r="M3" s="3" t="s">
        <v>162</v>
      </c>
      <c r="N3" s="3" t="s">
        <v>163</v>
      </c>
      <c r="O3" s="3" t="s">
        <v>164</v>
      </c>
      <c r="P3" s="3" t="s">
        <v>165</v>
      </c>
      <c r="Q3" s="3" t="s">
        <v>166</v>
      </c>
      <c r="R3" s="3" t="s">
        <v>167</v>
      </c>
      <c r="S3" s="3" t="s">
        <v>168</v>
      </c>
      <c r="T3" s="3" t="s">
        <v>169</v>
      </c>
      <c r="U3" s="3" t="s">
        <v>170</v>
      </c>
      <c r="V3" s="3" t="s">
        <v>171</v>
      </c>
      <c r="W3" s="3" t="s">
        <v>172</v>
      </c>
      <c r="X3" s="3" t="s">
        <v>173</v>
      </c>
      <c r="Y3" s="3" t="s">
        <v>174</v>
      </c>
      <c r="Z3" s="3" t="s">
        <v>175</v>
      </c>
      <c r="AA3" s="3" t="s">
        <v>141</v>
      </c>
      <c r="AB3" s="3" t="s">
        <v>176</v>
      </c>
      <c r="AC3" s="3" t="s">
        <v>177</v>
      </c>
      <c r="AD3" s="3" t="s">
        <v>178</v>
      </c>
      <c r="AE3" s="3" t="s">
        <v>179</v>
      </c>
      <c r="AF3" s="3" t="s">
        <v>180</v>
      </c>
      <c r="AG3" s="3" t="s">
        <v>181</v>
      </c>
      <c r="AH3" s="3" t="s">
        <v>182</v>
      </c>
      <c r="AI3" s="3" t="s">
        <v>183</v>
      </c>
      <c r="AJ3" s="3" t="s">
        <v>184</v>
      </c>
      <c r="AK3" s="3" t="s">
        <v>185</v>
      </c>
      <c r="AL3" s="3" t="s">
        <v>186</v>
      </c>
      <c r="AM3" s="3" t="s">
        <v>187</v>
      </c>
      <c r="AN3" s="3" t="s">
        <v>132</v>
      </c>
      <c r="AO3" s="3" t="s">
        <v>133</v>
      </c>
      <c r="AP3" s="3" t="s">
        <v>188</v>
      </c>
      <c r="AQ3" s="2" t="s">
        <v>134</v>
      </c>
      <c r="AR3" s="7" t="s">
        <v>120</v>
      </c>
    </row>
    <row r="4" spans="1:44">
      <c r="A4" t="s">
        <v>274</v>
      </c>
      <c r="B4" s="3" t="s">
        <v>26</v>
      </c>
      <c r="C4" s="3" t="s">
        <v>137</v>
      </c>
      <c r="D4" s="3" t="s">
        <v>158</v>
      </c>
      <c r="E4" s="3" t="s">
        <v>160</v>
      </c>
      <c r="F4" s="3" t="s">
        <v>139</v>
      </c>
      <c r="G4" s="4">
        <f t="shared" ref="G4:G23" ca="1" si="0">NOW()</f>
        <v>44265.406385532406</v>
      </c>
      <c r="H4" s="3" t="s">
        <v>231</v>
      </c>
      <c r="I4" s="3" t="s">
        <v>160</v>
      </c>
      <c r="J4" s="3" t="s">
        <v>189</v>
      </c>
      <c r="K4" s="3" t="s">
        <v>231</v>
      </c>
      <c r="L4" s="3" t="s">
        <v>190</v>
      </c>
      <c r="M4" s="3" t="s">
        <v>160</v>
      </c>
      <c r="N4" s="3" t="s">
        <v>190</v>
      </c>
      <c r="P4" s="3" t="s">
        <v>190</v>
      </c>
      <c r="Q4" s="3" t="s">
        <v>190</v>
      </c>
      <c r="R4" s="3" t="s">
        <v>190</v>
      </c>
      <c r="S4" s="3" t="s">
        <v>160</v>
      </c>
      <c r="T4" t="s">
        <v>191</v>
      </c>
      <c r="U4" s="3" t="s">
        <v>192</v>
      </c>
      <c r="V4" s="3" t="s">
        <v>261</v>
      </c>
      <c r="W4" s="3" t="s">
        <v>160</v>
      </c>
      <c r="X4" t="s">
        <v>259</v>
      </c>
      <c r="Z4" s="3" t="s">
        <v>190</v>
      </c>
      <c r="AC4" t="s">
        <v>194</v>
      </c>
      <c r="AF4" t="s">
        <v>191</v>
      </c>
      <c r="AG4" s="3" t="s">
        <v>160</v>
      </c>
      <c r="AH4" t="s">
        <v>195</v>
      </c>
      <c r="AJ4" s="3" t="s">
        <v>160</v>
      </c>
      <c r="AL4" s="3" t="s">
        <v>160</v>
      </c>
      <c r="AN4" s="3" t="s">
        <v>143</v>
      </c>
      <c r="AQ4" s="3" t="s">
        <v>145</v>
      </c>
      <c r="AR4" s="3" t="s">
        <v>196</v>
      </c>
    </row>
    <row r="5" spans="1:44">
      <c r="A5" t="s">
        <v>274</v>
      </c>
      <c r="B5" s="3" t="s">
        <v>136</v>
      </c>
      <c r="C5" s="3" t="s">
        <v>137</v>
      </c>
      <c r="D5" s="3" t="s">
        <v>158</v>
      </c>
      <c r="E5" s="3" t="s">
        <v>160</v>
      </c>
      <c r="F5" s="3" t="s">
        <v>139</v>
      </c>
      <c r="G5" s="4">
        <f t="shared" ca="1" si="0"/>
        <v>44265.406385532406</v>
      </c>
      <c r="H5" s="3" t="s">
        <v>231</v>
      </c>
      <c r="I5" s="3" t="s">
        <v>160</v>
      </c>
      <c r="J5" s="3" t="s">
        <v>189</v>
      </c>
      <c r="K5" s="3" t="s">
        <v>230</v>
      </c>
      <c r="L5" s="3" t="s">
        <v>190</v>
      </c>
      <c r="M5" s="3" t="s">
        <v>160</v>
      </c>
      <c r="N5" s="3" t="s">
        <v>190</v>
      </c>
      <c r="P5" s="3" t="s">
        <v>190</v>
      </c>
      <c r="Q5" s="3" t="s">
        <v>190</v>
      </c>
      <c r="R5" s="3" t="s">
        <v>190</v>
      </c>
      <c r="S5" s="3" t="s">
        <v>160</v>
      </c>
      <c r="T5" s="3" t="s">
        <v>190</v>
      </c>
      <c r="U5" s="3" t="s">
        <v>192</v>
      </c>
      <c r="V5" s="3" t="s">
        <v>262</v>
      </c>
      <c r="W5" s="3" t="s">
        <v>160</v>
      </c>
      <c r="X5" t="s">
        <v>259</v>
      </c>
      <c r="Z5" s="3" t="s">
        <v>190</v>
      </c>
      <c r="AC5" t="s">
        <v>194</v>
      </c>
      <c r="AF5" s="3" t="s">
        <v>190</v>
      </c>
      <c r="AG5" s="3" t="s">
        <v>160</v>
      </c>
      <c r="AH5" t="s">
        <v>195</v>
      </c>
      <c r="AJ5" s="3" t="s">
        <v>160</v>
      </c>
      <c r="AL5" s="3" t="s">
        <v>160</v>
      </c>
      <c r="AN5" s="3" t="s">
        <v>143</v>
      </c>
      <c r="AQ5" s="3" t="s">
        <v>145</v>
      </c>
      <c r="AR5" s="3" t="s">
        <v>196</v>
      </c>
    </row>
    <row r="6" spans="1:44">
      <c r="A6" t="s">
        <v>277</v>
      </c>
      <c r="B6" s="3" t="s">
        <v>136</v>
      </c>
      <c r="C6" s="3" t="s">
        <v>27</v>
      </c>
      <c r="D6" s="3" t="s">
        <v>18</v>
      </c>
      <c r="E6" s="3" t="s">
        <v>29</v>
      </c>
      <c r="F6" s="3" t="s">
        <v>28</v>
      </c>
      <c r="G6" s="4">
        <f t="shared" ca="1" si="0"/>
        <v>44265.406385532406</v>
      </c>
      <c r="H6" s="3" t="s">
        <v>228</v>
      </c>
      <c r="I6" s="3" t="s">
        <v>29</v>
      </c>
      <c r="J6" s="3"/>
      <c r="K6" s="3" t="s">
        <v>228</v>
      </c>
      <c r="L6" s="3" t="s">
        <v>91</v>
      </c>
      <c r="M6" s="3" t="s">
        <v>29</v>
      </c>
      <c r="N6" s="3" t="s">
        <v>91</v>
      </c>
      <c r="P6" s="3" t="s">
        <v>91</v>
      </c>
      <c r="Q6" s="3" t="s">
        <v>91</v>
      </c>
      <c r="R6" s="3" t="s">
        <v>91</v>
      </c>
      <c r="S6" s="3" t="s">
        <v>29</v>
      </c>
      <c r="T6" s="3" t="s">
        <v>91</v>
      </c>
      <c r="U6" s="3" t="s">
        <v>63</v>
      </c>
      <c r="V6" s="3" t="s">
        <v>263</v>
      </c>
      <c r="W6" s="3" t="s">
        <v>29</v>
      </c>
      <c r="X6" t="s">
        <v>260</v>
      </c>
      <c r="Z6" s="3" t="s">
        <v>91</v>
      </c>
      <c r="AC6" t="s">
        <v>59</v>
      </c>
      <c r="AF6" s="3" t="s">
        <v>256</v>
      </c>
      <c r="AG6" s="3" t="s">
        <v>264</v>
      </c>
      <c r="AH6" t="s">
        <v>60</v>
      </c>
      <c r="AJ6" s="3" t="s">
        <v>29</v>
      </c>
      <c r="AL6" s="3" t="s">
        <v>29</v>
      </c>
      <c r="AN6" s="3" t="s">
        <v>143</v>
      </c>
      <c r="AQ6" s="3" t="s">
        <v>30</v>
      </c>
      <c r="AR6" s="3" t="s">
        <v>271</v>
      </c>
    </row>
    <row r="7" spans="1:44">
      <c r="A7" t="s">
        <v>274</v>
      </c>
      <c r="B7" s="3" t="s">
        <v>26</v>
      </c>
      <c r="C7" s="3" t="s">
        <v>27</v>
      </c>
      <c r="D7" s="3" t="s">
        <v>18</v>
      </c>
      <c r="E7" s="3" t="s">
        <v>29</v>
      </c>
      <c r="F7" s="3" t="s">
        <v>28</v>
      </c>
      <c r="G7" s="4">
        <f t="shared" ca="1" si="0"/>
        <v>44265.406385532406</v>
      </c>
      <c r="H7" s="3" t="s">
        <v>229</v>
      </c>
      <c r="I7" s="3" t="s">
        <v>29</v>
      </c>
      <c r="J7" s="3" t="s">
        <v>189</v>
      </c>
      <c r="K7" s="3" t="s">
        <v>229</v>
      </c>
      <c r="L7" s="3" t="s">
        <v>91</v>
      </c>
      <c r="M7" s="3" t="s">
        <v>265</v>
      </c>
      <c r="N7" s="3" t="s">
        <v>91</v>
      </c>
      <c r="P7" s="3" t="s">
        <v>91</v>
      </c>
      <c r="Q7" s="3" t="s">
        <v>91</v>
      </c>
      <c r="R7" s="3" t="s">
        <v>91</v>
      </c>
      <c r="S7" s="3" t="s">
        <v>29</v>
      </c>
      <c r="T7" t="s">
        <v>138</v>
      </c>
      <c r="U7" s="3" t="s">
        <v>63</v>
      </c>
      <c r="V7" s="3" t="s">
        <v>239</v>
      </c>
      <c r="W7" s="3" t="s">
        <v>29</v>
      </c>
      <c r="X7" t="s">
        <v>237</v>
      </c>
      <c r="Z7" s="3" t="s">
        <v>91</v>
      </c>
      <c r="AC7" t="s">
        <v>59</v>
      </c>
      <c r="AF7" t="s">
        <v>138</v>
      </c>
      <c r="AG7" s="3" t="s">
        <v>29</v>
      </c>
      <c r="AH7" t="s">
        <v>60</v>
      </c>
      <c r="AJ7" s="3" t="s">
        <v>29</v>
      </c>
      <c r="AL7" s="3" t="s">
        <v>29</v>
      </c>
      <c r="AN7" s="3" t="s">
        <v>143</v>
      </c>
      <c r="AQ7" s="3" t="s">
        <v>30</v>
      </c>
      <c r="AR7" s="3" t="s">
        <v>196</v>
      </c>
    </row>
    <row r="8" spans="1:44">
      <c r="A8" t="s">
        <v>274</v>
      </c>
      <c r="B8" s="3" t="s">
        <v>136</v>
      </c>
      <c r="C8" s="3" t="s">
        <v>27</v>
      </c>
      <c r="D8" s="3" t="s">
        <v>18</v>
      </c>
      <c r="E8" s="3" t="s">
        <v>29</v>
      </c>
      <c r="F8" s="3" t="s">
        <v>28</v>
      </c>
      <c r="G8" s="4">
        <f t="shared" ca="1" si="0"/>
        <v>44265.406385532406</v>
      </c>
      <c r="H8" s="3" t="s">
        <v>229</v>
      </c>
      <c r="I8" s="3" t="s">
        <v>29</v>
      </c>
      <c r="J8" s="3" t="s">
        <v>189</v>
      </c>
      <c r="K8" s="3" t="s">
        <v>229</v>
      </c>
      <c r="L8" s="3" t="s">
        <v>91</v>
      </c>
      <c r="M8" s="3" t="s">
        <v>265</v>
      </c>
      <c r="N8" s="3" t="s">
        <v>91</v>
      </c>
      <c r="P8" s="3" t="s">
        <v>91</v>
      </c>
      <c r="Q8" s="3" t="s">
        <v>91</v>
      </c>
      <c r="R8" s="3" t="s">
        <v>91</v>
      </c>
      <c r="S8" s="3" t="s">
        <v>29</v>
      </c>
      <c r="T8" s="3" t="s">
        <v>91</v>
      </c>
      <c r="U8" s="3" t="s">
        <v>63</v>
      </c>
      <c r="V8" s="3" t="s">
        <v>239</v>
      </c>
      <c r="W8" s="3" t="s">
        <v>29</v>
      </c>
      <c r="X8" t="s">
        <v>237</v>
      </c>
      <c r="Z8" s="3" t="s">
        <v>91</v>
      </c>
      <c r="AC8" t="s">
        <v>59</v>
      </c>
      <c r="AF8" s="3" t="s">
        <v>91</v>
      </c>
      <c r="AG8" s="3" t="s">
        <v>29</v>
      </c>
      <c r="AH8" t="s">
        <v>60</v>
      </c>
      <c r="AJ8" s="3" t="s">
        <v>29</v>
      </c>
      <c r="AL8" s="3" t="s">
        <v>29</v>
      </c>
      <c r="AN8" s="3" t="s">
        <v>143</v>
      </c>
      <c r="AQ8" s="3" t="s">
        <v>30</v>
      </c>
      <c r="AR8" s="3" t="s">
        <v>196</v>
      </c>
    </row>
    <row r="9" spans="1:44">
      <c r="A9" t="s">
        <v>274</v>
      </c>
      <c r="B9" s="3" t="s">
        <v>136</v>
      </c>
      <c r="C9" s="3" t="s">
        <v>137</v>
      </c>
      <c r="D9" s="3" t="s">
        <v>158</v>
      </c>
      <c r="E9" s="3" t="s">
        <v>160</v>
      </c>
      <c r="F9" s="3" t="s">
        <v>139</v>
      </c>
      <c r="G9" s="4">
        <f t="shared" ca="1" si="0"/>
        <v>44265.406385532406</v>
      </c>
      <c r="H9" s="3" t="s">
        <v>228</v>
      </c>
      <c r="I9" s="3" t="s">
        <v>160</v>
      </c>
      <c r="J9" s="3" t="s">
        <v>189</v>
      </c>
      <c r="K9" s="3" t="s">
        <v>228</v>
      </c>
      <c r="L9" s="3" t="s">
        <v>190</v>
      </c>
      <c r="M9" s="3" t="s">
        <v>90</v>
      </c>
      <c r="N9" s="3" t="s">
        <v>190</v>
      </c>
      <c r="P9" s="3" t="s">
        <v>190</v>
      </c>
      <c r="Q9" s="3" t="s">
        <v>190</v>
      </c>
      <c r="R9" s="3" t="s">
        <v>190</v>
      </c>
      <c r="S9" s="3" t="s">
        <v>160</v>
      </c>
      <c r="T9" t="s">
        <v>191</v>
      </c>
      <c r="U9" s="3" t="s">
        <v>192</v>
      </c>
      <c r="V9" s="3" t="s">
        <v>238</v>
      </c>
      <c r="W9" s="3" t="s">
        <v>160</v>
      </c>
      <c r="X9" t="s">
        <v>236</v>
      </c>
      <c r="Z9" s="3" t="s">
        <v>190</v>
      </c>
      <c r="AC9" t="s">
        <v>194</v>
      </c>
      <c r="AF9" t="s">
        <v>191</v>
      </c>
      <c r="AG9" s="3" t="s">
        <v>160</v>
      </c>
      <c r="AH9" t="s">
        <v>195</v>
      </c>
      <c r="AJ9" s="3" t="s">
        <v>160</v>
      </c>
      <c r="AL9" s="3" t="s">
        <v>160</v>
      </c>
      <c r="AN9" s="3" t="s">
        <v>143</v>
      </c>
      <c r="AQ9" s="3" t="s">
        <v>145</v>
      </c>
      <c r="AR9" s="3" t="s">
        <v>196</v>
      </c>
    </row>
    <row r="10" spans="1:44">
      <c r="A10" t="s">
        <v>274</v>
      </c>
      <c r="B10" s="3" t="s">
        <v>136</v>
      </c>
      <c r="C10" s="3" t="s">
        <v>137</v>
      </c>
      <c r="D10" s="3" t="s">
        <v>158</v>
      </c>
      <c r="E10" s="3" t="s">
        <v>160</v>
      </c>
      <c r="F10" s="3" t="s">
        <v>139</v>
      </c>
      <c r="G10" s="4">
        <f t="shared" ca="1" si="0"/>
        <v>44265.406385532406</v>
      </c>
      <c r="H10" s="3" t="s">
        <v>228</v>
      </c>
      <c r="I10" s="3" t="s">
        <v>160</v>
      </c>
      <c r="J10" s="3" t="s">
        <v>189</v>
      </c>
      <c r="K10" s="3" t="s">
        <v>228</v>
      </c>
      <c r="L10" s="3" t="s">
        <v>190</v>
      </c>
      <c r="M10" s="3" t="s">
        <v>90</v>
      </c>
      <c r="N10" s="3" t="s">
        <v>190</v>
      </c>
      <c r="P10" s="3" t="s">
        <v>190</v>
      </c>
      <c r="Q10" s="3" t="s">
        <v>190</v>
      </c>
      <c r="R10" s="3" t="s">
        <v>190</v>
      </c>
      <c r="S10" s="3" t="s">
        <v>160</v>
      </c>
      <c r="T10" s="3" t="s">
        <v>190</v>
      </c>
      <c r="U10" s="3" t="s">
        <v>192</v>
      </c>
      <c r="V10" s="3" t="s">
        <v>238</v>
      </c>
      <c r="W10" s="3" t="s">
        <v>160</v>
      </c>
      <c r="X10" t="s">
        <v>236</v>
      </c>
      <c r="Z10" s="3" t="s">
        <v>190</v>
      </c>
      <c r="AC10" t="s">
        <v>194</v>
      </c>
      <c r="AF10" s="3" t="s">
        <v>190</v>
      </c>
      <c r="AG10" s="3" t="s">
        <v>160</v>
      </c>
      <c r="AH10" t="s">
        <v>195</v>
      </c>
      <c r="AJ10" s="3" t="s">
        <v>160</v>
      </c>
      <c r="AL10" s="3" t="s">
        <v>160</v>
      </c>
      <c r="AN10" s="3" t="s">
        <v>143</v>
      </c>
      <c r="AQ10" s="3" t="s">
        <v>145</v>
      </c>
      <c r="AR10" s="3" t="s">
        <v>196</v>
      </c>
    </row>
    <row r="11" spans="1:44">
      <c r="A11" t="s">
        <v>274</v>
      </c>
      <c r="B11" s="3" t="s">
        <v>136</v>
      </c>
      <c r="C11" s="3" t="s">
        <v>137</v>
      </c>
      <c r="D11" s="3" t="s">
        <v>158</v>
      </c>
      <c r="E11" s="3" t="s">
        <v>160</v>
      </c>
      <c r="F11" s="3" t="s">
        <v>139</v>
      </c>
      <c r="G11" s="4">
        <f t="shared" ca="1" si="0"/>
        <v>44265.406385532406</v>
      </c>
      <c r="H11" s="3" t="s">
        <v>228</v>
      </c>
      <c r="I11" s="3" t="s">
        <v>160</v>
      </c>
      <c r="J11" s="3" t="s">
        <v>189</v>
      </c>
      <c r="K11" s="3" t="s">
        <v>228</v>
      </c>
      <c r="L11" s="3" t="s">
        <v>190</v>
      </c>
      <c r="M11" s="3" t="s">
        <v>220</v>
      </c>
      <c r="N11" s="3" t="s">
        <v>190</v>
      </c>
      <c r="P11" s="3" t="s">
        <v>190</v>
      </c>
      <c r="Q11" s="3" t="s">
        <v>190</v>
      </c>
      <c r="R11" s="3" t="s">
        <v>190</v>
      </c>
      <c r="S11" s="3" t="s">
        <v>160</v>
      </c>
      <c r="T11" t="s">
        <v>191</v>
      </c>
      <c r="U11" s="3" t="s">
        <v>192</v>
      </c>
      <c r="V11" s="3" t="s">
        <v>241</v>
      </c>
      <c r="W11" s="3" t="s">
        <v>160</v>
      </c>
      <c r="X11" t="s">
        <v>236</v>
      </c>
      <c r="Z11" s="3" t="s">
        <v>190</v>
      </c>
      <c r="AC11" t="s">
        <v>194</v>
      </c>
      <c r="AF11" t="s">
        <v>191</v>
      </c>
      <c r="AG11" s="3" t="s">
        <v>160</v>
      </c>
      <c r="AH11" t="s">
        <v>195</v>
      </c>
      <c r="AJ11" s="3" t="s">
        <v>160</v>
      </c>
      <c r="AL11" s="3" t="s">
        <v>160</v>
      </c>
      <c r="AN11" s="3" t="s">
        <v>143</v>
      </c>
      <c r="AQ11" s="3" t="s">
        <v>145</v>
      </c>
      <c r="AR11" s="3" t="s">
        <v>196</v>
      </c>
    </row>
    <row r="12" spans="1:44">
      <c r="A12" t="s">
        <v>274</v>
      </c>
      <c r="B12" s="3" t="s">
        <v>136</v>
      </c>
      <c r="C12" s="3" t="s">
        <v>137</v>
      </c>
      <c r="D12" s="3" t="s">
        <v>158</v>
      </c>
      <c r="E12" s="3" t="s">
        <v>160</v>
      </c>
      <c r="F12" s="3" t="s">
        <v>139</v>
      </c>
      <c r="G12" s="4">
        <f t="shared" ca="1" si="0"/>
        <v>44265.406385532406</v>
      </c>
      <c r="H12" s="3" t="s">
        <v>228</v>
      </c>
      <c r="I12" s="3" t="s">
        <v>160</v>
      </c>
      <c r="J12" s="3" t="s">
        <v>189</v>
      </c>
      <c r="K12" s="3" t="s">
        <v>228</v>
      </c>
      <c r="L12" s="3" t="s">
        <v>190</v>
      </c>
      <c r="M12" s="3" t="s">
        <v>266</v>
      </c>
      <c r="N12" s="3" t="s">
        <v>190</v>
      </c>
      <c r="P12" s="3" t="s">
        <v>190</v>
      </c>
      <c r="Q12" s="3" t="s">
        <v>190</v>
      </c>
      <c r="R12" s="3" t="s">
        <v>190</v>
      </c>
      <c r="S12" s="3" t="s">
        <v>160</v>
      </c>
      <c r="T12" s="3" t="s">
        <v>190</v>
      </c>
      <c r="U12" s="3" t="s">
        <v>192</v>
      </c>
      <c r="V12" s="3" t="s">
        <v>242</v>
      </c>
      <c r="W12" s="3" t="s">
        <v>160</v>
      </c>
      <c r="X12" t="s">
        <v>236</v>
      </c>
      <c r="Z12" s="3" t="s">
        <v>190</v>
      </c>
      <c r="AC12" t="s">
        <v>194</v>
      </c>
      <c r="AF12" s="3" t="s">
        <v>190</v>
      </c>
      <c r="AG12" s="3" t="s">
        <v>160</v>
      </c>
      <c r="AH12" t="s">
        <v>195</v>
      </c>
      <c r="AJ12" s="3" t="s">
        <v>160</v>
      </c>
      <c r="AL12" s="3" t="s">
        <v>160</v>
      </c>
      <c r="AN12" s="3" t="s">
        <v>143</v>
      </c>
      <c r="AQ12" s="3" t="s">
        <v>145</v>
      </c>
      <c r="AR12" s="3" t="s">
        <v>196</v>
      </c>
    </row>
    <row r="13" spans="1:44">
      <c r="A13" t="s">
        <v>275</v>
      </c>
      <c r="B13" s="3" t="s">
        <v>136</v>
      </c>
      <c r="C13" s="3" t="s">
        <v>137</v>
      </c>
      <c r="D13" s="3" t="s">
        <v>158</v>
      </c>
      <c r="E13" s="3" t="s">
        <v>160</v>
      </c>
      <c r="F13" s="3" t="s">
        <v>139</v>
      </c>
      <c r="G13" s="4">
        <f t="shared" ca="1" si="0"/>
        <v>44265.406385532406</v>
      </c>
      <c r="H13" s="3" t="s">
        <v>228</v>
      </c>
      <c r="I13" s="3" t="s">
        <v>160</v>
      </c>
      <c r="J13" s="3" t="s">
        <v>189</v>
      </c>
      <c r="K13" s="3" t="s">
        <v>228</v>
      </c>
      <c r="L13" s="3" t="s">
        <v>190</v>
      </c>
      <c r="M13" s="3" t="s">
        <v>267</v>
      </c>
      <c r="N13" s="3" t="s">
        <v>190</v>
      </c>
      <c r="P13" s="3" t="s">
        <v>190</v>
      </c>
      <c r="Q13" s="3" t="s">
        <v>190</v>
      </c>
      <c r="R13" s="3" t="s">
        <v>190</v>
      </c>
      <c r="S13" s="3" t="s">
        <v>160</v>
      </c>
      <c r="T13" s="3" t="s">
        <v>161</v>
      </c>
      <c r="U13" s="3" t="s">
        <v>192</v>
      </c>
      <c r="V13" s="3" t="s">
        <v>243</v>
      </c>
      <c r="W13" s="3" t="s">
        <v>160</v>
      </c>
      <c r="X13" t="s">
        <v>236</v>
      </c>
      <c r="Z13" s="3" t="s">
        <v>190</v>
      </c>
      <c r="AC13" t="s">
        <v>194</v>
      </c>
      <c r="AF13" s="3" t="s">
        <v>161</v>
      </c>
      <c r="AG13" s="3" t="s">
        <v>160</v>
      </c>
      <c r="AH13" t="s">
        <v>195</v>
      </c>
      <c r="AJ13" s="3" t="s">
        <v>160</v>
      </c>
      <c r="AL13" s="3" t="s">
        <v>160</v>
      </c>
      <c r="AN13" s="3" t="s">
        <v>143</v>
      </c>
      <c r="AQ13" s="3" t="s">
        <v>145</v>
      </c>
      <c r="AR13" s="3" t="s">
        <v>196</v>
      </c>
    </row>
    <row r="14" spans="1:44">
      <c r="A14" t="s">
        <v>275</v>
      </c>
      <c r="B14" s="3" t="s">
        <v>136</v>
      </c>
      <c r="C14" s="3" t="s">
        <v>137</v>
      </c>
      <c r="D14" s="3" t="s">
        <v>158</v>
      </c>
      <c r="E14" s="3" t="s">
        <v>160</v>
      </c>
      <c r="F14" s="3" t="s">
        <v>139</v>
      </c>
      <c r="G14" s="4">
        <f t="shared" ca="1" si="0"/>
        <v>44265.406385532406</v>
      </c>
      <c r="H14" s="3" t="s">
        <v>228</v>
      </c>
      <c r="I14" s="3" t="s">
        <v>160</v>
      </c>
      <c r="J14" s="3" t="s">
        <v>189</v>
      </c>
      <c r="K14" s="3" t="s">
        <v>228</v>
      </c>
      <c r="L14" s="3" t="s">
        <v>190</v>
      </c>
      <c r="M14" s="3" t="s">
        <v>265</v>
      </c>
      <c r="N14" s="3" t="s">
        <v>190</v>
      </c>
      <c r="P14" s="3" t="s">
        <v>190</v>
      </c>
      <c r="Q14" s="3" t="s">
        <v>190</v>
      </c>
      <c r="R14" s="3" t="s">
        <v>190</v>
      </c>
      <c r="S14" s="3" t="s">
        <v>160</v>
      </c>
      <c r="T14" s="3" t="s">
        <v>197</v>
      </c>
      <c r="U14" s="3" t="s">
        <v>192</v>
      </c>
      <c r="V14" s="3" t="s">
        <v>240</v>
      </c>
      <c r="W14" s="3" t="s">
        <v>160</v>
      </c>
      <c r="X14" t="s">
        <v>236</v>
      </c>
      <c r="Z14" s="3" t="s">
        <v>190</v>
      </c>
      <c r="AC14" t="s">
        <v>194</v>
      </c>
      <c r="AF14" s="3" t="s">
        <v>197</v>
      </c>
      <c r="AG14" s="3" t="s">
        <v>160</v>
      </c>
      <c r="AH14" t="s">
        <v>195</v>
      </c>
      <c r="AJ14" s="3" t="s">
        <v>160</v>
      </c>
      <c r="AL14" s="3" t="s">
        <v>160</v>
      </c>
      <c r="AN14" s="3" t="s">
        <v>143</v>
      </c>
      <c r="AQ14" s="3" t="s">
        <v>145</v>
      </c>
      <c r="AR14" s="3" t="s">
        <v>196</v>
      </c>
    </row>
    <row r="15" spans="1:44">
      <c r="A15" t="s">
        <v>275</v>
      </c>
      <c r="B15" s="3" t="s">
        <v>136</v>
      </c>
      <c r="C15" s="3" t="s">
        <v>137</v>
      </c>
      <c r="D15" s="3" t="s">
        <v>158</v>
      </c>
      <c r="E15" s="3" t="s">
        <v>160</v>
      </c>
      <c r="F15" s="3" t="s">
        <v>139</v>
      </c>
      <c r="G15" s="4">
        <f t="shared" ca="1" si="0"/>
        <v>44265.406385532406</v>
      </c>
      <c r="H15" s="3" t="s">
        <v>228</v>
      </c>
      <c r="I15" s="3" t="s">
        <v>160</v>
      </c>
      <c r="J15" s="3" t="s">
        <v>189</v>
      </c>
      <c r="K15" s="3" t="s">
        <v>228</v>
      </c>
      <c r="L15" s="3" t="s">
        <v>190</v>
      </c>
      <c r="M15" s="3" t="s">
        <v>90</v>
      </c>
      <c r="N15" s="3" t="s">
        <v>190</v>
      </c>
      <c r="P15" s="3" t="s">
        <v>190</v>
      </c>
      <c r="Q15" s="3" t="s">
        <v>190</v>
      </c>
      <c r="R15" s="3" t="s">
        <v>190</v>
      </c>
      <c r="S15" s="3" t="s">
        <v>160</v>
      </c>
      <c r="T15" s="3" t="s">
        <v>161</v>
      </c>
      <c r="U15" s="3" t="s">
        <v>192</v>
      </c>
      <c r="V15" s="3" t="s">
        <v>244</v>
      </c>
      <c r="W15" s="3" t="s">
        <v>160</v>
      </c>
      <c r="X15" t="s">
        <v>236</v>
      </c>
      <c r="Z15" s="3" t="s">
        <v>190</v>
      </c>
      <c r="AC15" t="s">
        <v>194</v>
      </c>
      <c r="AF15" s="3" t="s">
        <v>161</v>
      </c>
      <c r="AG15" s="3" t="s">
        <v>160</v>
      </c>
      <c r="AH15" t="s">
        <v>195</v>
      </c>
      <c r="AJ15" s="3" t="s">
        <v>160</v>
      </c>
      <c r="AL15" s="3" t="s">
        <v>160</v>
      </c>
      <c r="AN15" s="3" t="s">
        <v>143</v>
      </c>
      <c r="AQ15" s="3" t="s">
        <v>145</v>
      </c>
      <c r="AR15" s="3" t="s">
        <v>196</v>
      </c>
    </row>
    <row r="16" spans="1:44">
      <c r="A16" t="s">
        <v>275</v>
      </c>
      <c r="B16" s="3" t="s">
        <v>136</v>
      </c>
      <c r="C16" s="3" t="s">
        <v>137</v>
      </c>
      <c r="D16" s="3" t="s">
        <v>158</v>
      </c>
      <c r="E16" s="3" t="s">
        <v>160</v>
      </c>
      <c r="F16" s="3" t="s">
        <v>139</v>
      </c>
      <c r="G16" s="4">
        <f t="shared" ca="1" si="0"/>
        <v>44265.406385532406</v>
      </c>
      <c r="H16" s="3" t="s">
        <v>228</v>
      </c>
      <c r="I16" s="3" t="s">
        <v>160</v>
      </c>
      <c r="J16" s="3" t="s">
        <v>189</v>
      </c>
      <c r="K16" s="3" t="s">
        <v>228</v>
      </c>
      <c r="L16" s="3" t="s">
        <v>190</v>
      </c>
      <c r="M16" s="3" t="s">
        <v>90</v>
      </c>
      <c r="N16" s="3" t="s">
        <v>190</v>
      </c>
      <c r="P16" s="3" t="s">
        <v>190</v>
      </c>
      <c r="Q16" s="3" t="s">
        <v>190</v>
      </c>
      <c r="R16" s="3" t="s">
        <v>190</v>
      </c>
      <c r="S16" s="3" t="s">
        <v>160</v>
      </c>
      <c r="T16" s="3" t="s">
        <v>197</v>
      </c>
      <c r="U16" s="3" t="s">
        <v>192</v>
      </c>
      <c r="V16" s="3" t="s">
        <v>245</v>
      </c>
      <c r="W16" s="3" t="s">
        <v>160</v>
      </c>
      <c r="X16" t="s">
        <v>236</v>
      </c>
      <c r="Z16" s="3" t="s">
        <v>190</v>
      </c>
      <c r="AC16" t="s">
        <v>194</v>
      </c>
      <c r="AF16" s="3" t="s">
        <v>197</v>
      </c>
      <c r="AG16" s="3" t="s">
        <v>160</v>
      </c>
      <c r="AH16" t="s">
        <v>195</v>
      </c>
      <c r="AJ16" s="3" t="s">
        <v>160</v>
      </c>
      <c r="AL16" s="3" t="s">
        <v>160</v>
      </c>
      <c r="AN16" s="3" t="s">
        <v>143</v>
      </c>
      <c r="AQ16" s="3" t="s">
        <v>145</v>
      </c>
      <c r="AR16" s="3" t="s">
        <v>196</v>
      </c>
    </row>
    <row r="17" spans="1:44">
      <c r="A17" t="s">
        <v>276</v>
      </c>
      <c r="B17" s="3" t="s">
        <v>136</v>
      </c>
      <c r="C17" s="3" t="s">
        <v>137</v>
      </c>
      <c r="D17" s="3" t="s">
        <v>158</v>
      </c>
      <c r="E17" s="3" t="s">
        <v>160</v>
      </c>
      <c r="F17" s="3" t="s">
        <v>139</v>
      </c>
      <c r="G17" s="4">
        <f t="shared" ca="1" si="0"/>
        <v>44265.406385532406</v>
      </c>
      <c r="H17" s="3" t="s">
        <v>228</v>
      </c>
      <c r="I17" s="3" t="s">
        <v>160</v>
      </c>
      <c r="J17" s="3" t="s">
        <v>189</v>
      </c>
      <c r="K17" s="3" t="s">
        <v>228</v>
      </c>
      <c r="L17" s="3" t="s">
        <v>190</v>
      </c>
      <c r="M17" s="3" t="s">
        <v>220</v>
      </c>
      <c r="N17" s="3" t="s">
        <v>190</v>
      </c>
      <c r="P17" s="3" t="s">
        <v>190</v>
      </c>
      <c r="Q17" s="3" t="s">
        <v>190</v>
      </c>
      <c r="R17" s="3" t="s">
        <v>190</v>
      </c>
      <c r="S17" s="3" t="s">
        <v>160</v>
      </c>
      <c r="T17" s="3" t="s">
        <v>161</v>
      </c>
      <c r="U17" s="3" t="s">
        <v>192</v>
      </c>
      <c r="V17" s="3" t="s">
        <v>246</v>
      </c>
      <c r="W17" s="3" t="s">
        <v>160</v>
      </c>
      <c r="X17" t="s">
        <v>236</v>
      </c>
      <c r="Z17" s="3" t="s">
        <v>190</v>
      </c>
      <c r="AC17" t="s">
        <v>194</v>
      </c>
      <c r="AF17" s="3" t="s">
        <v>161</v>
      </c>
      <c r="AG17" s="3" t="s">
        <v>160</v>
      </c>
      <c r="AH17" t="s">
        <v>195</v>
      </c>
      <c r="AJ17" s="3" t="s">
        <v>160</v>
      </c>
      <c r="AL17" s="3" t="s">
        <v>160</v>
      </c>
      <c r="AN17" s="3" t="s">
        <v>143</v>
      </c>
      <c r="AQ17" s="3" t="s">
        <v>145</v>
      </c>
      <c r="AR17" s="3" t="s">
        <v>196</v>
      </c>
    </row>
    <row r="18" spans="1:44">
      <c r="A18" t="s">
        <v>276</v>
      </c>
      <c r="B18" s="3" t="s">
        <v>136</v>
      </c>
      <c r="C18" s="3" t="s">
        <v>137</v>
      </c>
      <c r="D18" s="3" t="s">
        <v>158</v>
      </c>
      <c r="E18" s="3" t="s">
        <v>160</v>
      </c>
      <c r="F18" s="3" t="s">
        <v>139</v>
      </c>
      <c r="G18" s="4">
        <f t="shared" ca="1" si="0"/>
        <v>44265.406385532406</v>
      </c>
      <c r="H18" s="3" t="s">
        <v>228</v>
      </c>
      <c r="I18" s="3" t="s">
        <v>160</v>
      </c>
      <c r="J18" s="3" t="s">
        <v>189</v>
      </c>
      <c r="K18" s="3" t="s">
        <v>228</v>
      </c>
      <c r="L18" s="3" t="s">
        <v>190</v>
      </c>
      <c r="M18" s="3" t="s">
        <v>268</v>
      </c>
      <c r="N18" s="3" t="s">
        <v>190</v>
      </c>
      <c r="P18" s="3" t="s">
        <v>190</v>
      </c>
      <c r="Q18" s="3" t="s">
        <v>190</v>
      </c>
      <c r="R18" s="3" t="s">
        <v>190</v>
      </c>
      <c r="S18" s="3" t="s">
        <v>160</v>
      </c>
      <c r="T18" s="3" t="s">
        <v>197</v>
      </c>
      <c r="U18" s="3" t="s">
        <v>192</v>
      </c>
      <c r="V18" s="3" t="s">
        <v>247</v>
      </c>
      <c r="W18" s="3" t="s">
        <v>160</v>
      </c>
      <c r="X18" t="s">
        <v>236</v>
      </c>
      <c r="Z18" s="3" t="s">
        <v>190</v>
      </c>
      <c r="AC18" t="s">
        <v>194</v>
      </c>
      <c r="AF18" s="3" t="s">
        <v>197</v>
      </c>
      <c r="AG18" s="3" t="s">
        <v>160</v>
      </c>
      <c r="AH18" t="s">
        <v>195</v>
      </c>
      <c r="AJ18" s="3" t="s">
        <v>160</v>
      </c>
      <c r="AL18" s="3" t="s">
        <v>160</v>
      </c>
      <c r="AN18" s="3" t="s">
        <v>143</v>
      </c>
      <c r="AQ18" s="3" t="s">
        <v>145</v>
      </c>
      <c r="AR18" s="3" t="s">
        <v>196</v>
      </c>
    </row>
    <row r="19" spans="1:44">
      <c r="A19" t="s">
        <v>276</v>
      </c>
      <c r="B19" s="3" t="s">
        <v>136</v>
      </c>
      <c r="C19" s="3" t="s">
        <v>137</v>
      </c>
      <c r="D19" s="3" t="s">
        <v>158</v>
      </c>
      <c r="E19" s="3" t="s">
        <v>160</v>
      </c>
      <c r="F19" s="3" t="s">
        <v>139</v>
      </c>
      <c r="G19" s="4">
        <f t="shared" ca="1" si="0"/>
        <v>44265.406385532406</v>
      </c>
      <c r="H19" s="3" t="s">
        <v>228</v>
      </c>
      <c r="I19" s="3" t="s">
        <v>160</v>
      </c>
      <c r="J19" s="3" t="s">
        <v>189</v>
      </c>
      <c r="K19" s="3" t="s">
        <v>228</v>
      </c>
      <c r="L19" s="3" t="s">
        <v>190</v>
      </c>
      <c r="M19" s="3" t="s">
        <v>269</v>
      </c>
      <c r="N19" s="3" t="s">
        <v>190</v>
      </c>
      <c r="P19" s="3" t="s">
        <v>190</v>
      </c>
      <c r="Q19" s="3" t="s">
        <v>190</v>
      </c>
      <c r="R19" s="3" t="s">
        <v>190</v>
      </c>
      <c r="S19" s="3" t="s">
        <v>192</v>
      </c>
      <c r="T19" s="3" t="s">
        <v>191</v>
      </c>
      <c r="U19" s="3" t="s">
        <v>192</v>
      </c>
      <c r="V19" s="3" t="s">
        <v>248</v>
      </c>
      <c r="W19" s="3" t="s">
        <v>160</v>
      </c>
      <c r="X19" t="s">
        <v>236</v>
      </c>
      <c r="Z19" s="3" t="s">
        <v>190</v>
      </c>
      <c r="AC19" t="s">
        <v>194</v>
      </c>
      <c r="AF19" s="3" t="s">
        <v>191</v>
      </c>
      <c r="AG19" s="3" t="s">
        <v>192</v>
      </c>
      <c r="AH19" t="s">
        <v>195</v>
      </c>
      <c r="AJ19" s="3" t="s">
        <v>160</v>
      </c>
      <c r="AL19" s="3" t="s">
        <v>160</v>
      </c>
      <c r="AN19" s="3" t="s">
        <v>143</v>
      </c>
      <c r="AQ19" s="3" t="s">
        <v>145</v>
      </c>
      <c r="AR19" s="3" t="s">
        <v>196</v>
      </c>
    </row>
    <row r="20" spans="1:44">
      <c r="A20" t="s">
        <v>276</v>
      </c>
      <c r="B20" s="3" t="s">
        <v>136</v>
      </c>
      <c r="C20" s="3" t="s">
        <v>137</v>
      </c>
      <c r="D20" s="3" t="s">
        <v>158</v>
      </c>
      <c r="E20" s="3" t="s">
        <v>160</v>
      </c>
      <c r="F20" s="3" t="s">
        <v>139</v>
      </c>
      <c r="G20" s="4">
        <f t="shared" ca="1" si="0"/>
        <v>44265.406385532406</v>
      </c>
      <c r="H20" s="3" t="s">
        <v>228</v>
      </c>
      <c r="I20" s="3" t="s">
        <v>160</v>
      </c>
      <c r="J20" s="3" t="s">
        <v>189</v>
      </c>
      <c r="K20" s="3" t="s">
        <v>228</v>
      </c>
      <c r="L20" s="3" t="s">
        <v>190</v>
      </c>
      <c r="M20" s="3" t="s">
        <v>270</v>
      </c>
      <c r="N20" s="3" t="s">
        <v>190</v>
      </c>
      <c r="P20" s="3" t="s">
        <v>190</v>
      </c>
      <c r="Q20" s="3" t="s">
        <v>190</v>
      </c>
      <c r="R20" s="3" t="s">
        <v>190</v>
      </c>
      <c r="S20" s="3" t="s">
        <v>192</v>
      </c>
      <c r="T20" s="3" t="s">
        <v>190</v>
      </c>
      <c r="U20" s="3" t="s">
        <v>192</v>
      </c>
      <c r="V20" s="3" t="s">
        <v>249</v>
      </c>
      <c r="W20" s="3" t="s">
        <v>160</v>
      </c>
      <c r="X20" t="s">
        <v>236</v>
      </c>
      <c r="Z20" s="3" t="s">
        <v>190</v>
      </c>
      <c r="AC20" t="s">
        <v>194</v>
      </c>
      <c r="AF20" s="3" t="s">
        <v>190</v>
      </c>
      <c r="AG20" s="3" t="s">
        <v>192</v>
      </c>
      <c r="AH20" t="s">
        <v>195</v>
      </c>
      <c r="AJ20" s="3" t="s">
        <v>160</v>
      </c>
      <c r="AL20" s="3" t="s">
        <v>160</v>
      </c>
      <c r="AN20" s="3" t="s">
        <v>143</v>
      </c>
      <c r="AQ20" s="3" t="s">
        <v>145</v>
      </c>
      <c r="AR20" s="3" t="s">
        <v>196</v>
      </c>
    </row>
    <row r="23" spans="1:44">
      <c r="B23" s="3" t="s">
        <v>136</v>
      </c>
      <c r="C23" s="3" t="s">
        <v>27</v>
      </c>
      <c r="D23" s="3" t="s">
        <v>18</v>
      </c>
      <c r="E23" s="3" t="s">
        <v>29</v>
      </c>
      <c r="F23" s="3" t="s">
        <v>28</v>
      </c>
      <c r="G23" s="4">
        <f t="shared" ca="1" si="0"/>
        <v>44265.406385532406</v>
      </c>
      <c r="H23" s="3" t="s">
        <v>228</v>
      </c>
      <c r="I23" s="3" t="s">
        <v>29</v>
      </c>
      <c r="J23" s="3"/>
      <c r="K23" s="3" t="s">
        <v>228</v>
      </c>
      <c r="L23" s="3" t="s">
        <v>91</v>
      </c>
      <c r="M23" s="3" t="s">
        <v>29</v>
      </c>
      <c r="N23" s="3" t="s">
        <v>91</v>
      </c>
      <c r="P23" s="3" t="s">
        <v>91</v>
      </c>
      <c r="Q23" s="3" t="s">
        <v>91</v>
      </c>
      <c r="R23" s="3" t="s">
        <v>91</v>
      </c>
      <c r="S23" s="3" t="s">
        <v>29</v>
      </c>
      <c r="T23" s="3" t="s">
        <v>91</v>
      </c>
      <c r="U23" s="3" t="s">
        <v>63</v>
      </c>
      <c r="V23" s="3" t="s">
        <v>263</v>
      </c>
      <c r="W23" s="3" t="s">
        <v>29</v>
      </c>
      <c r="X23" t="s">
        <v>260</v>
      </c>
      <c r="Z23" s="3" t="s">
        <v>91</v>
      </c>
      <c r="AC23" t="s">
        <v>59</v>
      </c>
      <c r="AF23" s="3" t="s">
        <v>256</v>
      </c>
      <c r="AG23" s="3" t="s">
        <v>264</v>
      </c>
      <c r="AH23" t="s">
        <v>60</v>
      </c>
      <c r="AJ23" s="3" t="s">
        <v>29</v>
      </c>
      <c r="AL23" s="3" t="s">
        <v>29</v>
      </c>
      <c r="AN23" s="3" t="s">
        <v>143</v>
      </c>
      <c r="AQ23" s="3" t="s">
        <v>30</v>
      </c>
      <c r="AR23" s="3" t="s">
        <v>272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1"/>
  <sheetViews>
    <sheetView tabSelected="1" workbookViewId="0">
      <pane xSplit="1" ySplit="3" topLeftCell="X76" activePane="bottomRight" state="frozen"/>
      <selection pane="topRight" activeCell="B1" sqref="B1"/>
      <selection pane="bottomLeft" activeCell="A4" sqref="A4"/>
      <selection pane="bottomRight" activeCell="AI90" sqref="AI90"/>
    </sheetView>
  </sheetViews>
  <sheetFormatPr defaultRowHeight="14.25"/>
  <cols>
    <col min="1" max="1" width="13.375" customWidth="1"/>
    <col min="7" max="7" width="17.375" customWidth="1"/>
    <col min="8" max="8" width="13.375" customWidth="1"/>
    <col min="9" max="9" width="4" customWidth="1"/>
    <col min="16" max="16" width="6.25" customWidth="1"/>
    <col min="17" max="17" width="4.875" customWidth="1"/>
    <col min="18" max="18" width="4.75" customWidth="1"/>
    <col min="19" max="19" width="4" customWidth="1"/>
    <col min="25" max="25" width="4" customWidth="1"/>
    <col min="27" max="27" width="5.75" customWidth="1"/>
    <col min="28" max="28" width="4.75" customWidth="1"/>
    <col min="29" max="29" width="4.125" customWidth="1"/>
    <col min="30" max="30" width="3.625" customWidth="1"/>
    <col min="31" max="31" width="4.75" customWidth="1"/>
    <col min="32" max="32" width="4.5" customWidth="1"/>
    <col min="33" max="33" width="4.875" customWidth="1"/>
    <col min="35" max="35" width="10.625" customWidth="1"/>
  </cols>
  <sheetData>
    <row r="1" spans="1:47" ht="15.75">
      <c r="A1" t="s">
        <v>273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115</v>
      </c>
      <c r="J1" t="s">
        <v>116</v>
      </c>
      <c r="K1" t="s">
        <v>31</v>
      </c>
      <c r="L1" t="s">
        <v>54</v>
      </c>
      <c r="M1" t="s">
        <v>33</v>
      </c>
      <c r="N1" t="s">
        <v>147</v>
      </c>
      <c r="O1" t="s">
        <v>148</v>
      </c>
      <c r="P1" t="s">
        <v>149</v>
      </c>
      <c r="Q1" t="s">
        <v>53</v>
      </c>
      <c r="R1" t="s">
        <v>678</v>
      </c>
      <c r="S1" t="s">
        <v>677</v>
      </c>
      <c r="T1" t="s">
        <v>93</v>
      </c>
      <c r="U1" t="s">
        <v>39</v>
      </c>
      <c r="V1" t="s">
        <v>150</v>
      </c>
      <c r="W1" t="s">
        <v>34</v>
      </c>
      <c r="X1" t="s">
        <v>38</v>
      </c>
      <c r="Y1" t="s">
        <v>36</v>
      </c>
      <c r="Z1" t="s">
        <v>32</v>
      </c>
      <c r="AA1" t="s">
        <v>151</v>
      </c>
      <c r="AB1" t="s">
        <v>41</v>
      </c>
      <c r="AC1" t="s">
        <v>47</v>
      </c>
      <c r="AD1" t="s">
        <v>152</v>
      </c>
      <c r="AE1" t="s">
        <v>37</v>
      </c>
      <c r="AF1" t="s">
        <v>43</v>
      </c>
      <c r="AG1" t="s">
        <v>42</v>
      </c>
      <c r="AH1" t="s">
        <v>153</v>
      </c>
      <c r="AI1" t="s">
        <v>154</v>
      </c>
      <c r="AJ1" t="s">
        <v>44</v>
      </c>
      <c r="AK1" t="s">
        <v>112</v>
      </c>
      <c r="AL1" t="s">
        <v>155</v>
      </c>
      <c r="AM1" t="s">
        <v>48</v>
      </c>
      <c r="AN1" t="s">
        <v>55</v>
      </c>
      <c r="AO1" t="s">
        <v>52</v>
      </c>
      <c r="AP1" t="s">
        <v>15</v>
      </c>
      <c r="AQ1" t="s">
        <v>16</v>
      </c>
      <c r="AR1" t="s">
        <v>57</v>
      </c>
      <c r="AS1" s="1" t="s">
        <v>17</v>
      </c>
      <c r="AT1" s="1" t="s">
        <v>572</v>
      </c>
      <c r="AU1" t="s">
        <v>120</v>
      </c>
    </row>
    <row r="2" spans="1:47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10</v>
      </c>
      <c r="L2" t="s">
        <v>38</v>
      </c>
      <c r="M2" t="s">
        <v>13</v>
      </c>
      <c r="N2" t="s">
        <v>40</v>
      </c>
      <c r="O2" t="s">
        <v>148</v>
      </c>
      <c r="P2" t="s">
        <v>10</v>
      </c>
      <c r="Q2" t="s">
        <v>35</v>
      </c>
      <c r="R2" t="s">
        <v>675</v>
      </c>
      <c r="S2" t="s">
        <v>676</v>
      </c>
      <c r="T2" t="s">
        <v>10</v>
      </c>
      <c r="U2" t="s">
        <v>40</v>
      </c>
      <c r="V2" t="s">
        <v>35</v>
      </c>
      <c r="W2" t="s">
        <v>35</v>
      </c>
      <c r="X2" t="s">
        <v>38</v>
      </c>
      <c r="Y2" t="s">
        <v>35</v>
      </c>
      <c r="Z2" t="s">
        <v>10</v>
      </c>
      <c r="AA2" t="s">
        <v>10</v>
      </c>
      <c r="AB2" t="s">
        <v>35</v>
      </c>
      <c r="AC2" t="s">
        <v>46</v>
      </c>
      <c r="AD2" t="s">
        <v>113</v>
      </c>
      <c r="AE2" t="s">
        <v>35</v>
      </c>
      <c r="AF2" t="s">
        <v>38</v>
      </c>
      <c r="AG2" t="s">
        <v>40</v>
      </c>
      <c r="AH2" t="s">
        <v>35</v>
      </c>
      <c r="AI2" t="s">
        <v>40</v>
      </c>
      <c r="AJ2" t="s">
        <v>45</v>
      </c>
      <c r="AK2" t="s">
        <v>113</v>
      </c>
      <c r="AL2" t="s">
        <v>35</v>
      </c>
      <c r="AM2" t="s">
        <v>49</v>
      </c>
      <c r="AN2" t="s">
        <v>56</v>
      </c>
      <c r="AO2" t="s">
        <v>14</v>
      </c>
      <c r="AP2" t="s">
        <v>13</v>
      </c>
      <c r="AQ2" t="s">
        <v>13</v>
      </c>
      <c r="AR2" t="s">
        <v>56</v>
      </c>
      <c r="AS2" t="s">
        <v>10</v>
      </c>
      <c r="AT2" t="s">
        <v>573</v>
      </c>
      <c r="AU2" t="s">
        <v>121</v>
      </c>
    </row>
    <row r="3" spans="1:47">
      <c r="B3" s="2" t="s">
        <v>18</v>
      </c>
      <c r="C3" s="2" t="s">
        <v>19</v>
      </c>
      <c r="D3" s="2" t="s">
        <v>20</v>
      </c>
      <c r="E3" s="2" t="s">
        <v>23</v>
      </c>
      <c r="F3" s="2" t="s">
        <v>21</v>
      </c>
      <c r="G3" s="2" t="s">
        <v>24</v>
      </c>
      <c r="H3" s="2" t="s">
        <v>22</v>
      </c>
      <c r="I3" s="2" t="s">
        <v>127</v>
      </c>
      <c r="J3" s="2" t="s">
        <v>128</v>
      </c>
      <c r="K3" s="3" t="s">
        <v>29</v>
      </c>
      <c r="L3" s="3" t="s">
        <v>68</v>
      </c>
      <c r="M3" s="3" t="s">
        <v>69</v>
      </c>
      <c r="N3" s="3" t="s">
        <v>163</v>
      </c>
      <c r="O3" s="3" t="s">
        <v>164</v>
      </c>
      <c r="P3" s="3" t="s">
        <v>165</v>
      </c>
      <c r="Q3" s="3" t="s">
        <v>70</v>
      </c>
      <c r="R3" s="3" t="s">
        <v>673</v>
      </c>
      <c r="S3" s="3" t="s">
        <v>674</v>
      </c>
      <c r="T3" s="3" t="s">
        <v>100</v>
      </c>
      <c r="U3" s="3" t="s">
        <v>71</v>
      </c>
      <c r="V3" s="3" t="s">
        <v>169</v>
      </c>
      <c r="W3" s="3" t="s">
        <v>72</v>
      </c>
      <c r="X3" s="3" t="s">
        <v>73</v>
      </c>
      <c r="Y3" s="3" t="s">
        <v>74</v>
      </c>
      <c r="Z3" s="3" t="s">
        <v>75</v>
      </c>
      <c r="AA3" s="3" t="s">
        <v>174</v>
      </c>
      <c r="AB3" s="3" t="s">
        <v>76</v>
      </c>
      <c r="AC3" s="3" t="s">
        <v>77</v>
      </c>
      <c r="AD3" s="3" t="s">
        <v>176</v>
      </c>
      <c r="AE3" s="3" t="s">
        <v>78</v>
      </c>
      <c r="AF3" s="3" t="s">
        <v>178</v>
      </c>
      <c r="AG3" s="3" t="s">
        <v>80</v>
      </c>
      <c r="AH3" s="3" t="s">
        <v>180</v>
      </c>
      <c r="AI3" s="3" t="s">
        <v>181</v>
      </c>
      <c r="AJ3" s="3" t="s">
        <v>81</v>
      </c>
      <c r="AK3" s="3" t="s">
        <v>183</v>
      </c>
      <c r="AL3" s="3" t="s">
        <v>184</v>
      </c>
      <c r="AM3" s="3" t="s">
        <v>185</v>
      </c>
      <c r="AN3" s="3" t="s">
        <v>83</v>
      </c>
      <c r="AO3" s="3" t="s">
        <v>84</v>
      </c>
      <c r="AP3" s="3" t="s">
        <v>107</v>
      </c>
      <c r="AQ3" s="3" t="s">
        <v>108</v>
      </c>
      <c r="AR3" s="3" t="s">
        <v>85</v>
      </c>
      <c r="AS3" s="2" t="s">
        <v>25</v>
      </c>
      <c r="AT3" s="2" t="s">
        <v>568</v>
      </c>
      <c r="AU3" s="7" t="s">
        <v>120</v>
      </c>
    </row>
    <row r="4" spans="1:47">
      <c r="A4" t="s">
        <v>274</v>
      </c>
      <c r="B4" s="3" t="s">
        <v>26</v>
      </c>
      <c r="C4" s="3" t="s">
        <v>27</v>
      </c>
      <c r="D4" s="3" t="s">
        <v>18</v>
      </c>
      <c r="E4" s="3" t="s">
        <v>29</v>
      </c>
      <c r="F4" s="3" t="s">
        <v>28</v>
      </c>
      <c r="G4" s="4">
        <f t="shared" ref="G4:G71" ca="1" si="0">NOW()</f>
        <v>44265.406385532406</v>
      </c>
      <c r="H4" s="3" t="s">
        <v>229</v>
      </c>
      <c r="I4" s="3"/>
      <c r="J4" s="3" t="s">
        <v>189</v>
      </c>
      <c r="K4" s="3" t="s">
        <v>229</v>
      </c>
      <c r="L4" s="3" t="s">
        <v>91</v>
      </c>
      <c r="M4" s="3" t="s">
        <v>304</v>
      </c>
      <c r="N4" s="3" t="s">
        <v>91</v>
      </c>
      <c r="P4" s="3" t="s">
        <v>91</v>
      </c>
      <c r="Q4" s="3" t="s">
        <v>91</v>
      </c>
      <c r="R4" s="3"/>
      <c r="S4" s="3"/>
      <c r="T4" s="3" t="s">
        <v>91</v>
      </c>
      <c r="U4" s="3" t="s">
        <v>29</v>
      </c>
      <c r="V4" t="s">
        <v>138</v>
      </c>
      <c r="W4" s="3" t="s">
        <v>63</v>
      </c>
      <c r="X4" s="3" t="s">
        <v>307</v>
      </c>
      <c r="Y4" s="3" t="s">
        <v>29</v>
      </c>
      <c r="Z4" t="s">
        <v>285</v>
      </c>
      <c r="AB4" s="3" t="s">
        <v>91</v>
      </c>
      <c r="AE4" t="s">
        <v>59</v>
      </c>
      <c r="AH4" t="s">
        <v>138</v>
      </c>
      <c r="AI4" s="3" t="s">
        <v>29</v>
      </c>
      <c r="AJ4" t="s">
        <v>60</v>
      </c>
      <c r="AL4" s="3" t="s">
        <v>29</v>
      </c>
      <c r="AN4" s="3" t="s">
        <v>29</v>
      </c>
      <c r="AP4" s="3" t="s">
        <v>143</v>
      </c>
      <c r="AS4" s="3" t="s">
        <v>30</v>
      </c>
      <c r="AT4" s="3"/>
      <c r="AU4" s="3" t="s">
        <v>196</v>
      </c>
    </row>
    <row r="5" spans="1:47">
      <c r="A5" t="s">
        <v>274</v>
      </c>
      <c r="B5" s="3" t="s">
        <v>136</v>
      </c>
      <c r="C5" s="3" t="s">
        <v>27</v>
      </c>
      <c r="D5" s="3" t="s">
        <v>18</v>
      </c>
      <c r="E5" s="3" t="s">
        <v>29</v>
      </c>
      <c r="F5" s="3" t="s">
        <v>28</v>
      </c>
      <c r="G5" s="4">
        <f t="shared" ca="1" si="0"/>
        <v>44265.406385532406</v>
      </c>
      <c r="H5" s="3" t="s">
        <v>229</v>
      </c>
      <c r="I5" s="3"/>
      <c r="J5" s="3" t="s">
        <v>189</v>
      </c>
      <c r="K5" s="3" t="s">
        <v>229</v>
      </c>
      <c r="L5" s="3" t="s">
        <v>91</v>
      </c>
      <c r="M5" s="3" t="s">
        <v>143</v>
      </c>
      <c r="N5" s="3" t="s">
        <v>91</v>
      </c>
      <c r="P5" s="3" t="s">
        <v>91</v>
      </c>
      <c r="Q5" s="3" t="s">
        <v>91</v>
      </c>
      <c r="R5" s="3"/>
      <c r="S5" s="3"/>
      <c r="T5" s="3" t="s">
        <v>91</v>
      </c>
      <c r="U5" s="3" t="s">
        <v>29</v>
      </c>
      <c r="V5" s="3" t="s">
        <v>91</v>
      </c>
      <c r="W5" s="3" t="s">
        <v>63</v>
      </c>
      <c r="X5" s="3" t="s">
        <v>308</v>
      </c>
      <c r="Y5" s="3" t="s">
        <v>29</v>
      </c>
      <c r="Z5" t="s">
        <v>305</v>
      </c>
      <c r="AB5" s="3" t="s">
        <v>91</v>
      </c>
      <c r="AE5" t="s">
        <v>59</v>
      </c>
      <c r="AH5" s="3" t="s">
        <v>91</v>
      </c>
      <c r="AI5" s="3" t="s">
        <v>29</v>
      </c>
      <c r="AJ5" t="s">
        <v>60</v>
      </c>
      <c r="AL5" s="3" t="s">
        <v>29</v>
      </c>
      <c r="AN5" s="3" t="s">
        <v>29</v>
      </c>
      <c r="AP5" s="3" t="s">
        <v>143</v>
      </c>
      <c r="AS5" s="3" t="s">
        <v>30</v>
      </c>
      <c r="AT5" s="3"/>
      <c r="AU5" s="3" t="s">
        <v>196</v>
      </c>
    </row>
    <row r="6" spans="1:47">
      <c r="A6" t="s">
        <v>276</v>
      </c>
      <c r="B6" s="3" t="s">
        <v>136</v>
      </c>
      <c r="C6" s="3" t="s">
        <v>27</v>
      </c>
      <c r="D6" s="3" t="s">
        <v>18</v>
      </c>
      <c r="E6" s="3" t="s">
        <v>29</v>
      </c>
      <c r="F6" s="3" t="s">
        <v>28</v>
      </c>
      <c r="G6" s="4">
        <f t="shared" ca="1" si="0"/>
        <v>44265.406385532406</v>
      </c>
      <c r="H6" s="3" t="s">
        <v>228</v>
      </c>
      <c r="I6" s="3"/>
      <c r="J6" s="3" t="s">
        <v>189</v>
      </c>
      <c r="K6" s="3" t="s">
        <v>228</v>
      </c>
      <c r="L6" s="3" t="s">
        <v>91</v>
      </c>
      <c r="M6" s="3" t="s">
        <v>143</v>
      </c>
      <c r="N6" s="3" t="s">
        <v>91</v>
      </c>
      <c r="P6" s="3" t="s">
        <v>91</v>
      </c>
      <c r="Q6" s="3" t="s">
        <v>91</v>
      </c>
      <c r="R6" s="3"/>
      <c r="S6" s="3"/>
      <c r="T6" s="3" t="s">
        <v>91</v>
      </c>
      <c r="U6" s="3" t="s">
        <v>29</v>
      </c>
      <c r="V6" s="3" t="s">
        <v>68</v>
      </c>
      <c r="W6" s="3" t="s">
        <v>63</v>
      </c>
      <c r="X6" s="3" t="s">
        <v>300</v>
      </c>
      <c r="Y6" s="3" t="s">
        <v>29</v>
      </c>
      <c r="Z6" t="s">
        <v>284</v>
      </c>
      <c r="AB6" s="3" t="s">
        <v>91</v>
      </c>
      <c r="AE6" t="s">
        <v>59</v>
      </c>
      <c r="AH6" s="3" t="s">
        <v>68</v>
      </c>
      <c r="AI6" s="3" t="s">
        <v>29</v>
      </c>
      <c r="AJ6" t="s">
        <v>60</v>
      </c>
      <c r="AL6" s="3" t="s">
        <v>29</v>
      </c>
      <c r="AN6" s="3" t="s">
        <v>29</v>
      </c>
      <c r="AP6" s="3" t="s">
        <v>143</v>
      </c>
      <c r="AS6" s="3" t="s">
        <v>30</v>
      </c>
      <c r="AT6" s="3"/>
      <c r="AU6" s="3" t="s">
        <v>196</v>
      </c>
    </row>
    <row r="7" spans="1:47">
      <c r="A7" t="s">
        <v>276</v>
      </c>
      <c r="B7" s="3" t="s">
        <v>136</v>
      </c>
      <c r="C7" s="3" t="s">
        <v>27</v>
      </c>
      <c r="D7" s="3" t="s">
        <v>18</v>
      </c>
      <c r="E7" s="3" t="s">
        <v>29</v>
      </c>
      <c r="F7" s="3" t="s">
        <v>28</v>
      </c>
      <c r="G7" s="4">
        <f t="shared" ca="1" si="0"/>
        <v>44265.406385532406</v>
      </c>
      <c r="H7" s="3" t="s">
        <v>228</v>
      </c>
      <c r="I7" s="3"/>
      <c r="J7" s="3" t="s">
        <v>189</v>
      </c>
      <c r="K7" s="3" t="s">
        <v>228</v>
      </c>
      <c r="L7" s="3" t="s">
        <v>91</v>
      </c>
      <c r="M7" s="3" t="s">
        <v>309</v>
      </c>
      <c r="N7" s="3" t="s">
        <v>91</v>
      </c>
      <c r="P7" s="3" t="s">
        <v>91</v>
      </c>
      <c r="Q7" s="3" t="s">
        <v>91</v>
      </c>
      <c r="R7" s="3"/>
      <c r="S7" s="3"/>
      <c r="T7" s="3" t="s">
        <v>91</v>
      </c>
      <c r="U7" s="3" t="s">
        <v>29</v>
      </c>
      <c r="V7" s="3" t="s">
        <v>319</v>
      </c>
      <c r="W7" s="3" t="s">
        <v>63</v>
      </c>
      <c r="X7" s="3" t="s">
        <v>300</v>
      </c>
      <c r="Y7" s="3" t="s">
        <v>29</v>
      </c>
      <c r="Z7" t="s">
        <v>284</v>
      </c>
      <c r="AB7" s="3" t="s">
        <v>91</v>
      </c>
      <c r="AE7" t="s">
        <v>59</v>
      </c>
      <c r="AH7" s="3" t="s">
        <v>197</v>
      </c>
      <c r="AI7" s="3" t="s">
        <v>29</v>
      </c>
      <c r="AJ7" t="s">
        <v>60</v>
      </c>
      <c r="AL7" s="3" t="s">
        <v>29</v>
      </c>
      <c r="AN7" s="3" t="s">
        <v>29</v>
      </c>
      <c r="AP7" s="3" t="s">
        <v>143</v>
      </c>
      <c r="AS7" s="3" t="s">
        <v>30</v>
      </c>
      <c r="AT7" s="3"/>
      <c r="AU7" s="3" t="s">
        <v>196</v>
      </c>
    </row>
    <row r="8" spans="1:47">
      <c r="A8" t="s">
        <v>276</v>
      </c>
      <c r="B8" s="3" t="s">
        <v>136</v>
      </c>
      <c r="C8" s="3" t="s">
        <v>27</v>
      </c>
      <c r="D8" s="3" t="s">
        <v>18</v>
      </c>
      <c r="E8" s="3" t="s">
        <v>29</v>
      </c>
      <c r="F8" s="3" t="s">
        <v>28</v>
      </c>
      <c r="G8" s="4">
        <f t="shared" ca="1" si="0"/>
        <v>44265.406385532406</v>
      </c>
      <c r="H8" s="3" t="s">
        <v>228</v>
      </c>
      <c r="I8" s="3"/>
      <c r="J8" s="3" t="s">
        <v>189</v>
      </c>
      <c r="K8" s="3" t="s">
        <v>228</v>
      </c>
      <c r="L8" s="3" t="s">
        <v>91</v>
      </c>
      <c r="M8" s="3" t="s">
        <v>253</v>
      </c>
      <c r="N8" s="3" t="s">
        <v>91</v>
      </c>
      <c r="P8" s="3" t="s">
        <v>91</v>
      </c>
      <c r="Q8" s="3" t="s">
        <v>91</v>
      </c>
      <c r="R8" s="3"/>
      <c r="S8" s="3"/>
      <c r="T8" s="3" t="s">
        <v>91</v>
      </c>
      <c r="U8" s="3" t="s">
        <v>29</v>
      </c>
      <c r="V8" s="3" t="s">
        <v>320</v>
      </c>
      <c r="W8" s="3" t="s">
        <v>63</v>
      </c>
      <c r="X8" s="3" t="s">
        <v>300</v>
      </c>
      <c r="Y8" s="3" t="s">
        <v>29</v>
      </c>
      <c r="Z8" t="s">
        <v>284</v>
      </c>
      <c r="AB8" s="3" t="s">
        <v>91</v>
      </c>
      <c r="AE8" t="s">
        <v>59</v>
      </c>
      <c r="AH8" s="3" t="s">
        <v>197</v>
      </c>
      <c r="AI8" s="3" t="s">
        <v>29</v>
      </c>
      <c r="AJ8" t="s">
        <v>60</v>
      </c>
      <c r="AL8" s="3" t="s">
        <v>29</v>
      </c>
      <c r="AN8" s="3" t="s">
        <v>29</v>
      </c>
      <c r="AP8" s="3" t="s">
        <v>143</v>
      </c>
      <c r="AS8" s="3" t="s">
        <v>30</v>
      </c>
      <c r="AT8" s="3"/>
      <c r="AU8" s="3" t="s">
        <v>487</v>
      </c>
    </row>
    <row r="9" spans="1:47">
      <c r="A9" t="s">
        <v>276</v>
      </c>
      <c r="B9" s="3" t="s">
        <v>136</v>
      </c>
      <c r="C9" s="3" t="s">
        <v>27</v>
      </c>
      <c r="D9" s="3" t="s">
        <v>18</v>
      </c>
      <c r="E9" s="3" t="s">
        <v>29</v>
      </c>
      <c r="F9" s="3" t="s">
        <v>28</v>
      </c>
      <c r="G9" s="4">
        <f t="shared" ca="1" si="0"/>
        <v>44265.406385532406</v>
      </c>
      <c r="H9" s="3" t="s">
        <v>228</v>
      </c>
      <c r="I9" s="3"/>
      <c r="J9" s="3" t="s">
        <v>189</v>
      </c>
      <c r="K9" s="3" t="s">
        <v>228</v>
      </c>
      <c r="L9" s="3" t="s">
        <v>91</v>
      </c>
      <c r="M9" s="3" t="s">
        <v>310</v>
      </c>
      <c r="N9" s="3" t="s">
        <v>91</v>
      </c>
      <c r="P9" s="3" t="s">
        <v>91</v>
      </c>
      <c r="Q9" s="3" t="s">
        <v>91</v>
      </c>
      <c r="R9" s="3"/>
      <c r="S9" s="3"/>
      <c r="T9" s="3" t="s">
        <v>91</v>
      </c>
      <c r="U9" s="3" t="s">
        <v>63</v>
      </c>
      <c r="V9" s="3" t="s">
        <v>322</v>
      </c>
      <c r="W9" s="3" t="s">
        <v>63</v>
      </c>
      <c r="X9" s="3" t="s">
        <v>300</v>
      </c>
      <c r="Y9" s="3" t="s">
        <v>29</v>
      </c>
      <c r="Z9" t="s">
        <v>284</v>
      </c>
      <c r="AB9" s="3" t="s">
        <v>91</v>
      </c>
      <c r="AE9" t="s">
        <v>59</v>
      </c>
      <c r="AH9" s="3" t="s">
        <v>324</v>
      </c>
      <c r="AI9" s="3" t="s">
        <v>321</v>
      </c>
      <c r="AJ9" t="s">
        <v>60</v>
      </c>
      <c r="AL9" s="3" t="s">
        <v>29</v>
      </c>
      <c r="AN9" s="3" t="s">
        <v>29</v>
      </c>
      <c r="AP9" s="3" t="s">
        <v>143</v>
      </c>
      <c r="AS9" s="3" t="s">
        <v>30</v>
      </c>
      <c r="AT9" s="3"/>
      <c r="AU9" s="3" t="s">
        <v>196</v>
      </c>
    </row>
    <row r="10" spans="1:47">
      <c r="A10" t="s">
        <v>276</v>
      </c>
      <c r="B10" s="3" t="s">
        <v>136</v>
      </c>
      <c r="C10" s="3" t="s">
        <v>27</v>
      </c>
      <c r="D10" s="3" t="s">
        <v>18</v>
      </c>
      <c r="E10" s="3" t="s">
        <v>29</v>
      </c>
      <c r="F10" s="3" t="s">
        <v>28</v>
      </c>
      <c r="G10" s="4">
        <f t="shared" ca="1" si="0"/>
        <v>44265.406385532406</v>
      </c>
      <c r="H10" s="3" t="s">
        <v>228</v>
      </c>
      <c r="I10" s="3"/>
      <c r="J10" s="3" t="s">
        <v>189</v>
      </c>
      <c r="K10" s="3" t="s">
        <v>228</v>
      </c>
      <c r="L10" s="3" t="s">
        <v>91</v>
      </c>
      <c r="M10" s="3" t="s">
        <v>311</v>
      </c>
      <c r="N10" s="3" t="s">
        <v>91</v>
      </c>
      <c r="P10" s="3" t="s">
        <v>91</v>
      </c>
      <c r="Q10" s="3" t="s">
        <v>91</v>
      </c>
      <c r="R10" s="3"/>
      <c r="S10" s="3"/>
      <c r="T10" s="3" t="s">
        <v>91</v>
      </c>
      <c r="U10" s="3" t="s">
        <v>63</v>
      </c>
      <c r="V10" s="3" t="s">
        <v>323</v>
      </c>
      <c r="W10" s="3" t="s">
        <v>63</v>
      </c>
      <c r="X10" s="3" t="s">
        <v>300</v>
      </c>
      <c r="Y10" s="3" t="s">
        <v>29</v>
      </c>
      <c r="Z10" t="s">
        <v>284</v>
      </c>
      <c r="AB10" s="3" t="s">
        <v>91</v>
      </c>
      <c r="AE10" t="s">
        <v>59</v>
      </c>
      <c r="AH10" s="3" t="s">
        <v>325</v>
      </c>
      <c r="AI10" s="3" t="s">
        <v>63</v>
      </c>
      <c r="AJ10" t="s">
        <v>60</v>
      </c>
      <c r="AL10" s="3" t="s">
        <v>29</v>
      </c>
      <c r="AN10" s="3" t="s">
        <v>29</v>
      </c>
      <c r="AP10" s="3" t="s">
        <v>143</v>
      </c>
      <c r="AS10" s="3" t="s">
        <v>30</v>
      </c>
      <c r="AT10" s="3"/>
      <c r="AU10" s="3" t="s">
        <v>196</v>
      </c>
    </row>
    <row r="11" spans="1:47">
      <c r="A11" t="s">
        <v>274</v>
      </c>
      <c r="B11" s="3" t="s">
        <v>26</v>
      </c>
      <c r="C11" s="3" t="s">
        <v>27</v>
      </c>
      <c r="D11" s="3" t="s">
        <v>18</v>
      </c>
      <c r="E11" s="3" t="s">
        <v>29</v>
      </c>
      <c r="F11" s="3" t="s">
        <v>28</v>
      </c>
      <c r="G11" s="4">
        <f t="shared" ca="1" si="0"/>
        <v>44265.406385532406</v>
      </c>
      <c r="H11" s="3" t="s">
        <v>229</v>
      </c>
      <c r="I11" s="3"/>
      <c r="J11" s="3" t="s">
        <v>189</v>
      </c>
      <c r="K11" s="3" t="s">
        <v>229</v>
      </c>
      <c r="L11" s="3" t="s">
        <v>91</v>
      </c>
      <c r="M11" s="3" t="s">
        <v>326</v>
      </c>
      <c r="N11" s="3" t="s">
        <v>91</v>
      </c>
      <c r="P11" s="3" t="s">
        <v>91</v>
      </c>
      <c r="Q11" s="3" t="s">
        <v>91</v>
      </c>
      <c r="R11" s="3"/>
      <c r="S11" s="3"/>
      <c r="T11" s="3" t="s">
        <v>91</v>
      </c>
      <c r="U11" s="3" t="s">
        <v>29</v>
      </c>
      <c r="V11" t="s">
        <v>138</v>
      </c>
      <c r="W11" s="3" t="s">
        <v>63</v>
      </c>
      <c r="X11" s="3" t="s">
        <v>333</v>
      </c>
      <c r="Y11" s="3" t="s">
        <v>29</v>
      </c>
      <c r="Z11" t="s">
        <v>285</v>
      </c>
      <c r="AB11" s="3" t="s">
        <v>91</v>
      </c>
      <c r="AE11" t="s">
        <v>59</v>
      </c>
      <c r="AH11" t="s">
        <v>138</v>
      </c>
      <c r="AI11" s="3" t="s">
        <v>29</v>
      </c>
      <c r="AJ11" t="s">
        <v>60</v>
      </c>
      <c r="AL11" s="3" t="s">
        <v>29</v>
      </c>
      <c r="AN11" s="3" t="s">
        <v>29</v>
      </c>
      <c r="AP11" s="3" t="s">
        <v>143</v>
      </c>
      <c r="AS11" s="3" t="s">
        <v>30</v>
      </c>
      <c r="AT11" s="3"/>
      <c r="AU11" s="3" t="s">
        <v>196</v>
      </c>
    </row>
    <row r="12" spans="1:47">
      <c r="A12" t="s">
        <v>274</v>
      </c>
      <c r="B12" s="3" t="s">
        <v>136</v>
      </c>
      <c r="C12" s="3" t="s">
        <v>27</v>
      </c>
      <c r="D12" s="3" t="s">
        <v>18</v>
      </c>
      <c r="E12" s="3" t="s">
        <v>29</v>
      </c>
      <c r="F12" s="3" t="s">
        <v>28</v>
      </c>
      <c r="G12" s="4">
        <f t="shared" ca="1" si="0"/>
        <v>44265.406385532406</v>
      </c>
      <c r="H12" s="3" t="s">
        <v>229</v>
      </c>
      <c r="I12" s="3"/>
      <c r="J12" s="3" t="s">
        <v>189</v>
      </c>
      <c r="K12" s="3" t="s">
        <v>229</v>
      </c>
      <c r="L12" s="3" t="s">
        <v>91</v>
      </c>
      <c r="M12" s="3" t="s">
        <v>326</v>
      </c>
      <c r="N12" s="3" t="s">
        <v>91</v>
      </c>
      <c r="P12" s="3" t="s">
        <v>91</v>
      </c>
      <c r="Q12" s="3" t="s">
        <v>91</v>
      </c>
      <c r="R12" s="3"/>
      <c r="S12" s="3"/>
      <c r="T12" s="3" t="s">
        <v>91</v>
      </c>
      <c r="U12" s="3" t="s">
        <v>29</v>
      </c>
      <c r="V12" s="3" t="s">
        <v>91</v>
      </c>
      <c r="W12" s="3" t="s">
        <v>63</v>
      </c>
      <c r="X12" s="3" t="s">
        <v>238</v>
      </c>
      <c r="Y12" s="3" t="s">
        <v>29</v>
      </c>
      <c r="Z12" t="s">
        <v>305</v>
      </c>
      <c r="AB12" s="3" t="s">
        <v>91</v>
      </c>
      <c r="AE12" t="s">
        <v>59</v>
      </c>
      <c r="AH12" s="3" t="s">
        <v>91</v>
      </c>
      <c r="AI12" s="3" t="s">
        <v>29</v>
      </c>
      <c r="AJ12" t="s">
        <v>60</v>
      </c>
      <c r="AL12" s="3" t="s">
        <v>29</v>
      </c>
      <c r="AN12" s="3" t="s">
        <v>29</v>
      </c>
      <c r="AP12" s="3" t="s">
        <v>143</v>
      </c>
      <c r="AS12" s="3" t="s">
        <v>30</v>
      </c>
      <c r="AT12" s="3"/>
      <c r="AU12" s="3" t="s">
        <v>196</v>
      </c>
    </row>
    <row r="13" spans="1:47">
      <c r="A13" t="s">
        <v>276</v>
      </c>
      <c r="B13" s="3" t="s">
        <v>136</v>
      </c>
      <c r="C13" s="3" t="s">
        <v>27</v>
      </c>
      <c r="D13" s="3" t="s">
        <v>18</v>
      </c>
      <c r="E13" s="3" t="s">
        <v>29</v>
      </c>
      <c r="F13" s="3" t="s">
        <v>28</v>
      </c>
      <c r="G13" s="4">
        <f t="shared" ca="1" si="0"/>
        <v>44265.406385532406</v>
      </c>
      <c r="H13" s="3" t="s">
        <v>228</v>
      </c>
      <c r="I13" s="3"/>
      <c r="J13" s="3" t="s">
        <v>189</v>
      </c>
      <c r="K13" s="3" t="s">
        <v>228</v>
      </c>
      <c r="L13" s="3" t="s">
        <v>91</v>
      </c>
      <c r="M13" s="3" t="s">
        <v>327</v>
      </c>
      <c r="N13" s="3" t="s">
        <v>91</v>
      </c>
      <c r="P13" s="3" t="s">
        <v>91</v>
      </c>
      <c r="Q13" s="3" t="s">
        <v>91</v>
      </c>
      <c r="R13" s="3"/>
      <c r="S13" s="3"/>
      <c r="T13" s="3" t="s">
        <v>91</v>
      </c>
      <c r="U13" s="3" t="s">
        <v>29</v>
      </c>
      <c r="V13" s="3" t="s">
        <v>68</v>
      </c>
      <c r="W13" s="3" t="s">
        <v>63</v>
      </c>
      <c r="X13" s="3" t="s">
        <v>334</v>
      </c>
      <c r="Y13" s="3" t="s">
        <v>29</v>
      </c>
      <c r="Z13" t="s">
        <v>284</v>
      </c>
      <c r="AB13" s="3" t="s">
        <v>91</v>
      </c>
      <c r="AE13" t="s">
        <v>59</v>
      </c>
      <c r="AH13" s="3" t="s">
        <v>68</v>
      </c>
      <c r="AI13" s="3" t="s">
        <v>29</v>
      </c>
      <c r="AJ13" t="s">
        <v>60</v>
      </c>
      <c r="AL13" s="3" t="s">
        <v>29</v>
      </c>
      <c r="AN13" s="3" t="s">
        <v>29</v>
      </c>
      <c r="AP13" s="3" t="s">
        <v>143</v>
      </c>
      <c r="AS13" s="3" t="s">
        <v>30</v>
      </c>
      <c r="AT13" s="3"/>
      <c r="AU13" s="3" t="s">
        <v>196</v>
      </c>
    </row>
    <row r="14" spans="1:47">
      <c r="A14" t="s">
        <v>276</v>
      </c>
      <c r="B14" s="3" t="s">
        <v>136</v>
      </c>
      <c r="C14" s="3" t="s">
        <v>27</v>
      </c>
      <c r="D14" s="3" t="s">
        <v>18</v>
      </c>
      <c r="E14" s="3" t="s">
        <v>29</v>
      </c>
      <c r="F14" s="3" t="s">
        <v>28</v>
      </c>
      <c r="G14" s="4">
        <f t="shared" ca="1" si="0"/>
        <v>44265.406385532406</v>
      </c>
      <c r="H14" s="3" t="s">
        <v>228</v>
      </c>
      <c r="I14" s="3"/>
      <c r="J14" s="3" t="s">
        <v>189</v>
      </c>
      <c r="K14" s="3" t="s">
        <v>228</v>
      </c>
      <c r="L14" s="3" t="s">
        <v>91</v>
      </c>
      <c r="M14" s="3" t="s">
        <v>328</v>
      </c>
      <c r="N14" s="3" t="s">
        <v>91</v>
      </c>
      <c r="P14" s="3" t="s">
        <v>91</v>
      </c>
      <c r="Q14" s="3" t="s">
        <v>91</v>
      </c>
      <c r="R14" s="3"/>
      <c r="S14" s="3"/>
      <c r="T14" s="3" t="s">
        <v>91</v>
      </c>
      <c r="U14" s="3" t="s">
        <v>29</v>
      </c>
      <c r="V14" s="3" t="s">
        <v>319</v>
      </c>
      <c r="W14" s="3" t="s">
        <v>63</v>
      </c>
      <c r="X14" s="3" t="s">
        <v>334</v>
      </c>
      <c r="Y14" s="3" t="s">
        <v>29</v>
      </c>
      <c r="Z14" t="s">
        <v>284</v>
      </c>
      <c r="AB14" s="3" t="s">
        <v>91</v>
      </c>
      <c r="AE14" t="s">
        <v>59</v>
      </c>
      <c r="AH14" s="3" t="s">
        <v>197</v>
      </c>
      <c r="AI14" s="3" t="s">
        <v>91</v>
      </c>
      <c r="AJ14" t="s">
        <v>60</v>
      </c>
      <c r="AL14" s="3" t="s">
        <v>29</v>
      </c>
      <c r="AN14" s="3" t="s">
        <v>29</v>
      </c>
      <c r="AP14" s="3" t="s">
        <v>143</v>
      </c>
      <c r="AS14" s="3" t="s">
        <v>30</v>
      </c>
      <c r="AT14" s="3"/>
      <c r="AU14" s="3" t="s">
        <v>196</v>
      </c>
    </row>
    <row r="15" spans="1:47">
      <c r="A15" t="s">
        <v>276</v>
      </c>
      <c r="B15" s="3" t="s">
        <v>136</v>
      </c>
      <c r="C15" s="3" t="s">
        <v>27</v>
      </c>
      <c r="D15" s="3" t="s">
        <v>18</v>
      </c>
      <c r="E15" s="3" t="s">
        <v>29</v>
      </c>
      <c r="F15" s="3" t="s">
        <v>28</v>
      </c>
      <c r="G15" s="4">
        <f t="shared" ca="1" si="0"/>
        <v>44265.406385532406</v>
      </c>
      <c r="H15" s="3" t="s">
        <v>228</v>
      </c>
      <c r="I15" s="3"/>
      <c r="J15" s="3" t="s">
        <v>189</v>
      </c>
      <c r="K15" s="3" t="s">
        <v>228</v>
      </c>
      <c r="L15" s="3" t="s">
        <v>91</v>
      </c>
      <c r="M15" s="3" t="s">
        <v>329</v>
      </c>
      <c r="N15" s="3" t="s">
        <v>91</v>
      </c>
      <c r="P15" s="3" t="s">
        <v>91</v>
      </c>
      <c r="Q15" s="3" t="s">
        <v>91</v>
      </c>
      <c r="R15" s="3"/>
      <c r="S15" s="3"/>
      <c r="T15" s="3" t="s">
        <v>91</v>
      </c>
      <c r="U15" s="3" t="s">
        <v>29</v>
      </c>
      <c r="V15" s="3" t="s">
        <v>320</v>
      </c>
      <c r="W15" s="3" t="s">
        <v>63</v>
      </c>
      <c r="X15" s="3" t="s">
        <v>335</v>
      </c>
      <c r="Y15" s="3" t="s">
        <v>29</v>
      </c>
      <c r="Z15" t="s">
        <v>284</v>
      </c>
      <c r="AB15" s="3" t="s">
        <v>91</v>
      </c>
      <c r="AE15" t="s">
        <v>59</v>
      </c>
      <c r="AH15" s="3" t="s">
        <v>197</v>
      </c>
      <c r="AI15" s="3" t="s">
        <v>91</v>
      </c>
      <c r="AJ15" t="s">
        <v>60</v>
      </c>
      <c r="AL15" s="3" t="s">
        <v>29</v>
      </c>
      <c r="AN15" s="3" t="s">
        <v>29</v>
      </c>
      <c r="AP15" s="3" t="s">
        <v>143</v>
      </c>
      <c r="AS15" s="3" t="s">
        <v>30</v>
      </c>
      <c r="AT15" s="3"/>
      <c r="AU15" s="3" t="s">
        <v>488</v>
      </c>
    </row>
    <row r="16" spans="1:47">
      <c r="A16" t="s">
        <v>276</v>
      </c>
      <c r="B16" s="3" t="s">
        <v>136</v>
      </c>
      <c r="C16" s="3" t="s">
        <v>27</v>
      </c>
      <c r="D16" s="3" t="s">
        <v>18</v>
      </c>
      <c r="E16" s="3" t="s">
        <v>29</v>
      </c>
      <c r="F16" s="3" t="s">
        <v>28</v>
      </c>
      <c r="G16" s="4">
        <f t="shared" ca="1" si="0"/>
        <v>44265.406385532406</v>
      </c>
      <c r="H16" s="3" t="s">
        <v>228</v>
      </c>
      <c r="I16" s="3"/>
      <c r="J16" s="3" t="s">
        <v>189</v>
      </c>
      <c r="K16" s="3" t="s">
        <v>228</v>
      </c>
      <c r="L16" s="3" t="s">
        <v>91</v>
      </c>
      <c r="M16" s="3" t="s">
        <v>330</v>
      </c>
      <c r="N16" s="3" t="s">
        <v>91</v>
      </c>
      <c r="P16" s="3" t="s">
        <v>91</v>
      </c>
      <c r="Q16" s="3" t="s">
        <v>91</v>
      </c>
      <c r="R16" s="3"/>
      <c r="S16" s="3"/>
      <c r="T16" s="3" t="s">
        <v>91</v>
      </c>
      <c r="U16" s="3" t="s">
        <v>331</v>
      </c>
      <c r="V16" s="3" t="s">
        <v>322</v>
      </c>
      <c r="W16" s="3" t="s">
        <v>63</v>
      </c>
      <c r="X16" s="3" t="s">
        <v>336</v>
      </c>
      <c r="Y16" s="3" t="s">
        <v>29</v>
      </c>
      <c r="Z16" t="s">
        <v>284</v>
      </c>
      <c r="AB16" s="3" t="s">
        <v>91</v>
      </c>
      <c r="AE16" t="s">
        <v>59</v>
      </c>
      <c r="AH16" s="3" t="s">
        <v>324</v>
      </c>
      <c r="AI16" s="3" t="s">
        <v>29</v>
      </c>
      <c r="AJ16" t="s">
        <v>60</v>
      </c>
      <c r="AL16" s="3" t="s">
        <v>29</v>
      </c>
      <c r="AN16" s="3" t="s">
        <v>29</v>
      </c>
      <c r="AP16" s="3" t="s">
        <v>143</v>
      </c>
      <c r="AS16" s="3" t="s">
        <v>30</v>
      </c>
      <c r="AT16" s="3"/>
      <c r="AU16" s="3" t="s">
        <v>196</v>
      </c>
    </row>
    <row r="17" spans="1:47">
      <c r="A17" t="s">
        <v>276</v>
      </c>
      <c r="B17" s="3" t="s">
        <v>136</v>
      </c>
      <c r="C17" s="3" t="s">
        <v>27</v>
      </c>
      <c r="D17" s="3" t="s">
        <v>18</v>
      </c>
      <c r="E17" s="3" t="s">
        <v>29</v>
      </c>
      <c r="F17" s="3" t="s">
        <v>28</v>
      </c>
      <c r="G17" s="4">
        <f t="shared" ca="1" si="0"/>
        <v>44265.406385532406</v>
      </c>
      <c r="H17" s="3" t="s">
        <v>228</v>
      </c>
      <c r="I17" s="3"/>
      <c r="J17" s="3" t="s">
        <v>189</v>
      </c>
      <c r="K17" s="3" t="s">
        <v>228</v>
      </c>
      <c r="L17" s="3" t="s">
        <v>91</v>
      </c>
      <c r="M17" s="3" t="s">
        <v>330</v>
      </c>
      <c r="N17" s="3" t="s">
        <v>91</v>
      </c>
      <c r="P17" s="3" t="s">
        <v>91</v>
      </c>
      <c r="Q17" s="3" t="s">
        <v>91</v>
      </c>
      <c r="R17" s="3"/>
      <c r="S17" s="3"/>
      <c r="T17" s="3" t="s">
        <v>91</v>
      </c>
      <c r="U17" s="3" t="s">
        <v>332</v>
      </c>
      <c r="V17" s="3" t="s">
        <v>323</v>
      </c>
      <c r="W17" s="3" t="s">
        <v>63</v>
      </c>
      <c r="X17" s="3" t="s">
        <v>336</v>
      </c>
      <c r="Y17" s="3" t="s">
        <v>29</v>
      </c>
      <c r="Z17" t="s">
        <v>284</v>
      </c>
      <c r="AB17" s="3" t="s">
        <v>91</v>
      </c>
      <c r="AE17" t="s">
        <v>59</v>
      </c>
      <c r="AH17" s="3" t="s">
        <v>325</v>
      </c>
      <c r="AI17" s="3" t="s">
        <v>337</v>
      </c>
      <c r="AJ17" t="s">
        <v>60</v>
      </c>
      <c r="AL17" s="3" t="s">
        <v>29</v>
      </c>
      <c r="AN17" s="3" t="s">
        <v>29</v>
      </c>
      <c r="AP17" s="3" t="s">
        <v>143</v>
      </c>
      <c r="AS17" s="3" t="s">
        <v>30</v>
      </c>
      <c r="AT17" s="3"/>
      <c r="AU17" s="3" t="s">
        <v>196</v>
      </c>
    </row>
    <row r="18" spans="1:47">
      <c r="A18" t="s">
        <v>274</v>
      </c>
      <c r="B18" s="3" t="s">
        <v>26</v>
      </c>
      <c r="C18" s="3" t="s">
        <v>27</v>
      </c>
      <c r="D18" s="3" t="s">
        <v>18</v>
      </c>
      <c r="E18" s="3" t="s">
        <v>29</v>
      </c>
      <c r="F18" s="3" t="s">
        <v>28</v>
      </c>
      <c r="G18" s="4">
        <f t="shared" ca="1" si="0"/>
        <v>44265.406385532406</v>
      </c>
      <c r="H18" s="3" t="s">
        <v>229</v>
      </c>
      <c r="I18" s="3"/>
      <c r="J18" s="3" t="s">
        <v>189</v>
      </c>
      <c r="K18" s="3" t="s">
        <v>229</v>
      </c>
      <c r="L18" s="3" t="s">
        <v>91</v>
      </c>
      <c r="M18" s="3" t="s">
        <v>347</v>
      </c>
      <c r="N18" s="3" t="s">
        <v>91</v>
      </c>
      <c r="P18" s="3" t="s">
        <v>91</v>
      </c>
      <c r="Q18" s="3" t="s">
        <v>91</v>
      </c>
      <c r="R18" s="3"/>
      <c r="S18" s="3"/>
      <c r="T18" s="3" t="s">
        <v>91</v>
      </c>
      <c r="U18" s="3" t="s">
        <v>29</v>
      </c>
      <c r="V18" t="s">
        <v>138</v>
      </c>
      <c r="W18" s="3" t="s">
        <v>63</v>
      </c>
      <c r="X18" s="3" t="s">
        <v>352</v>
      </c>
      <c r="Y18" s="3" t="s">
        <v>63</v>
      </c>
      <c r="Z18" t="s">
        <v>390</v>
      </c>
      <c r="AB18" s="3" t="s">
        <v>91</v>
      </c>
      <c r="AE18" t="s">
        <v>59</v>
      </c>
      <c r="AH18" t="s">
        <v>138</v>
      </c>
      <c r="AI18" s="3" t="s">
        <v>29</v>
      </c>
      <c r="AJ18" t="s">
        <v>60</v>
      </c>
      <c r="AL18" s="3" t="s">
        <v>29</v>
      </c>
      <c r="AN18" s="3" t="s">
        <v>29</v>
      </c>
      <c r="AP18" s="3" t="s">
        <v>143</v>
      </c>
      <c r="AS18" s="3" t="s">
        <v>30</v>
      </c>
      <c r="AT18" s="3"/>
      <c r="AU18" s="3" t="s">
        <v>196</v>
      </c>
    </row>
    <row r="19" spans="1:47">
      <c r="A19" t="s">
        <v>274</v>
      </c>
      <c r="B19" s="3" t="s">
        <v>136</v>
      </c>
      <c r="C19" s="3" t="s">
        <v>27</v>
      </c>
      <c r="D19" s="3" t="s">
        <v>18</v>
      </c>
      <c r="E19" s="3" t="s">
        <v>29</v>
      </c>
      <c r="F19" s="3" t="s">
        <v>28</v>
      </c>
      <c r="G19" s="4">
        <f t="shared" ca="1" si="0"/>
        <v>44265.406385532406</v>
      </c>
      <c r="H19" s="3" t="s">
        <v>229</v>
      </c>
      <c r="I19" s="3"/>
      <c r="J19" s="3" t="s">
        <v>189</v>
      </c>
      <c r="K19" s="3" t="s">
        <v>229</v>
      </c>
      <c r="L19" s="3" t="s">
        <v>91</v>
      </c>
      <c r="M19" s="3" t="s">
        <v>347</v>
      </c>
      <c r="N19" s="3" t="s">
        <v>91</v>
      </c>
      <c r="P19" s="3" t="s">
        <v>91</v>
      </c>
      <c r="Q19" s="3" t="s">
        <v>91</v>
      </c>
      <c r="R19" s="3"/>
      <c r="S19" s="3"/>
      <c r="T19" s="3" t="s">
        <v>91</v>
      </c>
      <c r="U19" s="3" t="s">
        <v>29</v>
      </c>
      <c r="V19" s="3" t="s">
        <v>91</v>
      </c>
      <c r="W19" s="3" t="s">
        <v>63</v>
      </c>
      <c r="X19" s="3" t="s">
        <v>353</v>
      </c>
      <c r="Y19" s="3" t="s">
        <v>394</v>
      </c>
      <c r="Z19" t="s">
        <v>391</v>
      </c>
      <c r="AB19" s="3" t="s">
        <v>91</v>
      </c>
      <c r="AE19" t="s">
        <v>59</v>
      </c>
      <c r="AH19" s="3" t="s">
        <v>91</v>
      </c>
      <c r="AI19" s="3" t="s">
        <v>29</v>
      </c>
      <c r="AJ19" t="s">
        <v>60</v>
      </c>
      <c r="AL19" s="3" t="s">
        <v>29</v>
      </c>
      <c r="AN19" s="3" t="s">
        <v>29</v>
      </c>
      <c r="AP19" s="3" t="s">
        <v>143</v>
      </c>
      <c r="AS19" s="3" t="s">
        <v>30</v>
      </c>
      <c r="AT19" s="3"/>
      <c r="AU19" s="3" t="s">
        <v>196</v>
      </c>
    </row>
    <row r="20" spans="1:47">
      <c r="A20" t="s">
        <v>276</v>
      </c>
      <c r="B20" s="3" t="s">
        <v>136</v>
      </c>
      <c r="C20" s="3" t="s">
        <v>27</v>
      </c>
      <c r="D20" s="3" t="s">
        <v>18</v>
      </c>
      <c r="E20" s="3" t="s">
        <v>29</v>
      </c>
      <c r="F20" s="3" t="s">
        <v>28</v>
      </c>
      <c r="G20" s="4">
        <f t="shared" ca="1" si="0"/>
        <v>44265.406385532406</v>
      </c>
      <c r="H20" s="3" t="s">
        <v>228</v>
      </c>
      <c r="I20" s="3"/>
      <c r="J20" s="3" t="s">
        <v>189</v>
      </c>
      <c r="K20" s="3" t="s">
        <v>228</v>
      </c>
      <c r="L20" s="3" t="s">
        <v>91</v>
      </c>
      <c r="M20" s="3" t="s">
        <v>313</v>
      </c>
      <c r="N20" s="3" t="s">
        <v>91</v>
      </c>
      <c r="P20" s="3" t="s">
        <v>91</v>
      </c>
      <c r="Q20" s="3" t="s">
        <v>91</v>
      </c>
      <c r="R20" s="3"/>
      <c r="S20" s="3"/>
      <c r="T20" s="3" t="s">
        <v>91</v>
      </c>
      <c r="U20" s="3" t="s">
        <v>29</v>
      </c>
      <c r="V20" s="3" t="s">
        <v>68</v>
      </c>
      <c r="W20" s="3" t="s">
        <v>63</v>
      </c>
      <c r="X20" s="3" t="s">
        <v>340</v>
      </c>
      <c r="Y20" s="3" t="s">
        <v>219</v>
      </c>
      <c r="Z20" t="s">
        <v>286</v>
      </c>
      <c r="AB20" s="3" t="s">
        <v>91</v>
      </c>
      <c r="AE20" t="s">
        <v>59</v>
      </c>
      <c r="AH20" s="3" t="s">
        <v>68</v>
      </c>
      <c r="AI20" s="3" t="s">
        <v>29</v>
      </c>
      <c r="AJ20" t="s">
        <v>60</v>
      </c>
      <c r="AL20" s="3" t="s">
        <v>29</v>
      </c>
      <c r="AN20" s="3" t="s">
        <v>29</v>
      </c>
      <c r="AP20" s="3" t="s">
        <v>143</v>
      </c>
      <c r="AS20" s="3" t="s">
        <v>30</v>
      </c>
      <c r="AT20" s="3"/>
      <c r="AU20" s="3" t="s">
        <v>196</v>
      </c>
    </row>
    <row r="21" spans="1:47">
      <c r="A21" t="s">
        <v>276</v>
      </c>
      <c r="B21" s="3" t="s">
        <v>136</v>
      </c>
      <c r="C21" s="3" t="s">
        <v>27</v>
      </c>
      <c r="D21" s="3" t="s">
        <v>18</v>
      </c>
      <c r="E21" s="3" t="s">
        <v>29</v>
      </c>
      <c r="F21" s="3" t="s">
        <v>28</v>
      </c>
      <c r="G21" s="4">
        <f t="shared" ca="1" si="0"/>
        <v>44265.406385532406</v>
      </c>
      <c r="H21" s="3" t="s">
        <v>228</v>
      </c>
      <c r="I21" s="3"/>
      <c r="J21" s="3" t="s">
        <v>189</v>
      </c>
      <c r="K21" s="3" t="s">
        <v>228</v>
      </c>
      <c r="L21" s="3" t="s">
        <v>91</v>
      </c>
      <c r="M21" s="3" t="s">
        <v>313</v>
      </c>
      <c r="N21" s="3" t="s">
        <v>91</v>
      </c>
      <c r="P21" s="3" t="s">
        <v>91</v>
      </c>
      <c r="Q21" s="3" t="s">
        <v>91</v>
      </c>
      <c r="R21" s="3"/>
      <c r="S21" s="3"/>
      <c r="T21" s="3" t="s">
        <v>91</v>
      </c>
      <c r="U21" s="3" t="s">
        <v>29</v>
      </c>
      <c r="V21" s="3" t="s">
        <v>319</v>
      </c>
      <c r="W21" s="3" t="s">
        <v>63</v>
      </c>
      <c r="X21" s="3" t="s">
        <v>340</v>
      </c>
      <c r="Y21" s="3" t="s">
        <v>219</v>
      </c>
      <c r="Z21" t="s">
        <v>286</v>
      </c>
      <c r="AB21" s="3" t="s">
        <v>91</v>
      </c>
      <c r="AE21" t="s">
        <v>59</v>
      </c>
      <c r="AH21" s="3" t="s">
        <v>197</v>
      </c>
      <c r="AI21" s="3" t="s">
        <v>91</v>
      </c>
      <c r="AJ21" t="s">
        <v>60</v>
      </c>
      <c r="AL21" s="3" t="s">
        <v>29</v>
      </c>
      <c r="AN21" s="3" t="s">
        <v>29</v>
      </c>
      <c r="AP21" s="3" t="s">
        <v>143</v>
      </c>
      <c r="AS21" s="3" t="s">
        <v>30</v>
      </c>
      <c r="AT21" s="3"/>
      <c r="AU21" s="3" t="s">
        <v>196</v>
      </c>
    </row>
    <row r="22" spans="1:47">
      <c r="A22" t="s">
        <v>276</v>
      </c>
      <c r="B22" s="3" t="s">
        <v>136</v>
      </c>
      <c r="C22" s="3" t="s">
        <v>27</v>
      </c>
      <c r="D22" s="3" t="s">
        <v>18</v>
      </c>
      <c r="E22" s="3" t="s">
        <v>29</v>
      </c>
      <c r="F22" s="3" t="s">
        <v>28</v>
      </c>
      <c r="G22" s="4">
        <f t="shared" ca="1" si="0"/>
        <v>44265.406385532406</v>
      </c>
      <c r="H22" s="3" t="s">
        <v>228</v>
      </c>
      <c r="I22" s="3"/>
      <c r="J22" s="3" t="s">
        <v>189</v>
      </c>
      <c r="K22" s="3" t="s">
        <v>228</v>
      </c>
      <c r="L22" s="3" t="s">
        <v>91</v>
      </c>
      <c r="M22" s="3" t="s">
        <v>348</v>
      </c>
      <c r="N22" s="3" t="s">
        <v>91</v>
      </c>
      <c r="P22" s="3" t="s">
        <v>91</v>
      </c>
      <c r="Q22" s="3" t="s">
        <v>91</v>
      </c>
      <c r="R22" s="3"/>
      <c r="S22" s="3"/>
      <c r="T22" s="3" t="s">
        <v>91</v>
      </c>
      <c r="U22" s="3" t="s">
        <v>29</v>
      </c>
      <c r="V22" s="3" t="s">
        <v>320</v>
      </c>
      <c r="W22" s="3" t="s">
        <v>63</v>
      </c>
      <c r="X22" s="3" t="s">
        <v>340</v>
      </c>
      <c r="Y22" s="3" t="s">
        <v>219</v>
      </c>
      <c r="Z22" t="s">
        <v>286</v>
      </c>
      <c r="AB22" s="3" t="s">
        <v>91</v>
      </c>
      <c r="AE22" t="s">
        <v>59</v>
      </c>
      <c r="AH22" s="3" t="s">
        <v>197</v>
      </c>
      <c r="AI22" s="3" t="s">
        <v>91</v>
      </c>
      <c r="AJ22" t="s">
        <v>60</v>
      </c>
      <c r="AL22" s="3" t="s">
        <v>29</v>
      </c>
      <c r="AN22" s="3" t="s">
        <v>29</v>
      </c>
      <c r="AP22" s="3" t="s">
        <v>143</v>
      </c>
      <c r="AS22" s="3" t="s">
        <v>30</v>
      </c>
      <c r="AT22" s="3"/>
      <c r="AU22" s="3" t="s">
        <v>487</v>
      </c>
    </row>
    <row r="23" spans="1:47">
      <c r="A23" t="s">
        <v>276</v>
      </c>
      <c r="B23" s="3" t="s">
        <v>136</v>
      </c>
      <c r="C23" s="3" t="s">
        <v>27</v>
      </c>
      <c r="D23" s="3" t="s">
        <v>18</v>
      </c>
      <c r="E23" s="3" t="s">
        <v>29</v>
      </c>
      <c r="F23" s="3" t="s">
        <v>28</v>
      </c>
      <c r="G23" s="4">
        <f t="shared" ca="1" si="0"/>
        <v>44265.406385532406</v>
      </c>
      <c r="H23" s="3" t="s">
        <v>228</v>
      </c>
      <c r="I23" s="3"/>
      <c r="J23" s="3" t="s">
        <v>189</v>
      </c>
      <c r="K23" s="3" t="s">
        <v>228</v>
      </c>
      <c r="L23" s="3" t="s">
        <v>91</v>
      </c>
      <c r="M23" s="3" t="s">
        <v>349</v>
      </c>
      <c r="N23" s="3" t="s">
        <v>91</v>
      </c>
      <c r="P23" s="3" t="s">
        <v>91</v>
      </c>
      <c r="Q23" s="3" t="s">
        <v>91</v>
      </c>
      <c r="R23" s="3"/>
      <c r="S23" s="3"/>
      <c r="T23" s="3" t="s">
        <v>91</v>
      </c>
      <c r="U23" s="3" t="s">
        <v>331</v>
      </c>
      <c r="V23" s="3" t="s">
        <v>322</v>
      </c>
      <c r="W23" s="3" t="s">
        <v>63</v>
      </c>
      <c r="X23" s="3" t="s">
        <v>340</v>
      </c>
      <c r="Y23" s="3" t="s">
        <v>219</v>
      </c>
      <c r="Z23" t="s">
        <v>286</v>
      </c>
      <c r="AB23" s="3" t="s">
        <v>91</v>
      </c>
      <c r="AE23" t="s">
        <v>354</v>
      </c>
      <c r="AH23" s="3" t="s">
        <v>324</v>
      </c>
      <c r="AI23" s="3" t="s">
        <v>29</v>
      </c>
      <c r="AJ23" t="s">
        <v>60</v>
      </c>
      <c r="AL23" s="3" t="s">
        <v>29</v>
      </c>
      <c r="AN23" s="3" t="s">
        <v>29</v>
      </c>
      <c r="AP23" s="3" t="s">
        <v>143</v>
      </c>
      <c r="AS23" s="3" t="s">
        <v>30</v>
      </c>
      <c r="AT23" s="3"/>
      <c r="AU23" s="3" t="s">
        <v>196</v>
      </c>
    </row>
    <row r="24" spans="1:47">
      <c r="A24" t="s">
        <v>276</v>
      </c>
      <c r="B24" s="3" t="s">
        <v>136</v>
      </c>
      <c r="C24" s="3" t="s">
        <v>27</v>
      </c>
      <c r="D24" s="3" t="s">
        <v>18</v>
      </c>
      <c r="E24" s="3" t="s">
        <v>29</v>
      </c>
      <c r="F24" s="3" t="s">
        <v>28</v>
      </c>
      <c r="G24" s="4">
        <f t="shared" ca="1" si="0"/>
        <v>44265.406385532406</v>
      </c>
      <c r="H24" s="3" t="s">
        <v>228</v>
      </c>
      <c r="I24" s="3"/>
      <c r="J24" s="3" t="s">
        <v>189</v>
      </c>
      <c r="K24" s="3" t="s">
        <v>228</v>
      </c>
      <c r="L24" s="3" t="s">
        <v>91</v>
      </c>
      <c r="M24" s="3" t="s">
        <v>350</v>
      </c>
      <c r="N24" s="3" t="s">
        <v>91</v>
      </c>
      <c r="P24" s="3" t="s">
        <v>91</v>
      </c>
      <c r="Q24" s="3" t="s">
        <v>91</v>
      </c>
      <c r="R24" s="3"/>
      <c r="S24" s="3"/>
      <c r="T24" s="3" t="s">
        <v>91</v>
      </c>
      <c r="U24" s="3" t="s">
        <v>332</v>
      </c>
      <c r="V24" s="3" t="s">
        <v>323</v>
      </c>
      <c r="W24" s="3" t="s">
        <v>63</v>
      </c>
      <c r="X24" s="3" t="s">
        <v>340</v>
      </c>
      <c r="Y24" s="3" t="s">
        <v>219</v>
      </c>
      <c r="Z24" t="s">
        <v>286</v>
      </c>
      <c r="AB24" s="3" t="s">
        <v>91</v>
      </c>
      <c r="AE24" t="s">
        <v>351</v>
      </c>
      <c r="AH24" s="3" t="s">
        <v>325</v>
      </c>
      <c r="AI24" s="3" t="s">
        <v>337</v>
      </c>
      <c r="AJ24" t="s">
        <v>60</v>
      </c>
      <c r="AL24" s="3" t="s">
        <v>29</v>
      </c>
      <c r="AN24" s="3" t="s">
        <v>29</v>
      </c>
      <c r="AP24" s="3" t="s">
        <v>143</v>
      </c>
      <c r="AS24" s="3" t="s">
        <v>30</v>
      </c>
      <c r="AT24" s="3"/>
      <c r="AU24" s="3" t="s">
        <v>196</v>
      </c>
    </row>
    <row r="25" spans="1:47">
      <c r="A25" t="s">
        <v>357</v>
      </c>
      <c r="B25" s="3" t="s">
        <v>358</v>
      </c>
      <c r="C25" s="3" t="s">
        <v>359</v>
      </c>
      <c r="D25" s="3" t="s">
        <v>360</v>
      </c>
      <c r="E25" s="3" t="s">
        <v>361</v>
      </c>
      <c r="F25" s="3" t="s">
        <v>362</v>
      </c>
      <c r="G25" s="4">
        <f t="shared" ca="1" si="0"/>
        <v>44265.406385532406</v>
      </c>
      <c r="H25" s="3" t="s">
        <v>228</v>
      </c>
      <c r="I25" s="3"/>
      <c r="J25" s="3" t="s">
        <v>364</v>
      </c>
      <c r="K25" s="3" t="s">
        <v>228</v>
      </c>
      <c r="L25" s="3" t="s">
        <v>365</v>
      </c>
      <c r="M25" s="3" t="s">
        <v>380</v>
      </c>
      <c r="N25" s="3" t="s">
        <v>365</v>
      </c>
      <c r="P25" s="3" t="s">
        <v>366</v>
      </c>
      <c r="Q25" s="3" t="s">
        <v>365</v>
      </c>
      <c r="R25" s="3"/>
      <c r="S25" s="3"/>
      <c r="T25" s="3" t="s">
        <v>365</v>
      </c>
      <c r="U25" s="3" t="s">
        <v>363</v>
      </c>
      <c r="V25" s="3" t="s">
        <v>367</v>
      </c>
      <c r="W25" s="3" t="s">
        <v>368</v>
      </c>
      <c r="X25" s="3" t="s">
        <v>340</v>
      </c>
      <c r="Y25" s="3" t="s">
        <v>219</v>
      </c>
      <c r="Z25" t="s">
        <v>286</v>
      </c>
      <c r="AB25" s="3" t="s">
        <v>365</v>
      </c>
      <c r="AE25" t="s">
        <v>354</v>
      </c>
      <c r="AH25" s="3" t="s">
        <v>367</v>
      </c>
      <c r="AI25" s="3" t="s">
        <v>363</v>
      </c>
      <c r="AJ25" t="s">
        <v>369</v>
      </c>
      <c r="AL25" s="3" t="s">
        <v>363</v>
      </c>
      <c r="AN25" s="3" t="s">
        <v>363</v>
      </c>
      <c r="AP25" s="3" t="s">
        <v>370</v>
      </c>
      <c r="AS25" s="3" t="s">
        <v>371</v>
      </c>
      <c r="AT25" s="3"/>
      <c r="AU25" s="3" t="s">
        <v>372</v>
      </c>
    </row>
    <row r="26" spans="1:47">
      <c r="A26" t="s">
        <v>373</v>
      </c>
      <c r="B26" s="3" t="s">
        <v>374</v>
      </c>
      <c r="C26" s="3" t="s">
        <v>375</v>
      </c>
      <c r="D26" s="3" t="s">
        <v>376</v>
      </c>
      <c r="E26" s="3" t="s">
        <v>363</v>
      </c>
      <c r="F26" s="3" t="s">
        <v>377</v>
      </c>
      <c r="G26" s="4">
        <f t="shared" ca="1" si="0"/>
        <v>44265.406385532406</v>
      </c>
      <c r="H26" s="3" t="s">
        <v>228</v>
      </c>
      <c r="I26" s="3"/>
      <c r="J26" s="3" t="s">
        <v>378</v>
      </c>
      <c r="K26" s="3" t="s">
        <v>228</v>
      </c>
      <c r="L26" s="3" t="s">
        <v>365</v>
      </c>
      <c r="M26" s="3" t="s">
        <v>356</v>
      </c>
      <c r="N26" s="3" t="s">
        <v>365</v>
      </c>
      <c r="P26" s="3" t="s">
        <v>365</v>
      </c>
      <c r="Q26" s="3" t="s">
        <v>365</v>
      </c>
      <c r="R26" s="3"/>
      <c r="S26" s="3"/>
      <c r="T26" s="3" t="s">
        <v>365</v>
      </c>
      <c r="U26" s="3" t="s">
        <v>363</v>
      </c>
      <c r="V26" s="3" t="s">
        <v>379</v>
      </c>
      <c r="W26" s="3" t="s">
        <v>368</v>
      </c>
      <c r="X26" s="3" t="s">
        <v>340</v>
      </c>
      <c r="Y26" s="3" t="s">
        <v>219</v>
      </c>
      <c r="Z26" t="s">
        <v>286</v>
      </c>
      <c r="AB26" s="3" t="s">
        <v>365</v>
      </c>
      <c r="AE26" t="s">
        <v>351</v>
      </c>
      <c r="AH26" s="3" t="s">
        <v>379</v>
      </c>
      <c r="AI26" s="3" t="s">
        <v>91</v>
      </c>
      <c r="AJ26" t="s">
        <v>369</v>
      </c>
      <c r="AL26" s="3" t="s">
        <v>363</v>
      </c>
      <c r="AN26" s="3" t="s">
        <v>363</v>
      </c>
      <c r="AP26" s="3" t="s">
        <v>370</v>
      </c>
      <c r="AS26" s="3" t="s">
        <v>371</v>
      </c>
      <c r="AT26" s="3"/>
      <c r="AU26" s="3" t="s">
        <v>382</v>
      </c>
    </row>
    <row r="27" spans="1:47">
      <c r="A27" t="s">
        <v>373</v>
      </c>
      <c r="B27" s="3" t="s">
        <v>374</v>
      </c>
      <c r="C27" s="3" t="s">
        <v>375</v>
      </c>
      <c r="D27" s="3" t="s">
        <v>376</v>
      </c>
      <c r="E27" s="3" t="s">
        <v>363</v>
      </c>
      <c r="F27" s="3" t="s">
        <v>377</v>
      </c>
      <c r="G27" s="4">
        <f t="shared" ca="1" si="0"/>
        <v>44265.406385532406</v>
      </c>
      <c r="H27" s="3" t="s">
        <v>228</v>
      </c>
      <c r="I27" s="3"/>
      <c r="J27" s="3" t="s">
        <v>378</v>
      </c>
      <c r="K27" s="3" t="s">
        <v>228</v>
      </c>
      <c r="L27" s="3" t="s">
        <v>365</v>
      </c>
      <c r="M27" s="3" t="s">
        <v>381</v>
      </c>
      <c r="N27" s="3" t="s">
        <v>365</v>
      </c>
      <c r="P27" s="3" t="s">
        <v>365</v>
      </c>
      <c r="Q27" s="3" t="s">
        <v>365</v>
      </c>
      <c r="R27" s="3"/>
      <c r="S27" s="3"/>
      <c r="T27" s="3" t="s">
        <v>365</v>
      </c>
      <c r="U27" s="3" t="s">
        <v>363</v>
      </c>
      <c r="V27" s="3" t="s">
        <v>379</v>
      </c>
      <c r="W27" s="3" t="s">
        <v>368</v>
      </c>
      <c r="X27" s="3" t="s">
        <v>340</v>
      </c>
      <c r="Y27" s="3" t="s">
        <v>219</v>
      </c>
      <c r="Z27" t="s">
        <v>286</v>
      </c>
      <c r="AB27" s="3" t="s">
        <v>365</v>
      </c>
      <c r="AE27" t="s">
        <v>354</v>
      </c>
      <c r="AH27" s="3" t="s">
        <v>379</v>
      </c>
      <c r="AI27" s="3" t="s">
        <v>91</v>
      </c>
      <c r="AJ27" t="s">
        <v>369</v>
      </c>
      <c r="AL27" s="3" t="s">
        <v>363</v>
      </c>
      <c r="AN27" s="3" t="s">
        <v>363</v>
      </c>
      <c r="AP27" s="3" t="s">
        <v>370</v>
      </c>
      <c r="AS27" s="3" t="s">
        <v>371</v>
      </c>
      <c r="AT27" s="3"/>
      <c r="AU27" s="3" t="s">
        <v>489</v>
      </c>
    </row>
    <row r="28" spans="1:47">
      <c r="A28" t="s">
        <v>274</v>
      </c>
      <c r="B28" s="3" t="s">
        <v>26</v>
      </c>
      <c r="C28" s="3" t="s">
        <v>27</v>
      </c>
      <c r="D28" s="3" t="s">
        <v>18</v>
      </c>
      <c r="E28" s="3" t="s">
        <v>29</v>
      </c>
      <c r="F28" s="3" t="s">
        <v>28</v>
      </c>
      <c r="G28" s="4">
        <f t="shared" ca="1" si="0"/>
        <v>44265.406385532406</v>
      </c>
      <c r="H28" s="3" t="s">
        <v>229</v>
      </c>
      <c r="I28" s="3"/>
      <c r="J28" s="3" t="s">
        <v>189</v>
      </c>
      <c r="K28" s="3" t="s">
        <v>229</v>
      </c>
      <c r="L28" s="3" t="s">
        <v>91</v>
      </c>
      <c r="M28" s="3" t="s">
        <v>383</v>
      </c>
      <c r="N28" s="3" t="s">
        <v>91</v>
      </c>
      <c r="P28" s="3" t="s">
        <v>91</v>
      </c>
      <c r="Q28" s="3" t="s">
        <v>91</v>
      </c>
      <c r="R28" s="3"/>
      <c r="S28" s="3"/>
      <c r="T28" s="3" t="s">
        <v>91</v>
      </c>
      <c r="U28" s="3" t="s">
        <v>29</v>
      </c>
      <c r="V28" t="s">
        <v>138</v>
      </c>
      <c r="W28" s="3" t="s">
        <v>63</v>
      </c>
      <c r="X28" s="3" t="s">
        <v>387</v>
      </c>
      <c r="Y28" s="3" t="s">
        <v>392</v>
      </c>
      <c r="Z28" t="s">
        <v>393</v>
      </c>
      <c r="AB28" s="3" t="s">
        <v>91</v>
      </c>
      <c r="AE28" t="s">
        <v>59</v>
      </c>
      <c r="AH28" t="s">
        <v>138</v>
      </c>
      <c r="AI28" s="3" t="s">
        <v>29</v>
      </c>
      <c r="AJ28" t="s">
        <v>60</v>
      </c>
      <c r="AL28" s="3" t="s">
        <v>29</v>
      </c>
      <c r="AN28" s="3" t="s">
        <v>29</v>
      </c>
      <c r="AP28" s="3" t="s">
        <v>143</v>
      </c>
      <c r="AS28" s="3" t="s">
        <v>30</v>
      </c>
      <c r="AT28" s="3"/>
      <c r="AU28" s="3" t="s">
        <v>196</v>
      </c>
    </row>
    <row r="29" spans="1:47">
      <c r="A29" t="s">
        <v>274</v>
      </c>
      <c r="B29" s="3" t="s">
        <v>136</v>
      </c>
      <c r="C29" s="3" t="s">
        <v>27</v>
      </c>
      <c r="D29" s="3" t="s">
        <v>18</v>
      </c>
      <c r="E29" s="3" t="s">
        <v>29</v>
      </c>
      <c r="F29" s="3" t="s">
        <v>28</v>
      </c>
      <c r="G29" s="4">
        <f t="shared" ca="1" si="0"/>
        <v>44265.406385532406</v>
      </c>
      <c r="H29" s="3" t="s">
        <v>229</v>
      </c>
      <c r="I29" s="3"/>
      <c r="J29" s="3" t="s">
        <v>189</v>
      </c>
      <c r="K29" s="3" t="s">
        <v>229</v>
      </c>
      <c r="L29" s="3" t="s">
        <v>91</v>
      </c>
      <c r="M29" s="3" t="s">
        <v>384</v>
      </c>
      <c r="N29" s="3" t="s">
        <v>91</v>
      </c>
      <c r="P29" s="3" t="s">
        <v>91</v>
      </c>
      <c r="Q29" s="3" t="s">
        <v>91</v>
      </c>
      <c r="R29" s="3"/>
      <c r="S29" s="3"/>
      <c r="T29" s="3" t="s">
        <v>91</v>
      </c>
      <c r="U29" s="3" t="s">
        <v>29</v>
      </c>
      <c r="V29" s="3" t="s">
        <v>91</v>
      </c>
      <c r="W29" s="3" t="s">
        <v>63</v>
      </c>
      <c r="X29" s="3" t="s">
        <v>388</v>
      </c>
      <c r="Y29" s="3" t="s">
        <v>29</v>
      </c>
      <c r="Z29" t="s">
        <v>305</v>
      </c>
      <c r="AB29" s="3" t="s">
        <v>91</v>
      </c>
      <c r="AE29" t="s">
        <v>59</v>
      </c>
      <c r="AH29" s="3" t="s">
        <v>91</v>
      </c>
      <c r="AI29" s="3" t="s">
        <v>29</v>
      </c>
      <c r="AJ29" t="s">
        <v>60</v>
      </c>
      <c r="AL29" s="3" t="s">
        <v>29</v>
      </c>
      <c r="AN29" s="3" t="s">
        <v>29</v>
      </c>
      <c r="AP29" s="3" t="s">
        <v>143</v>
      </c>
      <c r="AS29" s="3" t="s">
        <v>30</v>
      </c>
      <c r="AT29" s="3"/>
      <c r="AU29" s="3" t="s">
        <v>196</v>
      </c>
    </row>
    <row r="30" spans="1:47">
      <c r="A30" t="s">
        <v>276</v>
      </c>
      <c r="B30" s="3" t="s">
        <v>136</v>
      </c>
      <c r="C30" s="3" t="s">
        <v>27</v>
      </c>
      <c r="D30" s="3" t="s">
        <v>18</v>
      </c>
      <c r="E30" s="3" t="s">
        <v>29</v>
      </c>
      <c r="F30" s="3" t="s">
        <v>28</v>
      </c>
      <c r="G30" s="4">
        <f t="shared" ca="1" si="0"/>
        <v>44265.406385532406</v>
      </c>
      <c r="H30" s="3" t="s">
        <v>228</v>
      </c>
      <c r="I30" s="3"/>
      <c r="J30" s="3" t="s">
        <v>189</v>
      </c>
      <c r="K30" s="3" t="s">
        <v>228</v>
      </c>
      <c r="L30" s="3" t="s">
        <v>91</v>
      </c>
      <c r="M30" s="3" t="s">
        <v>315</v>
      </c>
      <c r="N30" s="3" t="s">
        <v>91</v>
      </c>
      <c r="P30" s="3" t="s">
        <v>91</v>
      </c>
      <c r="Q30" s="3" t="s">
        <v>91</v>
      </c>
      <c r="R30" s="3"/>
      <c r="S30" s="3"/>
      <c r="T30" s="3" t="s">
        <v>91</v>
      </c>
      <c r="U30" s="3" t="s">
        <v>29</v>
      </c>
      <c r="V30" s="3" t="s">
        <v>68</v>
      </c>
      <c r="W30" s="3" t="s">
        <v>63</v>
      </c>
      <c r="X30" s="3" t="s">
        <v>342</v>
      </c>
      <c r="Y30" s="3" t="s">
        <v>29</v>
      </c>
      <c r="Z30" t="s">
        <v>284</v>
      </c>
      <c r="AB30" s="3" t="s">
        <v>91</v>
      </c>
      <c r="AE30" t="s">
        <v>59</v>
      </c>
      <c r="AH30" s="3" t="s">
        <v>68</v>
      </c>
      <c r="AI30" s="3" t="s">
        <v>29</v>
      </c>
      <c r="AJ30" t="s">
        <v>60</v>
      </c>
      <c r="AL30" s="3" t="s">
        <v>29</v>
      </c>
      <c r="AN30" s="3" t="s">
        <v>29</v>
      </c>
      <c r="AP30" s="3" t="s">
        <v>143</v>
      </c>
      <c r="AS30" s="3" t="s">
        <v>30</v>
      </c>
      <c r="AT30" s="3"/>
      <c r="AU30" s="3" t="s">
        <v>196</v>
      </c>
    </row>
    <row r="31" spans="1:47">
      <c r="A31" t="s">
        <v>276</v>
      </c>
      <c r="B31" s="3" t="s">
        <v>136</v>
      </c>
      <c r="C31" s="3" t="s">
        <v>27</v>
      </c>
      <c r="D31" s="3" t="s">
        <v>18</v>
      </c>
      <c r="E31" s="3" t="s">
        <v>29</v>
      </c>
      <c r="F31" s="3" t="s">
        <v>28</v>
      </c>
      <c r="G31" s="4">
        <f t="shared" ca="1" si="0"/>
        <v>44265.406385532406</v>
      </c>
      <c r="H31" s="3" t="s">
        <v>228</v>
      </c>
      <c r="I31" s="3"/>
      <c r="J31" s="3" t="s">
        <v>189</v>
      </c>
      <c r="K31" s="3" t="s">
        <v>228</v>
      </c>
      <c r="L31" s="3" t="s">
        <v>91</v>
      </c>
      <c r="M31" s="3" t="s">
        <v>315</v>
      </c>
      <c r="N31" s="3" t="s">
        <v>91</v>
      </c>
      <c r="P31" s="3" t="s">
        <v>91</v>
      </c>
      <c r="Q31" s="3" t="s">
        <v>91</v>
      </c>
      <c r="R31" s="3"/>
      <c r="S31" s="3"/>
      <c r="T31" s="3" t="s">
        <v>91</v>
      </c>
      <c r="U31" s="3" t="s">
        <v>29</v>
      </c>
      <c r="V31" s="3" t="s">
        <v>319</v>
      </c>
      <c r="W31" s="3" t="s">
        <v>63</v>
      </c>
      <c r="X31" s="3" t="s">
        <v>342</v>
      </c>
      <c r="Y31" s="3" t="s">
        <v>29</v>
      </c>
      <c r="Z31" t="s">
        <v>284</v>
      </c>
      <c r="AB31" s="3" t="s">
        <v>91</v>
      </c>
      <c r="AE31" t="s">
        <v>59</v>
      </c>
      <c r="AH31" s="3" t="s">
        <v>197</v>
      </c>
      <c r="AI31" s="3" t="s">
        <v>91</v>
      </c>
      <c r="AJ31" t="s">
        <v>60</v>
      </c>
      <c r="AL31" s="3" t="s">
        <v>29</v>
      </c>
      <c r="AN31" s="3" t="s">
        <v>29</v>
      </c>
      <c r="AP31" s="3" t="s">
        <v>143</v>
      </c>
      <c r="AS31" s="3" t="s">
        <v>30</v>
      </c>
      <c r="AT31" s="3"/>
      <c r="AU31" s="3" t="s">
        <v>196</v>
      </c>
    </row>
    <row r="32" spans="1:47">
      <c r="A32" t="s">
        <v>276</v>
      </c>
      <c r="B32" s="3" t="s">
        <v>136</v>
      </c>
      <c r="C32" s="3" t="s">
        <v>27</v>
      </c>
      <c r="D32" s="3" t="s">
        <v>18</v>
      </c>
      <c r="E32" s="3" t="s">
        <v>29</v>
      </c>
      <c r="F32" s="3" t="s">
        <v>28</v>
      </c>
      <c r="G32" s="4">
        <f t="shared" ca="1" si="0"/>
        <v>44265.406385532406</v>
      </c>
      <c r="H32" s="3" t="s">
        <v>228</v>
      </c>
      <c r="I32" s="3"/>
      <c r="J32" s="3" t="s">
        <v>189</v>
      </c>
      <c r="K32" s="3" t="s">
        <v>228</v>
      </c>
      <c r="L32" s="3" t="s">
        <v>91</v>
      </c>
      <c r="M32" s="3" t="s">
        <v>385</v>
      </c>
      <c r="N32" s="3" t="s">
        <v>91</v>
      </c>
      <c r="P32" s="3" t="s">
        <v>91</v>
      </c>
      <c r="Q32" s="3" t="s">
        <v>91</v>
      </c>
      <c r="R32" s="3"/>
      <c r="S32" s="3"/>
      <c r="T32" s="3" t="s">
        <v>91</v>
      </c>
      <c r="U32" s="3" t="s">
        <v>29</v>
      </c>
      <c r="V32" s="3" t="s">
        <v>320</v>
      </c>
      <c r="W32" s="3" t="s">
        <v>63</v>
      </c>
      <c r="X32" s="3" t="s">
        <v>342</v>
      </c>
      <c r="Y32" s="3" t="s">
        <v>29</v>
      </c>
      <c r="Z32" t="s">
        <v>284</v>
      </c>
      <c r="AB32" s="3" t="s">
        <v>91</v>
      </c>
      <c r="AE32" t="s">
        <v>59</v>
      </c>
      <c r="AH32" s="3" t="s">
        <v>197</v>
      </c>
      <c r="AI32" s="3" t="s">
        <v>91</v>
      </c>
      <c r="AJ32" t="s">
        <v>60</v>
      </c>
      <c r="AL32" s="3" t="s">
        <v>29</v>
      </c>
      <c r="AN32" s="3" t="s">
        <v>29</v>
      </c>
      <c r="AP32" s="3" t="s">
        <v>143</v>
      </c>
      <c r="AS32" s="3" t="s">
        <v>30</v>
      </c>
      <c r="AT32" s="3"/>
      <c r="AU32" s="3" t="s">
        <v>488</v>
      </c>
    </row>
    <row r="33" spans="1:47">
      <c r="A33" t="s">
        <v>276</v>
      </c>
      <c r="B33" s="3" t="s">
        <v>136</v>
      </c>
      <c r="C33" s="3" t="s">
        <v>27</v>
      </c>
      <c r="D33" s="3" t="s">
        <v>18</v>
      </c>
      <c r="E33" s="3" t="s">
        <v>29</v>
      </c>
      <c r="F33" s="3" t="s">
        <v>28</v>
      </c>
      <c r="G33" s="4">
        <f t="shared" ca="1" si="0"/>
        <v>44265.406385532406</v>
      </c>
      <c r="H33" s="3" t="s">
        <v>228</v>
      </c>
      <c r="I33" s="3"/>
      <c r="J33" s="3" t="s">
        <v>189</v>
      </c>
      <c r="K33" s="3" t="s">
        <v>228</v>
      </c>
      <c r="L33" s="3" t="s">
        <v>91</v>
      </c>
      <c r="M33" s="3" t="s">
        <v>252</v>
      </c>
      <c r="N33" s="3" t="s">
        <v>91</v>
      </c>
      <c r="P33" s="3" t="s">
        <v>91</v>
      </c>
      <c r="Q33" s="3" t="s">
        <v>91</v>
      </c>
      <c r="R33" s="3"/>
      <c r="S33" s="3"/>
      <c r="T33" s="3" t="s">
        <v>91</v>
      </c>
      <c r="U33" s="3" t="s">
        <v>331</v>
      </c>
      <c r="V33" s="3" t="s">
        <v>322</v>
      </c>
      <c r="W33" s="3" t="s">
        <v>63</v>
      </c>
      <c r="X33" s="3" t="s">
        <v>342</v>
      </c>
      <c r="Y33" s="3" t="s">
        <v>29</v>
      </c>
      <c r="Z33" t="s">
        <v>284</v>
      </c>
      <c r="AB33" s="3" t="s">
        <v>91</v>
      </c>
      <c r="AE33" t="s">
        <v>59</v>
      </c>
      <c r="AH33" s="3" t="s">
        <v>324</v>
      </c>
      <c r="AI33" s="3" t="s">
        <v>29</v>
      </c>
      <c r="AJ33" t="s">
        <v>60</v>
      </c>
      <c r="AL33" s="3" t="s">
        <v>29</v>
      </c>
      <c r="AN33" s="3" t="s">
        <v>29</v>
      </c>
      <c r="AP33" s="3" t="s">
        <v>143</v>
      </c>
      <c r="AS33" s="3" t="s">
        <v>30</v>
      </c>
      <c r="AT33" s="3"/>
      <c r="AU33" s="3" t="s">
        <v>196</v>
      </c>
    </row>
    <row r="34" spans="1:47">
      <c r="A34" t="s">
        <v>276</v>
      </c>
      <c r="B34" s="3" t="s">
        <v>136</v>
      </c>
      <c r="C34" s="3" t="s">
        <v>27</v>
      </c>
      <c r="D34" s="3" t="s">
        <v>18</v>
      </c>
      <c r="E34" s="3" t="s">
        <v>29</v>
      </c>
      <c r="F34" s="3" t="s">
        <v>28</v>
      </c>
      <c r="G34" s="4">
        <f t="shared" ca="1" si="0"/>
        <v>44265.406385532406</v>
      </c>
      <c r="H34" s="3" t="s">
        <v>228</v>
      </c>
      <c r="I34" s="3"/>
      <c r="J34" s="3" t="s">
        <v>189</v>
      </c>
      <c r="K34" s="3" t="s">
        <v>228</v>
      </c>
      <c r="L34" s="3" t="s">
        <v>91</v>
      </c>
      <c r="M34" s="3" t="s">
        <v>386</v>
      </c>
      <c r="N34" s="3" t="s">
        <v>91</v>
      </c>
      <c r="P34" s="3" t="s">
        <v>91</v>
      </c>
      <c r="Q34" s="3" t="s">
        <v>91</v>
      </c>
      <c r="R34" s="3"/>
      <c r="S34" s="3"/>
      <c r="T34" s="3" t="s">
        <v>91</v>
      </c>
      <c r="U34" s="3" t="s">
        <v>332</v>
      </c>
      <c r="V34" s="3" t="s">
        <v>323</v>
      </c>
      <c r="W34" s="3" t="s">
        <v>63</v>
      </c>
      <c r="X34" s="3" t="s">
        <v>342</v>
      </c>
      <c r="Y34" s="3" t="s">
        <v>29</v>
      </c>
      <c r="Z34" t="s">
        <v>284</v>
      </c>
      <c r="AB34" s="3" t="s">
        <v>91</v>
      </c>
      <c r="AE34" t="s">
        <v>59</v>
      </c>
      <c r="AH34" s="3" t="s">
        <v>325</v>
      </c>
      <c r="AI34" s="3" t="s">
        <v>337</v>
      </c>
      <c r="AJ34" t="s">
        <v>60</v>
      </c>
      <c r="AL34" s="3" t="s">
        <v>29</v>
      </c>
      <c r="AN34" s="3" t="s">
        <v>29</v>
      </c>
      <c r="AP34" s="3" t="s">
        <v>143</v>
      </c>
      <c r="AS34" s="3" t="s">
        <v>30</v>
      </c>
      <c r="AT34" s="3"/>
      <c r="AU34" s="3" t="s">
        <v>196</v>
      </c>
    </row>
    <row r="35" spans="1:47">
      <c r="A35" t="s">
        <v>274</v>
      </c>
      <c r="B35" s="3" t="s">
        <v>26</v>
      </c>
      <c r="C35" s="3" t="s">
        <v>27</v>
      </c>
      <c r="D35" s="3" t="s">
        <v>18</v>
      </c>
      <c r="E35" s="3" t="s">
        <v>29</v>
      </c>
      <c r="F35" s="3" t="s">
        <v>28</v>
      </c>
      <c r="G35" s="4">
        <f t="shared" ca="1" si="0"/>
        <v>44265.406385532406</v>
      </c>
      <c r="H35" s="3" t="s">
        <v>229</v>
      </c>
      <c r="I35" s="3"/>
      <c r="J35" s="3" t="s">
        <v>189</v>
      </c>
      <c r="K35" s="3" t="s">
        <v>229</v>
      </c>
      <c r="L35" s="3" t="s">
        <v>91</v>
      </c>
      <c r="M35" s="3" t="s">
        <v>402</v>
      </c>
      <c r="N35" s="3" t="s">
        <v>91</v>
      </c>
      <c r="P35" s="3" t="s">
        <v>91</v>
      </c>
      <c r="Q35" s="3" t="s">
        <v>91</v>
      </c>
      <c r="R35" s="3"/>
      <c r="S35" s="3"/>
      <c r="T35" s="3" t="s">
        <v>91</v>
      </c>
      <c r="U35" s="3" t="s">
        <v>29</v>
      </c>
      <c r="V35" t="s">
        <v>138</v>
      </c>
      <c r="W35" s="3" t="s">
        <v>63</v>
      </c>
      <c r="X35" s="3" t="s">
        <v>493</v>
      </c>
      <c r="Y35" s="3" t="s">
        <v>392</v>
      </c>
      <c r="Z35" t="s">
        <v>415</v>
      </c>
      <c r="AB35" s="3" t="s">
        <v>91</v>
      </c>
      <c r="AE35" t="s">
        <v>59</v>
      </c>
      <c r="AH35" t="s">
        <v>138</v>
      </c>
      <c r="AI35" s="3" t="s">
        <v>29</v>
      </c>
      <c r="AJ35" t="s">
        <v>60</v>
      </c>
      <c r="AL35" s="3" t="s">
        <v>29</v>
      </c>
      <c r="AN35" s="3" t="s">
        <v>29</v>
      </c>
      <c r="AP35" s="3" t="s">
        <v>143</v>
      </c>
      <c r="AS35" s="3" t="s">
        <v>30</v>
      </c>
      <c r="AT35" s="3"/>
      <c r="AU35" s="3" t="s">
        <v>196</v>
      </c>
    </row>
    <row r="36" spans="1:47">
      <c r="A36" t="s">
        <v>274</v>
      </c>
      <c r="B36" s="3" t="s">
        <v>136</v>
      </c>
      <c r="C36" s="3" t="s">
        <v>27</v>
      </c>
      <c r="D36" s="3" t="s">
        <v>18</v>
      </c>
      <c r="E36" s="3" t="s">
        <v>29</v>
      </c>
      <c r="F36" s="3" t="s">
        <v>28</v>
      </c>
      <c r="G36" s="4">
        <f t="shared" ca="1" si="0"/>
        <v>44265.406385532406</v>
      </c>
      <c r="H36" s="3" t="s">
        <v>229</v>
      </c>
      <c r="I36" s="3"/>
      <c r="J36" s="3" t="s">
        <v>189</v>
      </c>
      <c r="K36" s="3" t="s">
        <v>229</v>
      </c>
      <c r="L36" s="3" t="s">
        <v>91</v>
      </c>
      <c r="M36" s="3" t="s">
        <v>402</v>
      </c>
      <c r="N36" s="3" t="s">
        <v>91</v>
      </c>
      <c r="P36" s="3" t="s">
        <v>91</v>
      </c>
      <c r="Q36" s="3" t="s">
        <v>91</v>
      </c>
      <c r="R36" s="3"/>
      <c r="S36" s="3"/>
      <c r="T36" s="3" t="s">
        <v>91</v>
      </c>
      <c r="U36" s="3" t="s">
        <v>29</v>
      </c>
      <c r="V36" s="3" t="s">
        <v>91</v>
      </c>
      <c r="W36" s="3" t="s">
        <v>63</v>
      </c>
      <c r="X36" s="3" t="s">
        <v>493</v>
      </c>
      <c r="Y36" s="3" t="s">
        <v>29</v>
      </c>
      <c r="Z36" t="s">
        <v>400</v>
      </c>
      <c r="AB36" s="3" t="s">
        <v>91</v>
      </c>
      <c r="AE36" t="s">
        <v>59</v>
      </c>
      <c r="AH36" s="3" t="s">
        <v>91</v>
      </c>
      <c r="AI36" s="3" t="s">
        <v>29</v>
      </c>
      <c r="AJ36" t="s">
        <v>60</v>
      </c>
      <c r="AL36" s="3" t="s">
        <v>29</v>
      </c>
      <c r="AN36" s="3" t="s">
        <v>29</v>
      </c>
      <c r="AP36" s="3" t="s">
        <v>143</v>
      </c>
      <c r="AS36" s="3" t="s">
        <v>30</v>
      </c>
      <c r="AT36" s="3"/>
      <c r="AU36" s="3" t="s">
        <v>196</v>
      </c>
    </row>
    <row r="37" spans="1:47">
      <c r="A37" t="s">
        <v>276</v>
      </c>
      <c r="B37" s="3" t="s">
        <v>136</v>
      </c>
      <c r="C37" s="3" t="s">
        <v>27</v>
      </c>
      <c r="D37" s="3" t="s">
        <v>18</v>
      </c>
      <c r="E37" s="3" t="s">
        <v>29</v>
      </c>
      <c r="F37" s="3" t="s">
        <v>28</v>
      </c>
      <c r="G37" s="4">
        <f t="shared" ca="1" si="0"/>
        <v>44265.406385532406</v>
      </c>
      <c r="H37" s="3" t="s">
        <v>228</v>
      </c>
      <c r="I37" s="3"/>
      <c r="J37" s="3" t="s">
        <v>189</v>
      </c>
      <c r="K37" s="3" t="s">
        <v>228</v>
      </c>
      <c r="L37" s="3" t="s">
        <v>91</v>
      </c>
      <c r="M37" s="3" t="s">
        <v>401</v>
      </c>
      <c r="N37" s="3" t="s">
        <v>91</v>
      </c>
      <c r="P37" s="3" t="s">
        <v>91</v>
      </c>
      <c r="Q37" s="3" t="s">
        <v>91</v>
      </c>
      <c r="R37" s="3"/>
      <c r="S37" s="3"/>
      <c r="T37" s="3" t="s">
        <v>91</v>
      </c>
      <c r="U37" s="3" t="s">
        <v>29</v>
      </c>
      <c r="V37" s="3" t="s">
        <v>68</v>
      </c>
      <c r="W37" s="3" t="s">
        <v>63</v>
      </c>
      <c r="X37" s="3" t="s">
        <v>492</v>
      </c>
      <c r="Y37" s="3" t="s">
        <v>29</v>
      </c>
      <c r="Z37" t="s">
        <v>398</v>
      </c>
      <c r="AB37" s="3" t="s">
        <v>91</v>
      </c>
      <c r="AE37" t="s">
        <v>59</v>
      </c>
      <c r="AH37" s="3" t="s">
        <v>68</v>
      </c>
      <c r="AI37" s="3" t="s">
        <v>29</v>
      </c>
      <c r="AJ37" t="s">
        <v>60</v>
      </c>
      <c r="AL37" s="3" t="s">
        <v>29</v>
      </c>
      <c r="AN37" s="3" t="s">
        <v>29</v>
      </c>
      <c r="AP37" s="3" t="s">
        <v>143</v>
      </c>
      <c r="AS37" s="3" t="s">
        <v>30</v>
      </c>
      <c r="AT37" s="3"/>
      <c r="AU37" s="3" t="s">
        <v>196</v>
      </c>
    </row>
    <row r="38" spans="1:47">
      <c r="A38" t="s">
        <v>276</v>
      </c>
      <c r="B38" s="3" t="s">
        <v>136</v>
      </c>
      <c r="C38" s="3" t="s">
        <v>27</v>
      </c>
      <c r="D38" s="3" t="s">
        <v>18</v>
      </c>
      <c r="E38" s="3" t="s">
        <v>29</v>
      </c>
      <c r="F38" s="3" t="s">
        <v>28</v>
      </c>
      <c r="G38" s="4">
        <f t="shared" ca="1" si="0"/>
        <v>44265.406385532406</v>
      </c>
      <c r="H38" s="3" t="s">
        <v>228</v>
      </c>
      <c r="I38" s="3"/>
      <c r="J38" s="3" t="s">
        <v>189</v>
      </c>
      <c r="K38" s="3" t="s">
        <v>228</v>
      </c>
      <c r="L38" s="3" t="s">
        <v>91</v>
      </c>
      <c r="M38" s="3" t="s">
        <v>401</v>
      </c>
      <c r="N38" s="3" t="s">
        <v>91</v>
      </c>
      <c r="P38" s="3" t="s">
        <v>91</v>
      </c>
      <c r="Q38" s="3" t="s">
        <v>91</v>
      </c>
      <c r="R38" s="3"/>
      <c r="S38" s="3"/>
      <c r="T38" s="3" t="s">
        <v>91</v>
      </c>
      <c r="U38" s="3" t="s">
        <v>29</v>
      </c>
      <c r="V38" s="3" t="s">
        <v>319</v>
      </c>
      <c r="W38" s="3" t="s">
        <v>63</v>
      </c>
      <c r="X38" s="3" t="s">
        <v>492</v>
      </c>
      <c r="Y38" s="3" t="s">
        <v>29</v>
      </c>
      <c r="Z38" t="s">
        <v>398</v>
      </c>
      <c r="AB38" s="3" t="s">
        <v>91</v>
      </c>
      <c r="AE38" t="s">
        <v>59</v>
      </c>
      <c r="AH38" s="3" t="s">
        <v>197</v>
      </c>
      <c r="AI38" s="3" t="s">
        <v>91</v>
      </c>
      <c r="AJ38" t="s">
        <v>60</v>
      </c>
      <c r="AL38" s="3" t="s">
        <v>29</v>
      </c>
      <c r="AN38" s="3" t="s">
        <v>29</v>
      </c>
      <c r="AP38" s="3" t="s">
        <v>143</v>
      </c>
      <c r="AS38" s="3" t="s">
        <v>30</v>
      </c>
      <c r="AT38" s="3"/>
      <c r="AU38" s="3" t="s">
        <v>433</v>
      </c>
    </row>
    <row r="39" spans="1:47">
      <c r="A39" t="s">
        <v>276</v>
      </c>
      <c r="B39" s="3" t="s">
        <v>136</v>
      </c>
      <c r="C39" s="3" t="s">
        <v>27</v>
      </c>
      <c r="D39" s="3" t="s">
        <v>18</v>
      </c>
      <c r="E39" s="3" t="s">
        <v>29</v>
      </c>
      <c r="F39" s="3" t="s">
        <v>28</v>
      </c>
      <c r="G39" s="4">
        <f t="shared" ca="1" si="0"/>
        <v>44265.406385532406</v>
      </c>
      <c r="H39" s="3" t="s">
        <v>228</v>
      </c>
      <c r="I39" s="3"/>
      <c r="J39" s="3" t="s">
        <v>189</v>
      </c>
      <c r="K39" s="3" t="s">
        <v>228</v>
      </c>
      <c r="L39" s="3" t="s">
        <v>91</v>
      </c>
      <c r="M39" s="3" t="s">
        <v>403</v>
      </c>
      <c r="N39" s="3" t="s">
        <v>91</v>
      </c>
      <c r="P39" s="3" t="s">
        <v>91</v>
      </c>
      <c r="Q39" s="3" t="s">
        <v>91</v>
      </c>
      <c r="R39" s="3"/>
      <c r="S39" s="3"/>
      <c r="T39" s="3" t="s">
        <v>91</v>
      </c>
      <c r="U39" s="3" t="s">
        <v>29</v>
      </c>
      <c r="V39" s="3" t="s">
        <v>320</v>
      </c>
      <c r="W39" s="3" t="s">
        <v>63</v>
      </c>
      <c r="X39" s="3" t="s">
        <v>492</v>
      </c>
      <c r="Y39" s="3" t="s">
        <v>29</v>
      </c>
      <c r="Z39" t="s">
        <v>399</v>
      </c>
      <c r="AB39" s="3" t="s">
        <v>91</v>
      </c>
      <c r="AE39" t="s">
        <v>59</v>
      </c>
      <c r="AH39" s="3" t="s">
        <v>197</v>
      </c>
      <c r="AI39" s="3" t="s">
        <v>91</v>
      </c>
      <c r="AJ39" t="s">
        <v>60</v>
      </c>
      <c r="AL39" s="3" t="s">
        <v>29</v>
      </c>
      <c r="AN39" s="3" t="s">
        <v>29</v>
      </c>
      <c r="AP39" s="3" t="s">
        <v>143</v>
      </c>
      <c r="AS39" s="3" t="s">
        <v>30</v>
      </c>
      <c r="AT39" s="3"/>
      <c r="AU39" s="3" t="s">
        <v>490</v>
      </c>
    </row>
    <row r="40" spans="1:47">
      <c r="A40" t="s">
        <v>276</v>
      </c>
      <c r="B40" s="3" t="s">
        <v>136</v>
      </c>
      <c r="C40" s="3" t="s">
        <v>27</v>
      </c>
      <c r="D40" s="3" t="s">
        <v>18</v>
      </c>
      <c r="E40" s="3" t="s">
        <v>29</v>
      </c>
      <c r="F40" s="3" t="s">
        <v>28</v>
      </c>
      <c r="G40" s="4">
        <f t="shared" ca="1" si="0"/>
        <v>44265.406385532406</v>
      </c>
      <c r="H40" s="3" t="s">
        <v>228</v>
      </c>
      <c r="I40" s="3"/>
      <c r="J40" s="3" t="s">
        <v>189</v>
      </c>
      <c r="K40" s="3" t="s">
        <v>228</v>
      </c>
      <c r="L40" s="3" t="s">
        <v>91</v>
      </c>
      <c r="M40" s="3" t="s">
        <v>404</v>
      </c>
      <c r="N40" s="3" t="s">
        <v>91</v>
      </c>
      <c r="P40" s="3" t="s">
        <v>91</v>
      </c>
      <c r="Q40" s="3" t="s">
        <v>91</v>
      </c>
      <c r="R40" s="3"/>
      <c r="S40" s="3"/>
      <c r="T40" s="3" t="s">
        <v>91</v>
      </c>
      <c r="U40" s="3" t="s">
        <v>90</v>
      </c>
      <c r="V40" s="3" t="s">
        <v>322</v>
      </c>
      <c r="W40" s="3" t="s">
        <v>63</v>
      </c>
      <c r="X40" s="3" t="s">
        <v>494</v>
      </c>
      <c r="Y40" s="3" t="s">
        <v>29</v>
      </c>
      <c r="Z40" t="s">
        <v>398</v>
      </c>
      <c r="AB40" s="3" t="s">
        <v>91</v>
      </c>
      <c r="AE40" t="s">
        <v>59</v>
      </c>
      <c r="AH40" s="3" t="s">
        <v>324</v>
      </c>
      <c r="AI40" s="3" t="s">
        <v>417</v>
      </c>
      <c r="AJ40" t="s">
        <v>60</v>
      </c>
      <c r="AL40" s="3" t="s">
        <v>29</v>
      </c>
      <c r="AN40" s="3" t="s">
        <v>29</v>
      </c>
      <c r="AP40" s="3" t="s">
        <v>143</v>
      </c>
      <c r="AS40" s="3" t="s">
        <v>30</v>
      </c>
      <c r="AT40" s="3"/>
      <c r="AU40" s="3" t="s">
        <v>434</v>
      </c>
    </row>
    <row r="41" spans="1:47">
      <c r="A41" t="s">
        <v>276</v>
      </c>
      <c r="B41" s="3" t="s">
        <v>136</v>
      </c>
      <c r="C41" s="3" t="s">
        <v>27</v>
      </c>
      <c r="D41" s="3" t="s">
        <v>18</v>
      </c>
      <c r="E41" s="3" t="s">
        <v>29</v>
      </c>
      <c r="F41" s="3" t="s">
        <v>28</v>
      </c>
      <c r="G41" s="4">
        <f t="shared" ca="1" si="0"/>
        <v>44265.406385532406</v>
      </c>
      <c r="H41" s="3" t="s">
        <v>228</v>
      </c>
      <c r="I41" s="3"/>
      <c r="J41" s="3" t="s">
        <v>189</v>
      </c>
      <c r="K41" s="3" t="s">
        <v>228</v>
      </c>
      <c r="L41" s="3" t="s">
        <v>91</v>
      </c>
      <c r="M41" s="3" t="s">
        <v>405</v>
      </c>
      <c r="N41" s="3" t="s">
        <v>91</v>
      </c>
      <c r="P41" s="3" t="s">
        <v>91</v>
      </c>
      <c r="Q41" s="3" t="s">
        <v>91</v>
      </c>
      <c r="R41" s="3"/>
      <c r="S41" s="3"/>
      <c r="T41" s="3" t="s">
        <v>91</v>
      </c>
      <c r="U41" s="3" t="s">
        <v>90</v>
      </c>
      <c r="V41" s="3" t="s">
        <v>323</v>
      </c>
      <c r="W41" s="3" t="s">
        <v>63</v>
      </c>
      <c r="X41" s="3" t="s">
        <v>495</v>
      </c>
      <c r="Y41" s="3" t="s">
        <v>29</v>
      </c>
      <c r="Z41" t="s">
        <v>398</v>
      </c>
      <c r="AB41" s="3" t="s">
        <v>91</v>
      </c>
      <c r="AE41" t="s">
        <v>59</v>
      </c>
      <c r="AH41" s="3" t="s">
        <v>325</v>
      </c>
      <c r="AI41" s="3" t="s">
        <v>417</v>
      </c>
      <c r="AJ41" t="s">
        <v>60</v>
      </c>
      <c r="AL41" s="3" t="s">
        <v>29</v>
      </c>
      <c r="AN41" s="3" t="s">
        <v>29</v>
      </c>
      <c r="AP41" s="3" t="s">
        <v>143</v>
      </c>
      <c r="AS41" s="3" t="s">
        <v>30</v>
      </c>
      <c r="AT41" s="3"/>
      <c r="AU41" s="3" t="s">
        <v>433</v>
      </c>
    </row>
    <row r="42" spans="1:47">
      <c r="A42" t="s">
        <v>274</v>
      </c>
      <c r="B42" s="3" t="s">
        <v>26</v>
      </c>
      <c r="C42" s="3" t="s">
        <v>27</v>
      </c>
      <c r="D42" s="3" t="s">
        <v>18</v>
      </c>
      <c r="E42" s="3" t="s">
        <v>29</v>
      </c>
      <c r="F42" s="3" t="s">
        <v>28</v>
      </c>
      <c r="G42" s="4">
        <f t="shared" ca="1" si="0"/>
        <v>44265.406385532406</v>
      </c>
      <c r="H42" s="3" t="s">
        <v>229</v>
      </c>
      <c r="I42" s="3"/>
      <c r="J42" s="3" t="s">
        <v>189</v>
      </c>
      <c r="K42" s="3" t="s">
        <v>229</v>
      </c>
      <c r="L42" s="3" t="s">
        <v>91</v>
      </c>
      <c r="M42" s="3" t="s">
        <v>80</v>
      </c>
      <c r="N42" s="3" t="s">
        <v>91</v>
      </c>
      <c r="P42" s="3" t="s">
        <v>91</v>
      </c>
      <c r="Q42" s="3" t="s">
        <v>91</v>
      </c>
      <c r="R42" s="3"/>
      <c r="S42" s="3"/>
      <c r="T42" s="3" t="s">
        <v>91</v>
      </c>
      <c r="U42" s="3" t="s">
        <v>29</v>
      </c>
      <c r="V42" t="s">
        <v>138</v>
      </c>
      <c r="W42" s="3" t="s">
        <v>63</v>
      </c>
      <c r="X42" s="3" t="s">
        <v>425</v>
      </c>
      <c r="Y42" s="3" t="s">
        <v>392</v>
      </c>
      <c r="Z42" t="s">
        <v>393</v>
      </c>
      <c r="AB42" s="3" t="s">
        <v>91</v>
      </c>
      <c r="AE42" t="s">
        <v>59</v>
      </c>
      <c r="AH42" t="s">
        <v>138</v>
      </c>
      <c r="AI42" s="3" t="s">
        <v>29</v>
      </c>
      <c r="AJ42" t="s">
        <v>60</v>
      </c>
      <c r="AL42" s="3" t="s">
        <v>29</v>
      </c>
      <c r="AN42" s="3" t="s">
        <v>29</v>
      </c>
      <c r="AP42" s="3" t="s">
        <v>143</v>
      </c>
      <c r="AS42" s="3" t="s">
        <v>30</v>
      </c>
      <c r="AT42" s="3"/>
      <c r="AU42" s="3" t="s">
        <v>433</v>
      </c>
    </row>
    <row r="43" spans="1:47">
      <c r="A43" t="s">
        <v>274</v>
      </c>
      <c r="B43" s="3" t="s">
        <v>136</v>
      </c>
      <c r="C43" s="3" t="s">
        <v>27</v>
      </c>
      <c r="D43" s="3" t="s">
        <v>18</v>
      </c>
      <c r="E43" s="3" t="s">
        <v>29</v>
      </c>
      <c r="F43" s="3" t="s">
        <v>28</v>
      </c>
      <c r="G43" s="4">
        <f t="shared" ca="1" si="0"/>
        <v>44265.406385532406</v>
      </c>
      <c r="H43" s="3" t="s">
        <v>229</v>
      </c>
      <c r="I43" s="3"/>
      <c r="J43" s="3" t="s">
        <v>189</v>
      </c>
      <c r="K43" s="3" t="s">
        <v>229</v>
      </c>
      <c r="L43" s="3" t="s">
        <v>91</v>
      </c>
      <c r="M43" s="3" t="s">
        <v>80</v>
      </c>
      <c r="N43" s="3" t="s">
        <v>91</v>
      </c>
      <c r="P43" s="3" t="s">
        <v>91</v>
      </c>
      <c r="Q43" s="3" t="s">
        <v>91</v>
      </c>
      <c r="R43" s="3"/>
      <c r="S43" s="3"/>
      <c r="T43" s="3" t="s">
        <v>91</v>
      </c>
      <c r="U43" s="3" t="s">
        <v>29</v>
      </c>
      <c r="V43" s="3" t="s">
        <v>91</v>
      </c>
      <c r="W43" s="3" t="s">
        <v>63</v>
      </c>
      <c r="X43" s="3" t="s">
        <v>419</v>
      </c>
      <c r="Y43" s="3" t="s">
        <v>29</v>
      </c>
      <c r="Z43" t="s">
        <v>305</v>
      </c>
      <c r="AB43" s="3" t="s">
        <v>91</v>
      </c>
      <c r="AE43" t="s">
        <v>59</v>
      </c>
      <c r="AH43" s="3" t="s">
        <v>91</v>
      </c>
      <c r="AI43" s="3" t="s">
        <v>29</v>
      </c>
      <c r="AJ43" t="s">
        <v>60</v>
      </c>
      <c r="AL43" s="3" t="s">
        <v>29</v>
      </c>
      <c r="AN43" s="3" t="s">
        <v>29</v>
      </c>
      <c r="AP43" s="3" t="s">
        <v>143</v>
      </c>
      <c r="AS43" s="3" t="s">
        <v>30</v>
      </c>
      <c r="AT43" s="3"/>
      <c r="AU43" s="3" t="s">
        <v>433</v>
      </c>
    </row>
    <row r="44" spans="1:47">
      <c r="A44" t="s">
        <v>276</v>
      </c>
      <c r="B44" s="3" t="s">
        <v>136</v>
      </c>
      <c r="C44" s="3" t="s">
        <v>27</v>
      </c>
      <c r="D44" s="3" t="s">
        <v>18</v>
      </c>
      <c r="E44" s="3" t="s">
        <v>29</v>
      </c>
      <c r="F44" s="3" t="s">
        <v>28</v>
      </c>
      <c r="G44" s="4">
        <f t="shared" ca="1" si="0"/>
        <v>44265.406385532406</v>
      </c>
      <c r="H44" s="3" t="s">
        <v>228</v>
      </c>
      <c r="I44" s="3"/>
      <c r="J44" s="3" t="s">
        <v>189</v>
      </c>
      <c r="K44" s="3" t="s">
        <v>228</v>
      </c>
      <c r="L44" s="3" t="s">
        <v>91</v>
      </c>
      <c r="M44" s="3" t="s">
        <v>420</v>
      </c>
      <c r="N44" s="3" t="s">
        <v>91</v>
      </c>
      <c r="P44" s="3" t="s">
        <v>91</v>
      </c>
      <c r="Q44" s="3" t="s">
        <v>91</v>
      </c>
      <c r="R44" s="3"/>
      <c r="S44" s="3"/>
      <c r="T44" s="3" t="s">
        <v>91</v>
      </c>
      <c r="U44" s="3" t="s">
        <v>29</v>
      </c>
      <c r="V44" s="3" t="s">
        <v>68</v>
      </c>
      <c r="W44" s="3" t="s">
        <v>63</v>
      </c>
      <c r="X44" s="3" t="s">
        <v>418</v>
      </c>
      <c r="Y44" s="3" t="s">
        <v>29</v>
      </c>
      <c r="Z44" t="s">
        <v>284</v>
      </c>
      <c r="AB44" s="3" t="s">
        <v>91</v>
      </c>
      <c r="AE44" t="s">
        <v>59</v>
      </c>
      <c r="AH44" s="3" t="s">
        <v>68</v>
      </c>
      <c r="AI44" s="3" t="s">
        <v>29</v>
      </c>
      <c r="AJ44" t="s">
        <v>60</v>
      </c>
      <c r="AL44" s="3" t="s">
        <v>29</v>
      </c>
      <c r="AN44" s="3" t="s">
        <v>29</v>
      </c>
      <c r="AP44" s="3" t="s">
        <v>143</v>
      </c>
      <c r="AS44" s="3" t="s">
        <v>30</v>
      </c>
      <c r="AT44" s="3"/>
      <c r="AU44" s="3" t="s">
        <v>433</v>
      </c>
    </row>
    <row r="45" spans="1:47">
      <c r="A45" t="s">
        <v>276</v>
      </c>
      <c r="B45" s="3" t="s">
        <v>136</v>
      </c>
      <c r="C45" s="3" t="s">
        <v>27</v>
      </c>
      <c r="D45" s="3" t="s">
        <v>18</v>
      </c>
      <c r="E45" s="3" t="s">
        <v>29</v>
      </c>
      <c r="F45" s="3" t="s">
        <v>28</v>
      </c>
      <c r="G45" s="4">
        <f t="shared" ca="1" si="0"/>
        <v>44265.406385532406</v>
      </c>
      <c r="H45" s="3" t="s">
        <v>228</v>
      </c>
      <c r="I45" s="3"/>
      <c r="J45" s="3" t="s">
        <v>189</v>
      </c>
      <c r="K45" s="3" t="s">
        <v>228</v>
      </c>
      <c r="L45" s="3" t="s">
        <v>91</v>
      </c>
      <c r="M45" s="3" t="s">
        <v>420</v>
      </c>
      <c r="N45" s="3" t="s">
        <v>91</v>
      </c>
      <c r="P45" s="3" t="s">
        <v>91</v>
      </c>
      <c r="Q45" s="3" t="s">
        <v>91</v>
      </c>
      <c r="R45" s="3"/>
      <c r="S45" s="3"/>
      <c r="T45" s="3" t="s">
        <v>91</v>
      </c>
      <c r="U45" s="3" t="s">
        <v>29</v>
      </c>
      <c r="V45" s="3" t="s">
        <v>319</v>
      </c>
      <c r="W45" s="3" t="s">
        <v>63</v>
      </c>
      <c r="X45" s="3" t="s">
        <v>418</v>
      </c>
      <c r="Y45" s="3" t="s">
        <v>29</v>
      </c>
      <c r="Z45" t="s">
        <v>284</v>
      </c>
      <c r="AB45" s="3" t="s">
        <v>91</v>
      </c>
      <c r="AE45" t="s">
        <v>59</v>
      </c>
      <c r="AH45" s="3" t="s">
        <v>197</v>
      </c>
      <c r="AI45" s="3" t="s">
        <v>91</v>
      </c>
      <c r="AJ45" t="s">
        <v>60</v>
      </c>
      <c r="AL45" s="3" t="s">
        <v>29</v>
      </c>
      <c r="AN45" s="3" t="s">
        <v>29</v>
      </c>
      <c r="AP45" s="3" t="s">
        <v>143</v>
      </c>
      <c r="AS45" s="3" t="s">
        <v>30</v>
      </c>
      <c r="AT45" s="3"/>
      <c r="AU45" s="3" t="s">
        <v>433</v>
      </c>
    </row>
    <row r="46" spans="1:47">
      <c r="A46" t="s">
        <v>276</v>
      </c>
      <c r="B46" s="3" t="s">
        <v>136</v>
      </c>
      <c r="C46" s="3" t="s">
        <v>27</v>
      </c>
      <c r="D46" s="3" t="s">
        <v>18</v>
      </c>
      <c r="E46" s="3" t="s">
        <v>29</v>
      </c>
      <c r="F46" s="3" t="s">
        <v>28</v>
      </c>
      <c r="G46" s="4">
        <f t="shared" ca="1" si="0"/>
        <v>44265.406385532406</v>
      </c>
      <c r="H46" s="3" t="s">
        <v>228</v>
      </c>
      <c r="I46" s="3"/>
      <c r="J46" s="3" t="s">
        <v>189</v>
      </c>
      <c r="K46" s="3" t="s">
        <v>228</v>
      </c>
      <c r="L46" s="3" t="s">
        <v>91</v>
      </c>
      <c r="M46" s="3" t="s">
        <v>426</v>
      </c>
      <c r="N46" s="3" t="s">
        <v>91</v>
      </c>
      <c r="P46" s="3" t="s">
        <v>91</v>
      </c>
      <c r="Q46" s="3" t="s">
        <v>91</v>
      </c>
      <c r="R46" s="3"/>
      <c r="S46" s="3"/>
      <c r="T46" s="3" t="s">
        <v>91</v>
      </c>
      <c r="U46" s="3" t="s">
        <v>29</v>
      </c>
      <c r="V46" s="3" t="s">
        <v>320</v>
      </c>
      <c r="W46" s="3" t="s">
        <v>63</v>
      </c>
      <c r="X46" s="3" t="s">
        <v>418</v>
      </c>
      <c r="Y46" s="3" t="s">
        <v>29</v>
      </c>
      <c r="Z46" t="s">
        <v>284</v>
      </c>
      <c r="AB46" s="3" t="s">
        <v>91</v>
      </c>
      <c r="AE46" t="s">
        <v>59</v>
      </c>
      <c r="AH46" s="3" t="s">
        <v>197</v>
      </c>
      <c r="AI46" s="3" t="s">
        <v>91</v>
      </c>
      <c r="AJ46" t="s">
        <v>60</v>
      </c>
      <c r="AL46" s="3" t="s">
        <v>29</v>
      </c>
      <c r="AN46" s="3" t="s">
        <v>29</v>
      </c>
      <c r="AP46" s="3" t="s">
        <v>143</v>
      </c>
      <c r="AS46" s="3" t="s">
        <v>30</v>
      </c>
      <c r="AT46" s="3"/>
      <c r="AU46" s="3" t="s">
        <v>491</v>
      </c>
    </row>
    <row r="47" spans="1:47">
      <c r="A47" t="s">
        <v>276</v>
      </c>
      <c r="B47" s="3" t="s">
        <v>136</v>
      </c>
      <c r="C47" s="3" t="s">
        <v>27</v>
      </c>
      <c r="D47" s="3" t="s">
        <v>18</v>
      </c>
      <c r="E47" s="3" t="s">
        <v>29</v>
      </c>
      <c r="F47" s="3" t="s">
        <v>28</v>
      </c>
      <c r="G47" s="4">
        <f t="shared" ca="1" si="0"/>
        <v>44265.406385532406</v>
      </c>
      <c r="H47" s="3" t="s">
        <v>228</v>
      </c>
      <c r="I47" s="3"/>
      <c r="J47" s="3"/>
      <c r="K47" s="3" t="s">
        <v>228</v>
      </c>
      <c r="L47" s="3" t="s">
        <v>91</v>
      </c>
      <c r="M47" s="3" t="s">
        <v>27</v>
      </c>
      <c r="N47" s="3" t="s">
        <v>91</v>
      </c>
      <c r="P47" s="3" t="s">
        <v>91</v>
      </c>
      <c r="Q47" s="3" t="s">
        <v>91</v>
      </c>
      <c r="R47" s="3"/>
      <c r="S47" s="3"/>
      <c r="T47" s="3" t="s">
        <v>91</v>
      </c>
      <c r="U47" s="3" t="s">
        <v>431</v>
      </c>
      <c r="V47" s="3"/>
      <c r="W47" s="3" t="s">
        <v>63</v>
      </c>
      <c r="X47" s="3" t="s">
        <v>418</v>
      </c>
      <c r="Y47" s="3" t="s">
        <v>29</v>
      </c>
      <c r="Z47" t="s">
        <v>284</v>
      </c>
      <c r="AA47" t="s">
        <v>427</v>
      </c>
      <c r="AB47" s="3" t="s">
        <v>91</v>
      </c>
      <c r="AE47" t="s">
        <v>428</v>
      </c>
      <c r="AH47" s="3" t="s">
        <v>430</v>
      </c>
      <c r="AI47" s="3" t="s">
        <v>29</v>
      </c>
      <c r="AJ47" t="s">
        <v>60</v>
      </c>
      <c r="AL47" s="3" t="s">
        <v>29</v>
      </c>
      <c r="AN47" s="3" t="s">
        <v>29</v>
      </c>
      <c r="AP47" s="3" t="s">
        <v>143</v>
      </c>
      <c r="AS47" s="3" t="s">
        <v>30</v>
      </c>
      <c r="AT47" s="3"/>
      <c r="AU47" s="3" t="s">
        <v>432</v>
      </c>
    </row>
    <row r="48" spans="1:47">
      <c r="A48" t="s">
        <v>274</v>
      </c>
      <c r="B48" s="3" t="s">
        <v>26</v>
      </c>
      <c r="C48" s="3" t="s">
        <v>27</v>
      </c>
      <c r="D48" s="3" t="s">
        <v>18</v>
      </c>
      <c r="E48" s="3" t="s">
        <v>29</v>
      </c>
      <c r="F48" s="3" t="s">
        <v>28</v>
      </c>
      <c r="G48" s="4">
        <f t="shared" ca="1" si="0"/>
        <v>44265.406385532406</v>
      </c>
      <c r="H48" s="3" t="s">
        <v>229</v>
      </c>
      <c r="I48" s="3"/>
      <c r="J48" s="3" t="s">
        <v>189</v>
      </c>
      <c r="K48" s="3" t="s">
        <v>229</v>
      </c>
      <c r="L48" s="3" t="s">
        <v>91</v>
      </c>
      <c r="M48" s="3" t="s">
        <v>444</v>
      </c>
      <c r="N48" s="3" t="s">
        <v>91</v>
      </c>
      <c r="P48" s="3" t="s">
        <v>91</v>
      </c>
      <c r="Q48" s="3" t="s">
        <v>91</v>
      </c>
      <c r="R48" s="3"/>
      <c r="S48" s="3"/>
      <c r="T48" s="3" t="s">
        <v>91</v>
      </c>
      <c r="U48" s="3" t="s">
        <v>29</v>
      </c>
      <c r="V48" t="s">
        <v>138</v>
      </c>
      <c r="W48" s="3" t="s">
        <v>63</v>
      </c>
      <c r="X48" s="3" t="s">
        <v>447</v>
      </c>
      <c r="Y48" s="3" t="s">
        <v>392</v>
      </c>
      <c r="Z48" t="s">
        <v>393</v>
      </c>
      <c r="AB48" s="3" t="s">
        <v>91</v>
      </c>
      <c r="AE48" t="s">
        <v>59</v>
      </c>
      <c r="AH48" t="s">
        <v>138</v>
      </c>
      <c r="AI48" s="3" t="s">
        <v>29</v>
      </c>
      <c r="AJ48" t="s">
        <v>60</v>
      </c>
      <c r="AL48" s="3" t="s">
        <v>29</v>
      </c>
      <c r="AN48" s="3" t="s">
        <v>29</v>
      </c>
      <c r="AP48" s="3" t="s">
        <v>143</v>
      </c>
      <c r="AS48" s="3" t="s">
        <v>30</v>
      </c>
      <c r="AT48" s="3"/>
      <c r="AU48" s="3" t="s">
        <v>196</v>
      </c>
    </row>
    <row r="49" spans="1:47">
      <c r="A49" t="s">
        <v>274</v>
      </c>
      <c r="B49" s="3" t="s">
        <v>136</v>
      </c>
      <c r="C49" s="3" t="s">
        <v>27</v>
      </c>
      <c r="D49" s="3" t="s">
        <v>18</v>
      </c>
      <c r="E49" s="3" t="s">
        <v>29</v>
      </c>
      <c r="F49" s="3" t="s">
        <v>28</v>
      </c>
      <c r="G49" s="4">
        <f t="shared" ca="1" si="0"/>
        <v>44265.406385532406</v>
      </c>
      <c r="H49" s="3" t="s">
        <v>229</v>
      </c>
      <c r="I49" s="3"/>
      <c r="J49" s="3" t="s">
        <v>189</v>
      </c>
      <c r="K49" s="3" t="s">
        <v>229</v>
      </c>
      <c r="L49" s="3" t="s">
        <v>91</v>
      </c>
      <c r="M49" s="3" t="s">
        <v>439</v>
      </c>
      <c r="N49" s="3" t="s">
        <v>91</v>
      </c>
      <c r="P49" s="3" t="s">
        <v>91</v>
      </c>
      <c r="Q49" s="3" t="s">
        <v>91</v>
      </c>
      <c r="R49" s="3"/>
      <c r="S49" s="3"/>
      <c r="T49" s="3" t="s">
        <v>91</v>
      </c>
      <c r="U49" s="3" t="s">
        <v>29</v>
      </c>
      <c r="V49" s="3" t="s">
        <v>91</v>
      </c>
      <c r="W49" s="3" t="s">
        <v>63</v>
      </c>
      <c r="X49" s="3" t="s">
        <v>448</v>
      </c>
      <c r="Y49" s="3" t="s">
        <v>29</v>
      </c>
      <c r="Z49" t="s">
        <v>305</v>
      </c>
      <c r="AB49" s="3" t="s">
        <v>91</v>
      </c>
      <c r="AE49" t="s">
        <v>59</v>
      </c>
      <c r="AH49" s="3" t="s">
        <v>91</v>
      </c>
      <c r="AI49" s="3" t="s">
        <v>29</v>
      </c>
      <c r="AJ49" t="s">
        <v>60</v>
      </c>
      <c r="AL49" s="3" t="s">
        <v>29</v>
      </c>
      <c r="AN49" s="3" t="s">
        <v>29</v>
      </c>
      <c r="AP49" s="3" t="s">
        <v>143</v>
      </c>
      <c r="AS49" s="3" t="s">
        <v>30</v>
      </c>
      <c r="AT49" s="3"/>
      <c r="AU49" s="3" t="s">
        <v>196</v>
      </c>
    </row>
    <row r="50" spans="1:47">
      <c r="A50" t="s">
        <v>276</v>
      </c>
      <c r="B50" s="3" t="s">
        <v>136</v>
      </c>
      <c r="C50" s="3" t="s">
        <v>27</v>
      </c>
      <c r="D50" s="3" t="s">
        <v>18</v>
      </c>
      <c r="E50" s="3" t="s">
        <v>29</v>
      </c>
      <c r="F50" s="3" t="s">
        <v>28</v>
      </c>
      <c r="G50" s="4">
        <f t="shared" ca="1" si="0"/>
        <v>44265.406385532406</v>
      </c>
      <c r="H50" s="3" t="s">
        <v>228</v>
      </c>
      <c r="I50" s="3"/>
      <c r="J50" s="3" t="s">
        <v>189</v>
      </c>
      <c r="K50" s="3" t="s">
        <v>228</v>
      </c>
      <c r="L50" s="3" t="s">
        <v>91</v>
      </c>
      <c r="M50" s="3" t="s">
        <v>435</v>
      </c>
      <c r="N50" s="3" t="s">
        <v>91</v>
      </c>
      <c r="P50" s="3" t="s">
        <v>91</v>
      </c>
      <c r="Q50" s="3" t="s">
        <v>91</v>
      </c>
      <c r="R50" s="3"/>
      <c r="S50" s="3"/>
      <c r="T50" s="3" t="s">
        <v>91</v>
      </c>
      <c r="U50" s="3" t="s">
        <v>29</v>
      </c>
      <c r="V50" s="3" t="s">
        <v>68</v>
      </c>
      <c r="W50" s="3" t="s">
        <v>63</v>
      </c>
      <c r="X50" s="3" t="s">
        <v>437</v>
      </c>
      <c r="Y50" s="3" t="s">
        <v>29</v>
      </c>
      <c r="Z50" t="s">
        <v>284</v>
      </c>
      <c r="AB50" s="3" t="s">
        <v>91</v>
      </c>
      <c r="AE50" t="s">
        <v>59</v>
      </c>
      <c r="AH50" s="3" t="s">
        <v>68</v>
      </c>
      <c r="AI50" s="3" t="s">
        <v>29</v>
      </c>
      <c r="AJ50" t="s">
        <v>60</v>
      </c>
      <c r="AL50" s="3" t="s">
        <v>29</v>
      </c>
      <c r="AN50" s="3" t="s">
        <v>29</v>
      </c>
      <c r="AP50" s="3" t="s">
        <v>143</v>
      </c>
      <c r="AS50" s="3" t="s">
        <v>30</v>
      </c>
      <c r="AT50" s="3"/>
      <c r="AU50" s="3" t="s">
        <v>196</v>
      </c>
    </row>
    <row r="51" spans="1:47">
      <c r="A51" t="s">
        <v>276</v>
      </c>
      <c r="B51" s="3" t="s">
        <v>136</v>
      </c>
      <c r="C51" s="3" t="s">
        <v>27</v>
      </c>
      <c r="D51" s="3" t="s">
        <v>18</v>
      </c>
      <c r="E51" s="3" t="s">
        <v>29</v>
      </c>
      <c r="F51" s="3" t="s">
        <v>28</v>
      </c>
      <c r="G51" s="4">
        <f t="shared" ca="1" si="0"/>
        <v>44265.406385532406</v>
      </c>
      <c r="H51" s="3" t="s">
        <v>228</v>
      </c>
      <c r="I51" s="3"/>
      <c r="J51" s="3" t="s">
        <v>189</v>
      </c>
      <c r="K51" s="3" t="s">
        <v>228</v>
      </c>
      <c r="L51" s="3" t="s">
        <v>91</v>
      </c>
      <c r="M51" s="3" t="s">
        <v>435</v>
      </c>
      <c r="N51" s="3" t="s">
        <v>91</v>
      </c>
      <c r="P51" s="3" t="s">
        <v>91</v>
      </c>
      <c r="Q51" s="3" t="s">
        <v>91</v>
      </c>
      <c r="R51" s="3"/>
      <c r="S51" s="3"/>
      <c r="T51" s="3" t="s">
        <v>91</v>
      </c>
      <c r="U51" s="3" t="s">
        <v>29</v>
      </c>
      <c r="V51" s="3" t="s">
        <v>319</v>
      </c>
      <c r="W51" s="3" t="s">
        <v>63</v>
      </c>
      <c r="X51" s="3" t="s">
        <v>437</v>
      </c>
      <c r="Y51" s="3" t="s">
        <v>29</v>
      </c>
      <c r="Z51" t="s">
        <v>284</v>
      </c>
      <c r="AB51" s="3" t="s">
        <v>91</v>
      </c>
      <c r="AE51" t="s">
        <v>59</v>
      </c>
      <c r="AH51" s="3" t="s">
        <v>197</v>
      </c>
      <c r="AI51" s="3" t="s">
        <v>91</v>
      </c>
      <c r="AJ51" t="s">
        <v>60</v>
      </c>
      <c r="AL51" s="3" t="s">
        <v>29</v>
      </c>
      <c r="AN51" s="3" t="s">
        <v>29</v>
      </c>
      <c r="AP51" s="3" t="s">
        <v>143</v>
      </c>
      <c r="AS51" s="3" t="s">
        <v>30</v>
      </c>
      <c r="AT51" s="3"/>
      <c r="AU51" s="3" t="s">
        <v>196</v>
      </c>
    </row>
    <row r="52" spans="1:47">
      <c r="A52" t="s">
        <v>276</v>
      </c>
      <c r="B52" s="3" t="s">
        <v>136</v>
      </c>
      <c r="C52" s="3" t="s">
        <v>27</v>
      </c>
      <c r="D52" s="3" t="s">
        <v>18</v>
      </c>
      <c r="E52" s="3" t="s">
        <v>29</v>
      </c>
      <c r="F52" s="3" t="s">
        <v>28</v>
      </c>
      <c r="G52" s="4">
        <f t="shared" ca="1" si="0"/>
        <v>44265.406385532406</v>
      </c>
      <c r="H52" s="3" t="s">
        <v>228</v>
      </c>
      <c r="I52" s="3"/>
      <c r="J52" s="3" t="s">
        <v>189</v>
      </c>
      <c r="K52" s="3" t="s">
        <v>228</v>
      </c>
      <c r="L52" s="3" t="s">
        <v>91</v>
      </c>
      <c r="M52" s="3" t="s">
        <v>442</v>
      </c>
      <c r="N52" s="3" t="s">
        <v>91</v>
      </c>
      <c r="P52" s="3" t="s">
        <v>91</v>
      </c>
      <c r="Q52" s="3" t="s">
        <v>91</v>
      </c>
      <c r="R52" s="3"/>
      <c r="S52" s="3"/>
      <c r="T52" s="3" t="s">
        <v>91</v>
      </c>
      <c r="U52" s="3" t="s">
        <v>29</v>
      </c>
      <c r="V52" s="3" t="s">
        <v>320</v>
      </c>
      <c r="W52" s="3" t="s">
        <v>63</v>
      </c>
      <c r="X52" s="3" t="s">
        <v>437</v>
      </c>
      <c r="Y52" s="3" t="s">
        <v>29</v>
      </c>
      <c r="Z52" t="s">
        <v>284</v>
      </c>
      <c r="AB52" s="3" t="s">
        <v>91</v>
      </c>
      <c r="AE52" t="s">
        <v>59</v>
      </c>
      <c r="AH52" s="3" t="s">
        <v>197</v>
      </c>
      <c r="AI52" s="3" t="s">
        <v>91</v>
      </c>
      <c r="AJ52" t="s">
        <v>60</v>
      </c>
      <c r="AL52" s="3" t="s">
        <v>29</v>
      </c>
      <c r="AN52" s="3" t="s">
        <v>29</v>
      </c>
      <c r="AP52" s="3" t="s">
        <v>143</v>
      </c>
      <c r="AS52" s="3" t="s">
        <v>30</v>
      </c>
      <c r="AT52" s="3"/>
      <c r="AU52" s="3" t="s">
        <v>488</v>
      </c>
    </row>
    <row r="53" spans="1:47">
      <c r="A53" t="s">
        <v>276</v>
      </c>
      <c r="B53" s="3" t="s">
        <v>136</v>
      </c>
      <c r="C53" s="3" t="s">
        <v>27</v>
      </c>
      <c r="D53" s="3" t="s">
        <v>18</v>
      </c>
      <c r="E53" s="3" t="s">
        <v>29</v>
      </c>
      <c r="F53" s="3" t="s">
        <v>28</v>
      </c>
      <c r="G53" s="4">
        <f t="shared" ca="1" si="0"/>
        <v>44265.406385532406</v>
      </c>
      <c r="H53" s="3" t="s">
        <v>228</v>
      </c>
      <c r="I53" s="3"/>
      <c r="J53" s="3" t="s">
        <v>189</v>
      </c>
      <c r="K53" s="3" t="s">
        <v>228</v>
      </c>
      <c r="L53" s="3" t="s">
        <v>91</v>
      </c>
      <c r="M53" s="3" t="s">
        <v>446</v>
      </c>
      <c r="N53" s="3" t="s">
        <v>91</v>
      </c>
      <c r="P53" s="3" t="s">
        <v>91</v>
      </c>
      <c r="Q53" s="3" t="s">
        <v>91</v>
      </c>
      <c r="R53" s="3"/>
      <c r="S53" s="3"/>
      <c r="T53" s="3" t="s">
        <v>91</v>
      </c>
      <c r="U53" s="3" t="s">
        <v>63</v>
      </c>
      <c r="V53" s="3" t="s">
        <v>322</v>
      </c>
      <c r="W53" s="3" t="s">
        <v>63</v>
      </c>
      <c r="X53" s="3" t="s">
        <v>449</v>
      </c>
      <c r="Y53" s="3" t="s">
        <v>29</v>
      </c>
      <c r="Z53" t="s">
        <v>284</v>
      </c>
      <c r="AB53" s="3" t="s">
        <v>91</v>
      </c>
      <c r="AE53" t="s">
        <v>59</v>
      </c>
      <c r="AH53" s="3" t="s">
        <v>324</v>
      </c>
      <c r="AI53" s="3" t="s">
        <v>451</v>
      </c>
      <c r="AJ53" t="s">
        <v>60</v>
      </c>
      <c r="AL53" s="3" t="s">
        <v>29</v>
      </c>
      <c r="AN53" s="3" t="s">
        <v>29</v>
      </c>
      <c r="AP53" s="3" t="s">
        <v>143</v>
      </c>
      <c r="AS53" s="3" t="s">
        <v>30</v>
      </c>
      <c r="AT53" s="3"/>
      <c r="AU53" s="3" t="s">
        <v>196</v>
      </c>
    </row>
    <row r="54" spans="1:47">
      <c r="A54" t="s">
        <v>276</v>
      </c>
      <c r="B54" s="3" t="s">
        <v>136</v>
      </c>
      <c r="C54" s="3" t="s">
        <v>27</v>
      </c>
      <c r="D54" s="3" t="s">
        <v>18</v>
      </c>
      <c r="E54" s="3" t="s">
        <v>29</v>
      </c>
      <c r="F54" s="3" t="s">
        <v>28</v>
      </c>
      <c r="G54" s="4">
        <f t="shared" ca="1" si="0"/>
        <v>44265.406385532406</v>
      </c>
      <c r="H54" s="3" t="s">
        <v>228</v>
      </c>
      <c r="I54" s="3"/>
      <c r="J54" s="3" t="s">
        <v>189</v>
      </c>
      <c r="K54" s="3" t="s">
        <v>228</v>
      </c>
      <c r="L54" s="3" t="s">
        <v>91</v>
      </c>
      <c r="M54" s="3" t="s">
        <v>446</v>
      </c>
      <c r="N54" s="3" t="s">
        <v>91</v>
      </c>
      <c r="P54" s="3" t="s">
        <v>91</v>
      </c>
      <c r="Q54" s="3" t="s">
        <v>91</v>
      </c>
      <c r="R54" s="3"/>
      <c r="S54" s="3"/>
      <c r="T54" s="3" t="s">
        <v>91</v>
      </c>
      <c r="U54" s="3" t="s">
        <v>450</v>
      </c>
      <c r="V54" s="3" t="s">
        <v>323</v>
      </c>
      <c r="W54" s="3" t="s">
        <v>63</v>
      </c>
      <c r="X54" s="3" t="s">
        <v>449</v>
      </c>
      <c r="Y54" s="3" t="s">
        <v>29</v>
      </c>
      <c r="Z54" t="s">
        <v>284</v>
      </c>
      <c r="AB54" s="3" t="s">
        <v>91</v>
      </c>
      <c r="AE54" t="s">
        <v>59</v>
      </c>
      <c r="AH54" s="3" t="s">
        <v>325</v>
      </c>
      <c r="AI54" s="3" t="s">
        <v>63</v>
      </c>
      <c r="AJ54" t="s">
        <v>60</v>
      </c>
      <c r="AL54" s="3" t="s">
        <v>29</v>
      </c>
      <c r="AN54" s="3" t="s">
        <v>29</v>
      </c>
      <c r="AP54" s="3" t="s">
        <v>143</v>
      </c>
      <c r="AS54" s="3" t="s">
        <v>30</v>
      </c>
      <c r="AT54" s="3"/>
      <c r="AU54" s="3" t="s">
        <v>196</v>
      </c>
    </row>
    <row r="55" spans="1:47">
      <c r="A55" t="s">
        <v>276</v>
      </c>
      <c r="B55" s="3" t="s">
        <v>136</v>
      </c>
      <c r="C55" s="3" t="s">
        <v>27</v>
      </c>
      <c r="D55" s="3" t="s">
        <v>18</v>
      </c>
      <c r="E55" s="3" t="s">
        <v>29</v>
      </c>
      <c r="F55" s="3" t="s">
        <v>28</v>
      </c>
      <c r="G55" s="4">
        <f t="shared" ca="1" si="0"/>
        <v>44265.406385532406</v>
      </c>
      <c r="H55" s="3" t="s">
        <v>228</v>
      </c>
      <c r="I55" s="3"/>
      <c r="J55" s="3" t="s">
        <v>189</v>
      </c>
      <c r="K55" s="3" t="s">
        <v>228</v>
      </c>
      <c r="L55" s="3" t="s">
        <v>91</v>
      </c>
      <c r="M55" s="3" t="s">
        <v>445</v>
      </c>
      <c r="N55" s="3" t="s">
        <v>91</v>
      </c>
      <c r="P55" s="3" t="s">
        <v>91</v>
      </c>
      <c r="Q55" s="3" t="s">
        <v>91</v>
      </c>
      <c r="R55" s="3"/>
      <c r="S55" s="3"/>
      <c r="T55" s="3" t="s">
        <v>91</v>
      </c>
      <c r="U55" s="3" t="s">
        <v>63</v>
      </c>
      <c r="V55" s="3" t="s">
        <v>68</v>
      </c>
      <c r="W55" s="3" t="s">
        <v>63</v>
      </c>
      <c r="X55" s="3" t="s">
        <v>440</v>
      </c>
      <c r="Y55" s="3" t="s">
        <v>29</v>
      </c>
      <c r="Z55" t="s">
        <v>284</v>
      </c>
      <c r="AB55" s="3" t="s">
        <v>91</v>
      </c>
      <c r="AE55" t="s">
        <v>59</v>
      </c>
      <c r="AH55" s="3" t="s">
        <v>68</v>
      </c>
      <c r="AI55" s="3" t="s">
        <v>29</v>
      </c>
      <c r="AJ55" t="s">
        <v>60</v>
      </c>
      <c r="AL55" s="3" t="s">
        <v>29</v>
      </c>
      <c r="AN55" s="3" t="s">
        <v>29</v>
      </c>
      <c r="AP55" s="3" t="s">
        <v>143</v>
      </c>
      <c r="AS55" s="3" t="s">
        <v>30</v>
      </c>
      <c r="AT55" s="3"/>
      <c r="AU55" s="3" t="s">
        <v>196</v>
      </c>
    </row>
    <row r="56" spans="1:47">
      <c r="A56" t="s">
        <v>276</v>
      </c>
      <c r="B56" s="3" t="s">
        <v>136</v>
      </c>
      <c r="C56" s="3" t="s">
        <v>27</v>
      </c>
      <c r="D56" s="3" t="s">
        <v>18</v>
      </c>
      <c r="E56" s="3" t="s">
        <v>29</v>
      </c>
      <c r="F56" s="3" t="s">
        <v>28</v>
      </c>
      <c r="G56" s="4">
        <f t="shared" ca="1" si="0"/>
        <v>44265.406385532406</v>
      </c>
      <c r="H56" s="3" t="s">
        <v>228</v>
      </c>
      <c r="I56" s="3"/>
      <c r="J56" s="3" t="s">
        <v>189</v>
      </c>
      <c r="K56" s="3" t="s">
        <v>228</v>
      </c>
      <c r="L56" s="3" t="s">
        <v>91</v>
      </c>
      <c r="M56" s="3" t="s">
        <v>445</v>
      </c>
      <c r="N56" s="3" t="s">
        <v>91</v>
      </c>
      <c r="P56" s="3" t="s">
        <v>91</v>
      </c>
      <c r="Q56" s="3" t="s">
        <v>91</v>
      </c>
      <c r="R56" s="3"/>
      <c r="S56" s="3"/>
      <c r="T56" s="3" t="s">
        <v>91</v>
      </c>
      <c r="U56" s="3" t="s">
        <v>496</v>
      </c>
      <c r="V56" s="3" t="s">
        <v>319</v>
      </c>
      <c r="W56" s="3" t="s">
        <v>63</v>
      </c>
      <c r="X56" s="3" t="s">
        <v>440</v>
      </c>
      <c r="Y56" s="3" t="s">
        <v>29</v>
      </c>
      <c r="Z56" t="s">
        <v>284</v>
      </c>
      <c r="AB56" s="3" t="s">
        <v>91</v>
      </c>
      <c r="AE56" t="s">
        <v>59</v>
      </c>
      <c r="AH56" s="3" t="s">
        <v>197</v>
      </c>
      <c r="AI56" s="3" t="s">
        <v>91</v>
      </c>
      <c r="AJ56" t="s">
        <v>60</v>
      </c>
      <c r="AL56" s="3" t="s">
        <v>29</v>
      </c>
      <c r="AN56" s="3" t="s">
        <v>29</v>
      </c>
      <c r="AP56" s="3" t="s">
        <v>143</v>
      </c>
      <c r="AS56" s="3" t="s">
        <v>30</v>
      </c>
      <c r="AT56" s="3"/>
      <c r="AU56" s="3" t="s">
        <v>196</v>
      </c>
    </row>
    <row r="57" spans="1:47">
      <c r="A57" t="s">
        <v>276</v>
      </c>
      <c r="B57" s="3" t="s">
        <v>136</v>
      </c>
      <c r="C57" s="3" t="s">
        <v>27</v>
      </c>
      <c r="D57" s="3" t="s">
        <v>18</v>
      </c>
      <c r="E57" s="3" t="s">
        <v>29</v>
      </c>
      <c r="F57" s="3" t="s">
        <v>28</v>
      </c>
      <c r="G57" s="4">
        <f t="shared" ca="1" si="0"/>
        <v>44265.406385532406</v>
      </c>
      <c r="H57" s="3" t="s">
        <v>228</v>
      </c>
      <c r="I57" s="3"/>
      <c r="J57" s="3" t="s">
        <v>189</v>
      </c>
      <c r="K57" s="3" t="s">
        <v>228</v>
      </c>
      <c r="L57" s="3" t="s">
        <v>91</v>
      </c>
      <c r="M57" s="3" t="s">
        <v>452</v>
      </c>
      <c r="N57" s="3" t="s">
        <v>91</v>
      </c>
      <c r="P57" s="3" t="s">
        <v>91</v>
      </c>
      <c r="Q57" s="3" t="s">
        <v>91</v>
      </c>
      <c r="R57" s="3"/>
      <c r="S57" s="3"/>
      <c r="T57" s="3" t="s">
        <v>91</v>
      </c>
      <c r="U57" s="3" t="s">
        <v>497</v>
      </c>
      <c r="V57" s="3" t="s">
        <v>320</v>
      </c>
      <c r="W57" s="3" t="s">
        <v>63</v>
      </c>
      <c r="X57" s="3" t="s">
        <v>440</v>
      </c>
      <c r="Y57" s="3" t="s">
        <v>29</v>
      </c>
      <c r="Z57" t="s">
        <v>284</v>
      </c>
      <c r="AB57" s="3" t="s">
        <v>91</v>
      </c>
      <c r="AE57" t="s">
        <v>59</v>
      </c>
      <c r="AH57" s="3" t="s">
        <v>197</v>
      </c>
      <c r="AI57" s="3" t="s">
        <v>91</v>
      </c>
      <c r="AJ57" t="s">
        <v>60</v>
      </c>
      <c r="AL57" s="3" t="s">
        <v>29</v>
      </c>
      <c r="AN57" s="3" t="s">
        <v>29</v>
      </c>
      <c r="AP57" s="3" t="s">
        <v>143</v>
      </c>
      <c r="AS57" s="3" t="s">
        <v>30</v>
      </c>
      <c r="AT57" s="3"/>
      <c r="AU57" s="3" t="s">
        <v>488</v>
      </c>
    </row>
    <row r="58" spans="1:47">
      <c r="A58" t="s">
        <v>276</v>
      </c>
      <c r="B58" s="3" t="s">
        <v>136</v>
      </c>
      <c r="C58" s="3" t="s">
        <v>27</v>
      </c>
      <c r="D58" s="3" t="s">
        <v>18</v>
      </c>
      <c r="E58" s="3" t="s">
        <v>29</v>
      </c>
      <c r="F58" s="3" t="s">
        <v>28</v>
      </c>
      <c r="G58" s="4">
        <f t="shared" ca="1" si="0"/>
        <v>44265.406385532406</v>
      </c>
      <c r="H58" s="3" t="s">
        <v>228</v>
      </c>
      <c r="I58" s="3"/>
      <c r="J58" s="3" t="s">
        <v>189</v>
      </c>
      <c r="K58" s="3" t="s">
        <v>228</v>
      </c>
      <c r="L58" s="3" t="s">
        <v>91</v>
      </c>
      <c r="M58" s="3" t="s">
        <v>454</v>
      </c>
      <c r="N58" s="3" t="s">
        <v>91</v>
      </c>
      <c r="P58" s="3" t="s">
        <v>91</v>
      </c>
      <c r="Q58" s="3" t="s">
        <v>91</v>
      </c>
      <c r="R58" s="3"/>
      <c r="S58" s="3"/>
      <c r="T58" s="3" t="s">
        <v>91</v>
      </c>
      <c r="U58" s="3" t="s">
        <v>90</v>
      </c>
      <c r="V58" s="3" t="s">
        <v>322</v>
      </c>
      <c r="W58" s="3" t="s">
        <v>63</v>
      </c>
      <c r="X58" s="3" t="s">
        <v>456</v>
      </c>
      <c r="Y58" s="3" t="s">
        <v>29</v>
      </c>
      <c r="Z58" t="s">
        <v>284</v>
      </c>
      <c r="AB58" s="3" t="s">
        <v>91</v>
      </c>
      <c r="AE58" t="s">
        <v>59</v>
      </c>
      <c r="AH58" s="3" t="s">
        <v>324</v>
      </c>
      <c r="AI58" s="3" t="s">
        <v>90</v>
      </c>
      <c r="AJ58" t="s">
        <v>60</v>
      </c>
      <c r="AL58" s="3" t="s">
        <v>29</v>
      </c>
      <c r="AN58" s="3" t="s">
        <v>29</v>
      </c>
      <c r="AP58" s="3" t="s">
        <v>143</v>
      </c>
      <c r="AS58" s="3" t="s">
        <v>30</v>
      </c>
      <c r="AT58" s="3"/>
      <c r="AU58" s="3" t="s">
        <v>196</v>
      </c>
    </row>
    <row r="59" spans="1:47">
      <c r="A59" t="s">
        <v>276</v>
      </c>
      <c r="B59" s="3" t="s">
        <v>136</v>
      </c>
      <c r="C59" s="3" t="s">
        <v>27</v>
      </c>
      <c r="D59" s="3" t="s">
        <v>18</v>
      </c>
      <c r="E59" s="3" t="s">
        <v>29</v>
      </c>
      <c r="F59" s="3" t="s">
        <v>28</v>
      </c>
      <c r="G59" s="4">
        <f t="shared" ca="1" si="0"/>
        <v>44265.406385532406</v>
      </c>
      <c r="H59" s="3" t="s">
        <v>228</v>
      </c>
      <c r="I59" s="3"/>
      <c r="J59" s="3" t="s">
        <v>189</v>
      </c>
      <c r="K59" s="3" t="s">
        <v>228</v>
      </c>
      <c r="L59" s="3" t="s">
        <v>91</v>
      </c>
      <c r="M59" s="3" t="s">
        <v>455</v>
      </c>
      <c r="N59" s="3" t="s">
        <v>91</v>
      </c>
      <c r="P59" s="3" t="s">
        <v>91</v>
      </c>
      <c r="Q59" s="3" t="s">
        <v>91</v>
      </c>
      <c r="R59" s="3"/>
      <c r="S59" s="3"/>
      <c r="T59" s="3" t="s">
        <v>91</v>
      </c>
      <c r="U59" s="3" t="s">
        <v>90</v>
      </c>
      <c r="V59" s="3" t="s">
        <v>323</v>
      </c>
      <c r="W59" s="3" t="s">
        <v>63</v>
      </c>
      <c r="X59" s="3" t="s">
        <v>456</v>
      </c>
      <c r="Y59" s="3" t="s">
        <v>29</v>
      </c>
      <c r="Z59" t="s">
        <v>284</v>
      </c>
      <c r="AB59" s="3" t="s">
        <v>91</v>
      </c>
      <c r="AE59" t="s">
        <v>59</v>
      </c>
      <c r="AH59" s="3" t="s">
        <v>325</v>
      </c>
      <c r="AI59" s="3" t="s">
        <v>90</v>
      </c>
      <c r="AJ59" t="s">
        <v>60</v>
      </c>
      <c r="AL59" s="3" t="s">
        <v>29</v>
      </c>
      <c r="AN59" s="3" t="s">
        <v>29</v>
      </c>
      <c r="AP59" s="3" t="s">
        <v>143</v>
      </c>
      <c r="AS59" s="3" t="s">
        <v>30</v>
      </c>
      <c r="AT59" s="3"/>
      <c r="AU59" s="3" t="s">
        <v>196</v>
      </c>
    </row>
    <row r="60" spans="1:47">
      <c r="A60" t="s">
        <v>274</v>
      </c>
      <c r="B60" s="3" t="s">
        <v>26</v>
      </c>
      <c r="C60" s="3" t="s">
        <v>27</v>
      </c>
      <c r="D60" s="3" t="s">
        <v>18</v>
      </c>
      <c r="E60" s="3" t="s">
        <v>29</v>
      </c>
      <c r="F60" s="3" t="s">
        <v>28</v>
      </c>
      <c r="G60" s="4">
        <f t="shared" ca="1" si="0"/>
        <v>44265.406385532406</v>
      </c>
      <c r="H60" s="3" t="s">
        <v>229</v>
      </c>
      <c r="I60" s="3"/>
      <c r="J60" s="3" t="s">
        <v>189</v>
      </c>
      <c r="K60" s="3" t="s">
        <v>229</v>
      </c>
      <c r="L60" s="3" t="s">
        <v>91</v>
      </c>
      <c r="M60" s="3" t="s">
        <v>221</v>
      </c>
      <c r="N60" s="3" t="s">
        <v>91</v>
      </c>
      <c r="P60" s="3" t="s">
        <v>91</v>
      </c>
      <c r="Q60" s="3" t="s">
        <v>91</v>
      </c>
      <c r="R60" s="3"/>
      <c r="S60" s="3"/>
      <c r="T60" s="3" t="s">
        <v>91</v>
      </c>
      <c r="U60" s="3" t="s">
        <v>29</v>
      </c>
      <c r="V60" t="s">
        <v>138</v>
      </c>
      <c r="W60" s="3" t="s">
        <v>63</v>
      </c>
      <c r="X60" s="3" t="s">
        <v>477</v>
      </c>
      <c r="Y60" s="3" t="s">
        <v>392</v>
      </c>
      <c r="Z60" t="s">
        <v>393</v>
      </c>
      <c r="AB60" s="3" t="s">
        <v>91</v>
      </c>
      <c r="AE60" t="s">
        <v>59</v>
      </c>
      <c r="AH60" t="s">
        <v>138</v>
      </c>
      <c r="AI60" s="3" t="s">
        <v>29</v>
      </c>
      <c r="AJ60" t="s">
        <v>60</v>
      </c>
      <c r="AL60" s="3" t="s">
        <v>29</v>
      </c>
      <c r="AN60" s="3" t="s">
        <v>29</v>
      </c>
      <c r="AP60" s="3" t="s">
        <v>143</v>
      </c>
      <c r="AS60" s="3" t="s">
        <v>30</v>
      </c>
      <c r="AT60" s="3"/>
      <c r="AU60" s="3" t="s">
        <v>196</v>
      </c>
    </row>
    <row r="61" spans="1:47">
      <c r="A61" t="s">
        <v>274</v>
      </c>
      <c r="B61" s="3" t="s">
        <v>136</v>
      </c>
      <c r="C61" s="3" t="s">
        <v>27</v>
      </c>
      <c r="D61" s="3" t="s">
        <v>18</v>
      </c>
      <c r="E61" s="3" t="s">
        <v>29</v>
      </c>
      <c r="F61" s="3" t="s">
        <v>28</v>
      </c>
      <c r="G61" s="4">
        <f t="shared" ca="1" si="0"/>
        <v>44265.406385532406</v>
      </c>
      <c r="H61" s="3" t="s">
        <v>229</v>
      </c>
      <c r="I61" s="3"/>
      <c r="J61" s="3" t="s">
        <v>189</v>
      </c>
      <c r="K61" s="3" t="s">
        <v>229</v>
      </c>
      <c r="L61" s="3" t="s">
        <v>91</v>
      </c>
      <c r="M61" s="3" t="s">
        <v>476</v>
      </c>
      <c r="N61" s="3" t="s">
        <v>91</v>
      </c>
      <c r="P61" s="3" t="s">
        <v>91</v>
      </c>
      <c r="Q61" s="3" t="s">
        <v>91</v>
      </c>
      <c r="R61" s="3"/>
      <c r="S61" s="3"/>
      <c r="T61" s="3" t="s">
        <v>91</v>
      </c>
      <c r="U61" s="3" t="s">
        <v>29</v>
      </c>
      <c r="V61" s="3" t="s">
        <v>91</v>
      </c>
      <c r="W61" s="3" t="s">
        <v>63</v>
      </c>
      <c r="X61" s="3" t="s">
        <v>474</v>
      </c>
      <c r="Y61" s="3" t="s">
        <v>29</v>
      </c>
      <c r="Z61" t="s">
        <v>305</v>
      </c>
      <c r="AB61" s="3" t="s">
        <v>91</v>
      </c>
      <c r="AE61" t="s">
        <v>59</v>
      </c>
      <c r="AH61" s="3" t="s">
        <v>91</v>
      </c>
      <c r="AI61" s="3" t="s">
        <v>29</v>
      </c>
      <c r="AJ61" t="s">
        <v>60</v>
      </c>
      <c r="AL61" s="3" t="s">
        <v>29</v>
      </c>
      <c r="AN61" s="3" t="s">
        <v>29</v>
      </c>
      <c r="AP61" s="3" t="s">
        <v>143</v>
      </c>
      <c r="AS61" s="3" t="s">
        <v>30</v>
      </c>
      <c r="AT61" s="3"/>
      <c r="AU61" s="3" t="s">
        <v>196</v>
      </c>
    </row>
    <row r="62" spans="1:47">
      <c r="A62" t="s">
        <v>274</v>
      </c>
      <c r="B62" s="3" t="s">
        <v>26</v>
      </c>
      <c r="C62" s="3" t="s">
        <v>27</v>
      </c>
      <c r="D62" s="3" t="s">
        <v>18</v>
      </c>
      <c r="E62" s="3" t="s">
        <v>29</v>
      </c>
      <c r="F62" s="3" t="s">
        <v>28</v>
      </c>
      <c r="G62" s="4">
        <f t="shared" ca="1" si="0"/>
        <v>44265.406385532406</v>
      </c>
      <c r="H62" s="3" t="s">
        <v>229</v>
      </c>
      <c r="I62" s="3"/>
      <c r="J62" s="3" t="s">
        <v>189</v>
      </c>
      <c r="K62" s="3" t="s">
        <v>229</v>
      </c>
      <c r="L62" s="3" t="s">
        <v>61</v>
      </c>
      <c r="M62" s="3" t="s">
        <v>512</v>
      </c>
      <c r="N62" s="3" t="s">
        <v>61</v>
      </c>
      <c r="P62" s="3" t="s">
        <v>61</v>
      </c>
      <c r="Q62" s="3" t="s">
        <v>61</v>
      </c>
      <c r="R62" s="3"/>
      <c r="S62" s="3"/>
      <c r="T62" s="3" t="s">
        <v>61</v>
      </c>
      <c r="U62" s="3" t="s">
        <v>29</v>
      </c>
      <c r="V62" t="s">
        <v>138</v>
      </c>
      <c r="W62" s="3" t="s">
        <v>63</v>
      </c>
      <c r="X62" s="3" t="s">
        <v>511</v>
      </c>
      <c r="Y62" s="3" t="s">
        <v>63</v>
      </c>
      <c r="Z62" t="s">
        <v>287</v>
      </c>
      <c r="AB62" s="3" t="s">
        <v>61</v>
      </c>
      <c r="AE62" t="s">
        <v>59</v>
      </c>
      <c r="AH62" t="s">
        <v>138</v>
      </c>
      <c r="AI62" s="3" t="s">
        <v>29</v>
      </c>
      <c r="AJ62" t="s">
        <v>60</v>
      </c>
      <c r="AL62" s="3" t="s">
        <v>29</v>
      </c>
      <c r="AN62" s="3" t="s">
        <v>29</v>
      </c>
      <c r="AP62" s="3" t="s">
        <v>143</v>
      </c>
      <c r="AS62" s="3" t="s">
        <v>30</v>
      </c>
      <c r="AT62" s="3"/>
      <c r="AU62" s="3" t="s">
        <v>196</v>
      </c>
    </row>
    <row r="63" spans="1:47">
      <c r="A63" t="s">
        <v>274</v>
      </c>
      <c r="B63" s="3" t="s">
        <v>136</v>
      </c>
      <c r="C63" s="3" t="s">
        <v>27</v>
      </c>
      <c r="D63" s="3" t="s">
        <v>18</v>
      </c>
      <c r="E63" s="3" t="s">
        <v>29</v>
      </c>
      <c r="F63" s="3" t="s">
        <v>28</v>
      </c>
      <c r="G63" s="4">
        <f t="shared" ca="1" si="0"/>
        <v>44265.406385532406</v>
      </c>
      <c r="H63" s="3" t="s">
        <v>229</v>
      </c>
      <c r="I63" s="3"/>
      <c r="J63" s="3" t="s">
        <v>189</v>
      </c>
      <c r="K63" s="3" t="s">
        <v>229</v>
      </c>
      <c r="L63" s="3" t="s">
        <v>61</v>
      </c>
      <c r="M63" s="3" t="s">
        <v>513</v>
      </c>
      <c r="N63" s="3" t="s">
        <v>61</v>
      </c>
      <c r="P63" s="3" t="s">
        <v>61</v>
      </c>
      <c r="Q63" s="3" t="s">
        <v>61</v>
      </c>
      <c r="R63" s="3"/>
      <c r="S63" s="3"/>
      <c r="T63" s="3" t="s">
        <v>61</v>
      </c>
      <c r="U63" s="3" t="s">
        <v>29</v>
      </c>
      <c r="V63" s="3" t="s">
        <v>61</v>
      </c>
      <c r="W63" s="3" t="s">
        <v>63</v>
      </c>
      <c r="X63" s="3" t="s">
        <v>514</v>
      </c>
      <c r="Y63" s="3" t="s">
        <v>63</v>
      </c>
      <c r="Z63" t="s">
        <v>287</v>
      </c>
      <c r="AB63" s="3" t="s">
        <v>61</v>
      </c>
      <c r="AE63" t="s">
        <v>59</v>
      </c>
      <c r="AH63" s="3" t="s">
        <v>61</v>
      </c>
      <c r="AI63" s="3" t="s">
        <v>29</v>
      </c>
      <c r="AJ63" t="s">
        <v>60</v>
      </c>
      <c r="AL63" s="3" t="s">
        <v>29</v>
      </c>
      <c r="AN63" s="3" t="s">
        <v>29</v>
      </c>
      <c r="AP63" s="3" t="s">
        <v>143</v>
      </c>
      <c r="AS63" s="3" t="s">
        <v>30</v>
      </c>
      <c r="AT63" s="3"/>
      <c r="AU63" s="3" t="s">
        <v>196</v>
      </c>
    </row>
    <row r="64" spans="1:47">
      <c r="A64" t="s">
        <v>276</v>
      </c>
      <c r="B64" s="3" t="s">
        <v>136</v>
      </c>
      <c r="C64" s="3" t="s">
        <v>27</v>
      </c>
      <c r="D64" s="3" t="s">
        <v>18</v>
      </c>
      <c r="E64" s="3" t="s">
        <v>29</v>
      </c>
      <c r="F64" s="3" t="s">
        <v>28</v>
      </c>
      <c r="G64" s="4">
        <f t="shared" ca="1" si="0"/>
        <v>44265.406385532406</v>
      </c>
      <c r="H64" s="3" t="s">
        <v>228</v>
      </c>
      <c r="I64" s="3"/>
      <c r="J64" s="3" t="s">
        <v>189</v>
      </c>
      <c r="K64" s="3" t="s">
        <v>228</v>
      </c>
      <c r="L64" s="3" t="s">
        <v>61</v>
      </c>
      <c r="M64" s="3" t="s">
        <v>508</v>
      </c>
      <c r="N64" s="3" t="s">
        <v>61</v>
      </c>
      <c r="P64" s="3" t="s">
        <v>61</v>
      </c>
      <c r="Q64" s="3" t="s">
        <v>61</v>
      </c>
      <c r="R64" s="3"/>
      <c r="S64" s="3"/>
      <c r="T64" s="3" t="s">
        <v>61</v>
      </c>
      <c r="U64" s="3" t="s">
        <v>29</v>
      </c>
      <c r="V64" s="3" t="s">
        <v>68</v>
      </c>
      <c r="W64" s="3" t="s">
        <v>63</v>
      </c>
      <c r="X64" s="3" t="s">
        <v>510</v>
      </c>
      <c r="Y64" s="3" t="s">
        <v>219</v>
      </c>
      <c r="Z64" t="s">
        <v>286</v>
      </c>
      <c r="AB64" s="3" t="s">
        <v>61</v>
      </c>
      <c r="AE64" t="s">
        <v>59</v>
      </c>
      <c r="AH64" s="3" t="s">
        <v>68</v>
      </c>
      <c r="AI64" s="3" t="s">
        <v>29</v>
      </c>
      <c r="AJ64" t="s">
        <v>60</v>
      </c>
      <c r="AL64" s="3" t="s">
        <v>29</v>
      </c>
      <c r="AN64" s="3" t="s">
        <v>29</v>
      </c>
      <c r="AP64" s="3" t="s">
        <v>143</v>
      </c>
      <c r="AS64" s="3" t="s">
        <v>30</v>
      </c>
      <c r="AT64" s="3"/>
      <c r="AU64" s="3" t="s">
        <v>196</v>
      </c>
    </row>
    <row r="65" spans="1:47">
      <c r="A65" t="s">
        <v>276</v>
      </c>
      <c r="B65" s="3" t="s">
        <v>136</v>
      </c>
      <c r="C65" s="3" t="s">
        <v>27</v>
      </c>
      <c r="D65" s="3" t="s">
        <v>18</v>
      </c>
      <c r="E65" s="3" t="s">
        <v>29</v>
      </c>
      <c r="F65" s="3" t="s">
        <v>28</v>
      </c>
      <c r="G65" s="4">
        <f t="shared" ca="1" si="0"/>
        <v>44265.406385532406</v>
      </c>
      <c r="H65" s="3" t="s">
        <v>228</v>
      </c>
      <c r="I65" s="3"/>
      <c r="J65" s="3" t="s">
        <v>189</v>
      </c>
      <c r="K65" s="3" t="s">
        <v>228</v>
      </c>
      <c r="L65" s="3" t="s">
        <v>61</v>
      </c>
      <c r="M65" s="3" t="s">
        <v>508</v>
      </c>
      <c r="N65" s="3" t="s">
        <v>61</v>
      </c>
      <c r="P65" s="3" t="s">
        <v>61</v>
      </c>
      <c r="Q65" s="3" t="s">
        <v>61</v>
      </c>
      <c r="R65" s="3"/>
      <c r="S65" s="3"/>
      <c r="T65" s="3" t="s">
        <v>61</v>
      </c>
      <c r="U65" s="3" t="s">
        <v>29</v>
      </c>
      <c r="V65" s="3" t="s">
        <v>220</v>
      </c>
      <c r="W65" s="3" t="s">
        <v>63</v>
      </c>
      <c r="X65" s="3" t="s">
        <v>510</v>
      </c>
      <c r="Y65" s="3" t="s">
        <v>219</v>
      </c>
      <c r="Z65" t="s">
        <v>286</v>
      </c>
      <c r="AB65" s="3" t="s">
        <v>61</v>
      </c>
      <c r="AE65" t="s">
        <v>59</v>
      </c>
      <c r="AH65" s="3" t="s">
        <v>197</v>
      </c>
      <c r="AI65" s="3" t="s">
        <v>91</v>
      </c>
      <c r="AJ65" t="s">
        <v>60</v>
      </c>
      <c r="AL65" s="3" t="s">
        <v>29</v>
      </c>
      <c r="AN65" s="3" t="s">
        <v>29</v>
      </c>
      <c r="AP65" s="3" t="s">
        <v>143</v>
      </c>
      <c r="AS65" s="3" t="s">
        <v>30</v>
      </c>
      <c r="AT65" s="3"/>
      <c r="AU65" s="3" t="s">
        <v>196</v>
      </c>
    </row>
    <row r="66" spans="1:47">
      <c r="A66" t="s">
        <v>276</v>
      </c>
      <c r="B66" s="3" t="s">
        <v>136</v>
      </c>
      <c r="C66" s="3" t="s">
        <v>27</v>
      </c>
      <c r="D66" s="3" t="s">
        <v>18</v>
      </c>
      <c r="E66" s="3" t="s">
        <v>29</v>
      </c>
      <c r="F66" s="3" t="s">
        <v>28</v>
      </c>
      <c r="G66" s="4">
        <f t="shared" ca="1" si="0"/>
        <v>44265.406385532406</v>
      </c>
      <c r="H66" s="3" t="s">
        <v>228</v>
      </c>
      <c r="I66" s="3"/>
      <c r="J66" s="3" t="s">
        <v>189</v>
      </c>
      <c r="K66" s="3" t="s">
        <v>228</v>
      </c>
      <c r="L66" s="3" t="s">
        <v>61</v>
      </c>
      <c r="M66" s="3" t="s">
        <v>518</v>
      </c>
      <c r="N66" s="3" t="s">
        <v>61</v>
      </c>
      <c r="P66" s="3" t="s">
        <v>61</v>
      </c>
      <c r="Q66" s="3" t="s">
        <v>61</v>
      </c>
      <c r="R66" s="3"/>
      <c r="S66" s="3"/>
      <c r="T66" s="3" t="s">
        <v>61</v>
      </c>
      <c r="U66" s="3" t="s">
        <v>29</v>
      </c>
      <c r="V66" s="3" t="s">
        <v>220</v>
      </c>
      <c r="W66" s="3" t="s">
        <v>63</v>
      </c>
      <c r="X66" s="3" t="s">
        <v>510</v>
      </c>
      <c r="Y66" s="3" t="s">
        <v>219</v>
      </c>
      <c r="Z66" t="s">
        <v>286</v>
      </c>
      <c r="AB66" s="3" t="s">
        <v>61</v>
      </c>
      <c r="AE66" t="s">
        <v>59</v>
      </c>
      <c r="AH66" s="3" t="s">
        <v>197</v>
      </c>
      <c r="AI66" s="3" t="s">
        <v>91</v>
      </c>
      <c r="AJ66" t="s">
        <v>60</v>
      </c>
      <c r="AL66" s="3" t="s">
        <v>29</v>
      </c>
      <c r="AN66" s="3" t="s">
        <v>29</v>
      </c>
      <c r="AP66" s="3" t="s">
        <v>143</v>
      </c>
      <c r="AS66" s="3" t="s">
        <v>30</v>
      </c>
      <c r="AT66" s="3"/>
      <c r="AU66" s="3" t="s">
        <v>487</v>
      </c>
    </row>
    <row r="67" spans="1:47">
      <c r="A67" t="s">
        <v>276</v>
      </c>
      <c r="B67" s="3" t="s">
        <v>136</v>
      </c>
      <c r="C67" s="3" t="s">
        <v>27</v>
      </c>
      <c r="D67" s="3" t="s">
        <v>18</v>
      </c>
      <c r="E67" s="3" t="s">
        <v>29</v>
      </c>
      <c r="F67" s="3" t="s">
        <v>28</v>
      </c>
      <c r="G67" s="4">
        <f t="shared" ca="1" si="0"/>
        <v>44265.406385532406</v>
      </c>
      <c r="H67" s="3" t="s">
        <v>228</v>
      </c>
      <c r="I67" s="3"/>
      <c r="J67" s="3" t="s">
        <v>189</v>
      </c>
      <c r="K67" s="3" t="s">
        <v>228</v>
      </c>
      <c r="L67" s="3" t="s">
        <v>61</v>
      </c>
      <c r="M67" s="3" t="s">
        <v>516</v>
      </c>
      <c r="N67" s="3" t="s">
        <v>61</v>
      </c>
      <c r="P67" s="3" t="s">
        <v>61</v>
      </c>
      <c r="Q67" s="3" t="s">
        <v>61</v>
      </c>
      <c r="R67" s="3"/>
      <c r="S67" s="3"/>
      <c r="T67" s="3" t="s">
        <v>61</v>
      </c>
      <c r="U67" s="3" t="s">
        <v>523</v>
      </c>
      <c r="V67" s="3" t="s">
        <v>191</v>
      </c>
      <c r="W67" s="3" t="s">
        <v>63</v>
      </c>
      <c r="X67" s="3" t="s">
        <v>528</v>
      </c>
      <c r="Y67" s="3" t="s">
        <v>219</v>
      </c>
      <c r="Z67" t="s">
        <v>286</v>
      </c>
      <c r="AB67" s="3" t="s">
        <v>61</v>
      </c>
      <c r="AE67" t="s">
        <v>95</v>
      </c>
      <c r="AH67" s="3" t="s">
        <v>191</v>
      </c>
      <c r="AI67" s="3" t="s">
        <v>90</v>
      </c>
      <c r="AJ67" t="s">
        <v>60</v>
      </c>
      <c r="AL67" s="3" t="s">
        <v>29</v>
      </c>
      <c r="AN67" s="3" t="s">
        <v>29</v>
      </c>
      <c r="AP67" s="3" t="s">
        <v>143</v>
      </c>
      <c r="AS67" s="3" t="s">
        <v>30</v>
      </c>
      <c r="AT67" s="3"/>
      <c r="AU67" s="3" t="s">
        <v>196</v>
      </c>
    </row>
    <row r="68" spans="1:47">
      <c r="A68" t="s">
        <v>276</v>
      </c>
      <c r="B68" s="3" t="s">
        <v>136</v>
      </c>
      <c r="C68" s="3" t="s">
        <v>27</v>
      </c>
      <c r="D68" s="3" t="s">
        <v>18</v>
      </c>
      <c r="E68" s="3" t="s">
        <v>29</v>
      </c>
      <c r="F68" s="3" t="s">
        <v>28</v>
      </c>
      <c r="G68" s="4">
        <f t="shared" ca="1" si="0"/>
        <v>44265.406385532406</v>
      </c>
      <c r="H68" s="3" t="s">
        <v>228</v>
      </c>
      <c r="I68" s="3"/>
      <c r="J68" s="3" t="s">
        <v>189</v>
      </c>
      <c r="K68" s="3" t="s">
        <v>228</v>
      </c>
      <c r="L68" s="3" t="s">
        <v>61</v>
      </c>
      <c r="M68" s="3" t="s">
        <v>522</v>
      </c>
      <c r="N68" s="3" t="s">
        <v>61</v>
      </c>
      <c r="P68" s="3" t="s">
        <v>61</v>
      </c>
      <c r="Q68" s="3" t="s">
        <v>61</v>
      </c>
      <c r="R68" s="3"/>
      <c r="S68" s="3"/>
      <c r="T68" s="3" t="s">
        <v>61</v>
      </c>
      <c r="U68" s="3" t="s">
        <v>521</v>
      </c>
      <c r="V68" s="3" t="s">
        <v>191</v>
      </c>
      <c r="W68" s="3" t="s">
        <v>63</v>
      </c>
      <c r="X68" s="3" t="s">
        <v>528</v>
      </c>
      <c r="Y68" s="3" t="s">
        <v>219</v>
      </c>
      <c r="Z68" t="s">
        <v>286</v>
      </c>
      <c r="AB68" s="3" t="s">
        <v>61</v>
      </c>
      <c r="AE68" t="s">
        <v>59</v>
      </c>
      <c r="AH68" s="3" t="s">
        <v>191</v>
      </c>
      <c r="AI68" s="3" t="s">
        <v>524</v>
      </c>
      <c r="AJ68" t="s">
        <v>60</v>
      </c>
      <c r="AL68" s="3" t="s">
        <v>29</v>
      </c>
      <c r="AN68" s="3" t="s">
        <v>29</v>
      </c>
      <c r="AP68" s="3" t="s">
        <v>143</v>
      </c>
      <c r="AS68" s="3" t="s">
        <v>30</v>
      </c>
      <c r="AT68" s="3" t="s">
        <v>569</v>
      </c>
      <c r="AU68" s="3" t="s">
        <v>571</v>
      </c>
    </row>
    <row r="69" spans="1:47">
      <c r="A69" t="s">
        <v>276</v>
      </c>
      <c r="B69" s="3" t="s">
        <v>136</v>
      </c>
      <c r="C69" s="3" t="s">
        <v>27</v>
      </c>
      <c r="D69" s="3" t="s">
        <v>18</v>
      </c>
      <c r="E69" s="3" t="s">
        <v>29</v>
      </c>
      <c r="F69" s="3" t="s">
        <v>28</v>
      </c>
      <c r="G69" s="4">
        <f t="shared" ref="G69" ca="1" si="1">NOW()</f>
        <v>44265.406385532406</v>
      </c>
      <c r="H69" s="3" t="s">
        <v>228</v>
      </c>
      <c r="I69" s="3"/>
      <c r="J69" s="3" t="s">
        <v>189</v>
      </c>
      <c r="K69" s="3" t="s">
        <v>228</v>
      </c>
      <c r="L69" s="3" t="s">
        <v>61</v>
      </c>
      <c r="M69" s="3" t="s">
        <v>516</v>
      </c>
      <c r="N69" s="3" t="s">
        <v>61</v>
      </c>
      <c r="P69" s="3" t="s">
        <v>61</v>
      </c>
      <c r="Q69" s="3" t="s">
        <v>61</v>
      </c>
      <c r="R69" s="3"/>
      <c r="S69" s="3"/>
      <c r="T69" s="3" t="s">
        <v>61</v>
      </c>
      <c r="U69" s="3" t="s">
        <v>520</v>
      </c>
      <c r="V69" s="3" t="s">
        <v>525</v>
      </c>
      <c r="W69" s="3" t="s">
        <v>63</v>
      </c>
      <c r="X69" s="3" t="s">
        <v>526</v>
      </c>
      <c r="Y69" s="3" t="s">
        <v>219</v>
      </c>
      <c r="Z69" t="s">
        <v>286</v>
      </c>
      <c r="AB69" s="3" t="s">
        <v>61</v>
      </c>
      <c r="AE69" t="s">
        <v>95</v>
      </c>
      <c r="AH69" s="3" t="s">
        <v>61</v>
      </c>
      <c r="AI69" s="3" t="s">
        <v>519</v>
      </c>
      <c r="AJ69" t="s">
        <v>60</v>
      </c>
      <c r="AL69" s="3" t="s">
        <v>29</v>
      </c>
      <c r="AN69" s="3" t="s">
        <v>29</v>
      </c>
      <c r="AP69" s="3" t="s">
        <v>143</v>
      </c>
      <c r="AS69" s="3" t="s">
        <v>30</v>
      </c>
      <c r="AU69" s="3" t="s">
        <v>196</v>
      </c>
    </row>
    <row r="70" spans="1:47">
      <c r="A70" t="s">
        <v>276</v>
      </c>
      <c r="B70" s="3" t="s">
        <v>136</v>
      </c>
      <c r="C70" s="3" t="s">
        <v>27</v>
      </c>
      <c r="D70" s="3" t="s">
        <v>18</v>
      </c>
      <c r="E70" s="3" t="s">
        <v>29</v>
      </c>
      <c r="F70" s="3" t="s">
        <v>28</v>
      </c>
      <c r="G70" s="4">
        <f t="shared" ca="1" si="0"/>
        <v>44265.406385532406</v>
      </c>
      <c r="H70" s="3" t="s">
        <v>228</v>
      </c>
      <c r="I70" s="3"/>
      <c r="J70" s="3" t="s">
        <v>189</v>
      </c>
      <c r="K70" s="3" t="s">
        <v>228</v>
      </c>
      <c r="L70" s="3" t="s">
        <v>61</v>
      </c>
      <c r="M70" s="3" t="s">
        <v>522</v>
      </c>
      <c r="N70" s="3" t="s">
        <v>61</v>
      </c>
      <c r="P70" s="3" t="s">
        <v>61</v>
      </c>
      <c r="Q70" s="3" t="s">
        <v>61</v>
      </c>
      <c r="R70" s="3"/>
      <c r="S70" s="3"/>
      <c r="T70" s="3" t="s">
        <v>61</v>
      </c>
      <c r="U70" s="3" t="s">
        <v>521</v>
      </c>
      <c r="V70" s="3" t="s">
        <v>525</v>
      </c>
      <c r="W70" s="3" t="s">
        <v>63</v>
      </c>
      <c r="X70" s="3" t="s">
        <v>526</v>
      </c>
      <c r="Y70" s="3" t="s">
        <v>219</v>
      </c>
      <c r="Z70" t="s">
        <v>286</v>
      </c>
      <c r="AB70" s="3" t="s">
        <v>61</v>
      </c>
      <c r="AE70" t="s">
        <v>59</v>
      </c>
      <c r="AH70" s="3" t="s">
        <v>61</v>
      </c>
      <c r="AI70" s="3" t="s">
        <v>524</v>
      </c>
      <c r="AJ70" t="s">
        <v>60</v>
      </c>
      <c r="AL70" s="3" t="s">
        <v>29</v>
      </c>
      <c r="AN70" s="3" t="s">
        <v>29</v>
      </c>
      <c r="AP70" s="3" t="s">
        <v>143</v>
      </c>
      <c r="AS70" s="3" t="s">
        <v>30</v>
      </c>
      <c r="AT70" s="3" t="s">
        <v>569</v>
      </c>
      <c r="AU70" s="3" t="s">
        <v>570</v>
      </c>
    </row>
    <row r="71" spans="1:47">
      <c r="A71" t="s">
        <v>276</v>
      </c>
      <c r="B71" s="3" t="s">
        <v>136</v>
      </c>
      <c r="C71" s="3" t="s">
        <v>27</v>
      </c>
      <c r="D71" s="3" t="s">
        <v>18</v>
      </c>
      <c r="E71" s="3" t="s">
        <v>29</v>
      </c>
      <c r="F71" s="3" t="s">
        <v>28</v>
      </c>
      <c r="G71" s="4">
        <f t="shared" ca="1" si="0"/>
        <v>44265.406385532406</v>
      </c>
      <c r="H71" s="3" t="s">
        <v>228</v>
      </c>
      <c r="I71" s="3"/>
      <c r="J71" s="3" t="s">
        <v>189</v>
      </c>
      <c r="K71" s="3" t="s">
        <v>228</v>
      </c>
      <c r="L71" s="3" t="s">
        <v>61</v>
      </c>
      <c r="M71" s="3" t="s">
        <v>541</v>
      </c>
      <c r="N71" s="3" t="s">
        <v>61</v>
      </c>
      <c r="P71" s="3" t="s">
        <v>61</v>
      </c>
      <c r="Q71" s="3" t="s">
        <v>61</v>
      </c>
      <c r="R71" s="3"/>
      <c r="S71" s="3"/>
      <c r="T71" s="3" t="s">
        <v>61</v>
      </c>
      <c r="U71" s="3" t="s">
        <v>90</v>
      </c>
      <c r="V71" s="3" t="s">
        <v>68</v>
      </c>
      <c r="W71" s="3" t="s">
        <v>63</v>
      </c>
      <c r="X71" s="3" t="s">
        <v>528</v>
      </c>
      <c r="Y71" s="3" t="s">
        <v>219</v>
      </c>
      <c r="Z71" t="s">
        <v>286</v>
      </c>
      <c r="AB71" s="3" t="s">
        <v>61</v>
      </c>
      <c r="AE71" t="s">
        <v>95</v>
      </c>
      <c r="AH71" s="3" t="s">
        <v>68</v>
      </c>
      <c r="AI71" s="3" t="s">
        <v>90</v>
      </c>
      <c r="AJ71" t="s">
        <v>60</v>
      </c>
      <c r="AL71" s="3" t="s">
        <v>29</v>
      </c>
      <c r="AN71" s="3" t="s">
        <v>29</v>
      </c>
      <c r="AP71" s="3" t="s">
        <v>143</v>
      </c>
      <c r="AS71" s="3" t="s">
        <v>30</v>
      </c>
      <c r="AT71" s="3"/>
      <c r="AU71" s="3" t="s">
        <v>196</v>
      </c>
    </row>
    <row r="72" spans="1:47">
      <c r="A72" t="s">
        <v>276</v>
      </c>
      <c r="B72" s="3" t="s">
        <v>136</v>
      </c>
      <c r="C72" s="3" t="s">
        <v>27</v>
      </c>
      <c r="D72" s="3" t="s">
        <v>18</v>
      </c>
      <c r="E72" s="3" t="s">
        <v>29</v>
      </c>
      <c r="F72" s="3" t="s">
        <v>28</v>
      </c>
      <c r="G72" s="4">
        <f t="shared" ref="G72:G129" ca="1" si="2">NOW()</f>
        <v>44265.406385532406</v>
      </c>
      <c r="H72" s="3" t="s">
        <v>228</v>
      </c>
      <c r="I72" s="3"/>
      <c r="J72" s="3" t="s">
        <v>189</v>
      </c>
      <c r="K72" s="3" t="s">
        <v>228</v>
      </c>
      <c r="L72" s="3" t="s">
        <v>61</v>
      </c>
      <c r="M72" s="3" t="s">
        <v>541</v>
      </c>
      <c r="N72" s="3" t="s">
        <v>61</v>
      </c>
      <c r="P72" s="3" t="s">
        <v>61</v>
      </c>
      <c r="Q72" s="3" t="s">
        <v>61</v>
      </c>
      <c r="R72" s="3"/>
      <c r="S72" s="3"/>
      <c r="T72" s="3" t="s">
        <v>61</v>
      </c>
      <c r="U72" s="3" t="s">
        <v>543</v>
      </c>
      <c r="V72" s="3" t="s">
        <v>220</v>
      </c>
      <c r="W72" s="3" t="s">
        <v>63</v>
      </c>
      <c r="X72" s="3" t="s">
        <v>526</v>
      </c>
      <c r="Y72" s="3" t="s">
        <v>219</v>
      </c>
      <c r="Z72" t="s">
        <v>286</v>
      </c>
      <c r="AB72" s="3" t="s">
        <v>61</v>
      </c>
      <c r="AE72" t="s">
        <v>95</v>
      </c>
      <c r="AH72" s="3" t="s">
        <v>197</v>
      </c>
      <c r="AI72" s="3" t="s">
        <v>91</v>
      </c>
      <c r="AJ72" t="s">
        <v>60</v>
      </c>
      <c r="AL72" s="3" t="s">
        <v>29</v>
      </c>
      <c r="AN72" s="3" t="s">
        <v>29</v>
      </c>
      <c r="AP72" s="3" t="s">
        <v>143</v>
      </c>
      <c r="AS72" s="3" t="s">
        <v>30</v>
      </c>
      <c r="AT72" s="3"/>
      <c r="AU72" s="3" t="s">
        <v>196</v>
      </c>
    </row>
    <row r="73" spans="1:47">
      <c r="A73" t="s">
        <v>276</v>
      </c>
      <c r="B73" s="3" t="s">
        <v>136</v>
      </c>
      <c r="C73" s="3" t="s">
        <v>27</v>
      </c>
      <c r="D73" s="3" t="s">
        <v>18</v>
      </c>
      <c r="E73" s="3" t="s">
        <v>29</v>
      </c>
      <c r="F73" s="3" t="s">
        <v>28</v>
      </c>
      <c r="G73" s="4">
        <f t="shared" ca="1" si="2"/>
        <v>44265.406385532406</v>
      </c>
      <c r="H73" s="3" t="s">
        <v>228</v>
      </c>
      <c r="I73" s="3"/>
      <c r="J73" s="3" t="s">
        <v>189</v>
      </c>
      <c r="K73" s="3" t="s">
        <v>228</v>
      </c>
      <c r="L73" s="3" t="s">
        <v>61</v>
      </c>
      <c r="M73" s="3" t="s">
        <v>542</v>
      </c>
      <c r="N73" s="3" t="s">
        <v>61</v>
      </c>
      <c r="P73" s="3" t="s">
        <v>61</v>
      </c>
      <c r="Q73" s="3" t="s">
        <v>61</v>
      </c>
      <c r="R73" s="3"/>
      <c r="S73" s="3"/>
      <c r="T73" s="3" t="s">
        <v>61</v>
      </c>
      <c r="U73" s="3" t="s">
        <v>544</v>
      </c>
      <c r="V73" s="3" t="s">
        <v>220</v>
      </c>
      <c r="W73" s="3" t="s">
        <v>63</v>
      </c>
      <c r="X73" s="3" t="s">
        <v>526</v>
      </c>
      <c r="Y73" s="3" t="s">
        <v>219</v>
      </c>
      <c r="Z73" t="s">
        <v>286</v>
      </c>
      <c r="AB73" s="3" t="s">
        <v>61</v>
      </c>
      <c r="AE73" t="s">
        <v>95</v>
      </c>
      <c r="AH73" s="3" t="s">
        <v>197</v>
      </c>
      <c r="AI73" s="3" t="s">
        <v>91</v>
      </c>
      <c r="AJ73" t="s">
        <v>60</v>
      </c>
      <c r="AL73" s="3" t="s">
        <v>29</v>
      </c>
      <c r="AN73" s="3" t="s">
        <v>29</v>
      </c>
      <c r="AP73" s="3" t="s">
        <v>143</v>
      </c>
      <c r="AS73" s="3" t="s">
        <v>30</v>
      </c>
      <c r="AT73" s="3"/>
      <c r="AU73" s="3" t="s">
        <v>487</v>
      </c>
    </row>
    <row r="74" spans="1:47">
      <c r="A74" t="s">
        <v>276</v>
      </c>
      <c r="B74" s="3" t="s">
        <v>136</v>
      </c>
      <c r="C74" s="3" t="s">
        <v>27</v>
      </c>
      <c r="D74" s="3" t="s">
        <v>18</v>
      </c>
      <c r="E74" s="3" t="s">
        <v>29</v>
      </c>
      <c r="F74" s="3" t="s">
        <v>28</v>
      </c>
      <c r="G74" s="4">
        <f t="shared" ca="1" si="2"/>
        <v>44265.406385532406</v>
      </c>
      <c r="H74" s="3" t="s">
        <v>228</v>
      </c>
      <c r="I74" s="3"/>
      <c r="J74" s="3" t="s">
        <v>189</v>
      </c>
      <c r="K74" s="3" t="s">
        <v>228</v>
      </c>
      <c r="L74" s="3" t="s">
        <v>61</v>
      </c>
      <c r="M74" s="3" t="s">
        <v>548</v>
      </c>
      <c r="N74" s="3" t="s">
        <v>61</v>
      </c>
      <c r="P74" s="3" t="s">
        <v>61</v>
      </c>
      <c r="Q74" s="3" t="s">
        <v>61</v>
      </c>
      <c r="R74" s="3"/>
      <c r="S74" s="3"/>
      <c r="T74" s="3" t="s">
        <v>61</v>
      </c>
      <c r="U74" s="3" t="s">
        <v>545</v>
      </c>
      <c r="V74" s="3" t="s">
        <v>191</v>
      </c>
      <c r="W74" s="3" t="s">
        <v>63</v>
      </c>
      <c r="X74" s="3" t="s">
        <v>540</v>
      </c>
      <c r="Y74" s="3" t="s">
        <v>219</v>
      </c>
      <c r="Z74" t="s">
        <v>286</v>
      </c>
      <c r="AB74" s="3" t="s">
        <v>61</v>
      </c>
      <c r="AE74" t="s">
        <v>59</v>
      </c>
      <c r="AH74" s="3" t="s">
        <v>191</v>
      </c>
      <c r="AI74" s="3" t="s">
        <v>220</v>
      </c>
      <c r="AJ74" t="s">
        <v>60</v>
      </c>
      <c r="AL74" s="3" t="s">
        <v>29</v>
      </c>
      <c r="AN74" s="3" t="s">
        <v>29</v>
      </c>
      <c r="AP74" s="3" t="s">
        <v>143</v>
      </c>
      <c r="AS74" s="3" t="s">
        <v>30</v>
      </c>
      <c r="AT74" s="3"/>
      <c r="AU74" s="3" t="s">
        <v>196</v>
      </c>
    </row>
    <row r="75" spans="1:47">
      <c r="A75" t="s">
        <v>276</v>
      </c>
      <c r="B75" s="3" t="s">
        <v>136</v>
      </c>
      <c r="C75" s="3" t="s">
        <v>27</v>
      </c>
      <c r="D75" s="3" t="s">
        <v>18</v>
      </c>
      <c r="E75" s="3" t="s">
        <v>29</v>
      </c>
      <c r="F75" s="3" t="s">
        <v>28</v>
      </c>
      <c r="G75" s="4">
        <f t="shared" ca="1" si="2"/>
        <v>44265.406385532406</v>
      </c>
      <c r="H75" s="3" t="s">
        <v>228</v>
      </c>
      <c r="I75" s="3"/>
      <c r="J75" s="3" t="s">
        <v>189</v>
      </c>
      <c r="K75" s="3" t="s">
        <v>228</v>
      </c>
      <c r="L75" s="3" t="s">
        <v>61</v>
      </c>
      <c r="M75" s="3" t="s">
        <v>548</v>
      </c>
      <c r="N75" s="3" t="s">
        <v>61</v>
      </c>
      <c r="P75" s="3" t="s">
        <v>61</v>
      </c>
      <c r="Q75" s="3" t="s">
        <v>61</v>
      </c>
      <c r="R75" s="3"/>
      <c r="S75" s="3"/>
      <c r="T75" s="3" t="s">
        <v>61</v>
      </c>
      <c r="U75" s="3" t="s">
        <v>546</v>
      </c>
      <c r="V75" s="3" t="s">
        <v>61</v>
      </c>
      <c r="W75" s="3" t="s">
        <v>63</v>
      </c>
      <c r="X75" s="3" t="s">
        <v>539</v>
      </c>
      <c r="Y75" s="3" t="s">
        <v>219</v>
      </c>
      <c r="Z75" t="s">
        <v>286</v>
      </c>
      <c r="AB75" s="3" t="s">
        <v>61</v>
      </c>
      <c r="AE75" t="s">
        <v>59</v>
      </c>
      <c r="AH75" s="3" t="s">
        <v>61</v>
      </c>
      <c r="AI75" s="3" t="s">
        <v>545</v>
      </c>
      <c r="AJ75" t="s">
        <v>60</v>
      </c>
      <c r="AL75" s="3" t="s">
        <v>29</v>
      </c>
      <c r="AN75" s="3" t="s">
        <v>29</v>
      </c>
      <c r="AP75" s="3" t="s">
        <v>143</v>
      </c>
      <c r="AS75" s="3" t="s">
        <v>30</v>
      </c>
      <c r="AT75" s="3"/>
      <c r="AU75" s="3" t="s">
        <v>196</v>
      </c>
    </row>
    <row r="76" spans="1:47">
      <c r="A76" t="s">
        <v>276</v>
      </c>
      <c r="B76" s="3" t="s">
        <v>136</v>
      </c>
      <c r="C76" s="3" t="s">
        <v>27</v>
      </c>
      <c r="D76" s="3" t="s">
        <v>18</v>
      </c>
      <c r="E76" s="3" t="s">
        <v>29</v>
      </c>
      <c r="F76" s="3" t="s">
        <v>28</v>
      </c>
      <c r="G76" s="4">
        <f t="shared" ca="1" si="2"/>
        <v>44265.406385532406</v>
      </c>
      <c r="H76" s="3" t="s">
        <v>228</v>
      </c>
      <c r="I76" s="3"/>
      <c r="J76" s="3" t="s">
        <v>189</v>
      </c>
      <c r="K76" s="3" t="s">
        <v>228</v>
      </c>
      <c r="L76" s="3" t="s">
        <v>61</v>
      </c>
      <c r="M76" s="3" t="s">
        <v>547</v>
      </c>
      <c r="N76" s="3" t="s">
        <v>61</v>
      </c>
      <c r="P76" s="3" t="s">
        <v>61</v>
      </c>
      <c r="Q76" s="3" t="s">
        <v>61</v>
      </c>
      <c r="R76" s="3"/>
      <c r="S76" s="3"/>
      <c r="T76" s="3" t="s">
        <v>61</v>
      </c>
      <c r="U76" s="3" t="s">
        <v>63</v>
      </c>
      <c r="V76" s="3" t="s">
        <v>68</v>
      </c>
      <c r="W76" s="3" t="s">
        <v>63</v>
      </c>
      <c r="X76" s="3" t="s">
        <v>526</v>
      </c>
      <c r="Y76" s="3" t="s">
        <v>219</v>
      </c>
      <c r="Z76" t="s">
        <v>286</v>
      </c>
      <c r="AB76" s="3" t="s">
        <v>61</v>
      </c>
      <c r="AE76" t="s">
        <v>59</v>
      </c>
      <c r="AH76" s="3" t="s">
        <v>68</v>
      </c>
      <c r="AI76" s="3" t="s">
        <v>29</v>
      </c>
      <c r="AJ76" t="s">
        <v>60</v>
      </c>
      <c r="AL76" s="3" t="s">
        <v>29</v>
      </c>
      <c r="AN76" s="3" t="s">
        <v>29</v>
      </c>
      <c r="AP76" s="3" t="s">
        <v>143</v>
      </c>
      <c r="AS76" s="3" t="s">
        <v>30</v>
      </c>
      <c r="AT76" s="3" t="s">
        <v>577</v>
      </c>
      <c r="AU76" s="3" t="s">
        <v>570</v>
      </c>
    </row>
    <row r="77" spans="1:47">
      <c r="A77" t="s">
        <v>276</v>
      </c>
      <c r="B77" s="3" t="s">
        <v>136</v>
      </c>
      <c r="C77" s="3" t="s">
        <v>27</v>
      </c>
      <c r="D77" s="3" t="s">
        <v>18</v>
      </c>
      <c r="E77" s="3" t="s">
        <v>29</v>
      </c>
      <c r="F77" s="3" t="s">
        <v>28</v>
      </c>
      <c r="G77" s="4">
        <f t="shared" ca="1" si="2"/>
        <v>44265.406385532406</v>
      </c>
      <c r="H77" s="3" t="s">
        <v>228</v>
      </c>
      <c r="I77" s="3"/>
      <c r="J77" s="3" t="s">
        <v>189</v>
      </c>
      <c r="K77" s="3" t="s">
        <v>228</v>
      </c>
      <c r="L77" s="3" t="s">
        <v>61</v>
      </c>
      <c r="M77" s="3" t="s">
        <v>549</v>
      </c>
      <c r="N77" s="3" t="s">
        <v>61</v>
      </c>
      <c r="P77" s="3" t="s">
        <v>61</v>
      </c>
      <c r="Q77" s="3" t="s">
        <v>61</v>
      </c>
      <c r="R77" s="3"/>
      <c r="S77" s="3"/>
      <c r="T77" s="3" t="s">
        <v>61</v>
      </c>
      <c r="U77" s="3" t="s">
        <v>63</v>
      </c>
      <c r="V77" s="3" t="s">
        <v>220</v>
      </c>
      <c r="W77" s="3" t="s">
        <v>63</v>
      </c>
      <c r="X77" s="3" t="s">
        <v>526</v>
      </c>
      <c r="Y77" s="3" t="s">
        <v>219</v>
      </c>
      <c r="Z77" t="s">
        <v>286</v>
      </c>
      <c r="AB77" s="3" t="s">
        <v>61</v>
      </c>
      <c r="AE77" t="s">
        <v>59</v>
      </c>
      <c r="AH77" s="3" t="s">
        <v>197</v>
      </c>
      <c r="AI77" s="3" t="s">
        <v>91</v>
      </c>
      <c r="AJ77" t="s">
        <v>60</v>
      </c>
      <c r="AL77" s="3" t="s">
        <v>29</v>
      </c>
      <c r="AN77" s="3" t="s">
        <v>29</v>
      </c>
      <c r="AP77" s="3" t="s">
        <v>143</v>
      </c>
      <c r="AS77" s="3" t="s">
        <v>30</v>
      </c>
      <c r="AT77" s="3" t="s">
        <v>578</v>
      </c>
      <c r="AU77" s="3" t="s">
        <v>662</v>
      </c>
    </row>
    <row r="78" spans="1:47">
      <c r="A78" t="s">
        <v>276</v>
      </c>
      <c r="B78" s="3" t="s">
        <v>136</v>
      </c>
      <c r="C78" s="3" t="s">
        <v>27</v>
      </c>
      <c r="D78" s="3" t="s">
        <v>18</v>
      </c>
      <c r="E78" s="3" t="s">
        <v>29</v>
      </c>
      <c r="F78" s="3" t="s">
        <v>28</v>
      </c>
      <c r="G78" s="4">
        <f t="shared" ca="1" si="2"/>
        <v>44265.406385532406</v>
      </c>
      <c r="H78" s="3" t="s">
        <v>228</v>
      </c>
      <c r="I78" s="3"/>
      <c r="J78" s="3" t="s">
        <v>189</v>
      </c>
      <c r="K78" s="3" t="s">
        <v>228</v>
      </c>
      <c r="L78" s="3" t="s">
        <v>61</v>
      </c>
      <c r="M78" s="3" t="s">
        <v>550</v>
      </c>
      <c r="N78" s="3" t="s">
        <v>61</v>
      </c>
      <c r="P78" s="3" t="s">
        <v>61</v>
      </c>
      <c r="Q78" s="3" t="s">
        <v>61</v>
      </c>
      <c r="R78" s="3"/>
      <c r="S78" s="3"/>
      <c r="T78" s="3" t="s">
        <v>61</v>
      </c>
      <c r="U78" s="3" t="s">
        <v>219</v>
      </c>
      <c r="V78" s="3" t="s">
        <v>220</v>
      </c>
      <c r="W78" s="3" t="s">
        <v>63</v>
      </c>
      <c r="X78" s="3" t="s">
        <v>526</v>
      </c>
      <c r="Y78" s="3" t="s">
        <v>219</v>
      </c>
      <c r="Z78" t="s">
        <v>286</v>
      </c>
      <c r="AB78" s="3" t="s">
        <v>61</v>
      </c>
      <c r="AE78" t="s">
        <v>59</v>
      </c>
      <c r="AH78" s="3" t="s">
        <v>197</v>
      </c>
      <c r="AI78" s="3" t="s">
        <v>91</v>
      </c>
      <c r="AJ78" t="s">
        <v>60</v>
      </c>
      <c r="AL78" s="3" t="s">
        <v>29</v>
      </c>
      <c r="AN78" s="3" t="s">
        <v>29</v>
      </c>
      <c r="AP78" s="3" t="s">
        <v>143</v>
      </c>
      <c r="AS78" s="3" t="s">
        <v>30</v>
      </c>
      <c r="AT78" s="3" t="s">
        <v>577</v>
      </c>
      <c r="AU78" s="3" t="s">
        <v>743</v>
      </c>
    </row>
    <row r="79" spans="1:47">
      <c r="A79" t="s">
        <v>276</v>
      </c>
      <c r="B79" s="3" t="s">
        <v>136</v>
      </c>
      <c r="C79" s="3" t="s">
        <v>27</v>
      </c>
      <c r="D79" s="3" t="s">
        <v>18</v>
      </c>
      <c r="E79" s="3" t="s">
        <v>29</v>
      </c>
      <c r="F79" s="3" t="s">
        <v>28</v>
      </c>
      <c r="G79" s="4">
        <f t="shared" ca="1" si="2"/>
        <v>44265.406385532406</v>
      </c>
      <c r="H79" s="3" t="s">
        <v>228</v>
      </c>
      <c r="I79" s="3"/>
      <c r="J79" s="3" t="s">
        <v>189</v>
      </c>
      <c r="K79" s="3" t="s">
        <v>228</v>
      </c>
      <c r="L79" s="3" t="s">
        <v>61</v>
      </c>
      <c r="M79" s="3" t="s">
        <v>551</v>
      </c>
      <c r="N79" s="3" t="s">
        <v>61</v>
      </c>
      <c r="P79" s="3" t="s">
        <v>61</v>
      </c>
      <c r="Q79" s="3" t="s">
        <v>61</v>
      </c>
      <c r="R79" s="3"/>
      <c r="S79" s="3"/>
      <c r="T79" s="3" t="s">
        <v>61</v>
      </c>
      <c r="U79" s="3" t="s">
        <v>523</v>
      </c>
      <c r="V79" s="3" t="s">
        <v>191</v>
      </c>
      <c r="W79" s="3" t="s">
        <v>63</v>
      </c>
      <c r="X79" s="3" t="s">
        <v>554</v>
      </c>
      <c r="Y79" s="3" t="s">
        <v>219</v>
      </c>
      <c r="Z79" t="s">
        <v>286</v>
      </c>
      <c r="AB79" s="3" t="s">
        <v>61</v>
      </c>
      <c r="AE79" t="s">
        <v>95</v>
      </c>
      <c r="AH79" s="3" t="s">
        <v>191</v>
      </c>
      <c r="AI79" s="3" t="s">
        <v>90</v>
      </c>
      <c r="AJ79" t="s">
        <v>60</v>
      </c>
      <c r="AL79" s="3" t="s">
        <v>29</v>
      </c>
      <c r="AN79" s="3" t="s">
        <v>29</v>
      </c>
      <c r="AP79" s="3" t="s">
        <v>143</v>
      </c>
      <c r="AS79" s="3" t="s">
        <v>30</v>
      </c>
      <c r="AT79" s="3"/>
      <c r="AU79" s="3" t="s">
        <v>196</v>
      </c>
    </row>
    <row r="80" spans="1:47">
      <c r="A80" t="s">
        <v>276</v>
      </c>
      <c r="B80" s="3" t="s">
        <v>136</v>
      </c>
      <c r="C80" s="3" t="s">
        <v>27</v>
      </c>
      <c r="D80" s="3" t="s">
        <v>18</v>
      </c>
      <c r="E80" s="3" t="s">
        <v>29</v>
      </c>
      <c r="F80" s="3" t="s">
        <v>28</v>
      </c>
      <c r="G80" s="4">
        <f t="shared" ca="1" si="2"/>
        <v>44265.406385532406</v>
      </c>
      <c r="H80" s="3" t="s">
        <v>228</v>
      </c>
      <c r="I80" s="3"/>
      <c r="J80" s="3" t="s">
        <v>189</v>
      </c>
      <c r="K80" s="3" t="s">
        <v>228</v>
      </c>
      <c r="L80" s="3" t="s">
        <v>61</v>
      </c>
      <c r="M80" s="3" t="s">
        <v>552</v>
      </c>
      <c r="N80" s="3" t="s">
        <v>61</v>
      </c>
      <c r="P80" s="3" t="s">
        <v>61</v>
      </c>
      <c r="Q80" s="3" t="s">
        <v>61</v>
      </c>
      <c r="R80" s="3"/>
      <c r="S80" s="3"/>
      <c r="T80" s="3" t="s">
        <v>61</v>
      </c>
      <c r="U80" s="3" t="s">
        <v>68</v>
      </c>
      <c r="V80" s="3" t="s">
        <v>191</v>
      </c>
      <c r="W80" s="3" t="s">
        <v>63</v>
      </c>
      <c r="X80" s="3" t="s">
        <v>554</v>
      </c>
      <c r="Y80" s="3" t="s">
        <v>219</v>
      </c>
      <c r="Z80" t="s">
        <v>286</v>
      </c>
      <c r="AB80" s="3" t="s">
        <v>61</v>
      </c>
      <c r="AE80" t="s">
        <v>59</v>
      </c>
      <c r="AH80" s="3" t="s">
        <v>191</v>
      </c>
      <c r="AI80" s="3" t="s">
        <v>68</v>
      </c>
      <c r="AJ80" t="s">
        <v>60</v>
      </c>
      <c r="AL80" s="3" t="s">
        <v>29</v>
      </c>
      <c r="AN80" s="3" t="s">
        <v>29</v>
      </c>
      <c r="AP80" s="3" t="s">
        <v>143</v>
      </c>
      <c r="AS80" s="3" t="s">
        <v>30</v>
      </c>
      <c r="AT80" s="3" t="s">
        <v>574</v>
      </c>
      <c r="AU80" s="3" t="s">
        <v>576</v>
      </c>
    </row>
    <row r="81" spans="1:47">
      <c r="A81" t="s">
        <v>276</v>
      </c>
      <c r="B81" s="3" t="s">
        <v>136</v>
      </c>
      <c r="C81" s="3" t="s">
        <v>27</v>
      </c>
      <c r="D81" s="3" t="s">
        <v>18</v>
      </c>
      <c r="E81" s="3" t="s">
        <v>29</v>
      </c>
      <c r="F81" s="3" t="s">
        <v>28</v>
      </c>
      <c r="G81" s="4">
        <f t="shared" ca="1" si="2"/>
        <v>44265.406385532406</v>
      </c>
      <c r="H81" s="3" t="s">
        <v>228</v>
      </c>
      <c r="I81" s="3"/>
      <c r="J81" s="3" t="s">
        <v>189</v>
      </c>
      <c r="K81" s="3" t="s">
        <v>228</v>
      </c>
      <c r="L81" s="3" t="s">
        <v>61</v>
      </c>
      <c r="M81" s="3" t="s">
        <v>551</v>
      </c>
      <c r="N81" s="3" t="s">
        <v>61</v>
      </c>
      <c r="P81" s="3" t="s">
        <v>61</v>
      </c>
      <c r="Q81" s="3" t="s">
        <v>61</v>
      </c>
      <c r="R81" s="3"/>
      <c r="S81" s="3"/>
      <c r="T81" s="3" t="s">
        <v>61</v>
      </c>
      <c r="U81" s="3" t="s">
        <v>520</v>
      </c>
      <c r="V81" s="3" t="s">
        <v>525</v>
      </c>
      <c r="W81" s="3" t="s">
        <v>63</v>
      </c>
      <c r="X81" s="3" t="s">
        <v>537</v>
      </c>
      <c r="Y81" s="3" t="s">
        <v>219</v>
      </c>
      <c r="Z81" t="s">
        <v>286</v>
      </c>
      <c r="AB81" s="3" t="s">
        <v>61</v>
      </c>
      <c r="AE81" t="s">
        <v>95</v>
      </c>
      <c r="AH81" s="3" t="s">
        <v>61</v>
      </c>
      <c r="AI81" s="3" t="s">
        <v>519</v>
      </c>
      <c r="AJ81" t="s">
        <v>60</v>
      </c>
      <c r="AL81" s="3" t="s">
        <v>29</v>
      </c>
      <c r="AN81" s="3" t="s">
        <v>29</v>
      </c>
      <c r="AP81" s="3" t="s">
        <v>143</v>
      </c>
      <c r="AS81" s="3" t="s">
        <v>30</v>
      </c>
      <c r="AT81" s="3"/>
      <c r="AU81" s="3" t="s">
        <v>196</v>
      </c>
    </row>
    <row r="82" spans="1:47">
      <c r="A82" t="s">
        <v>276</v>
      </c>
      <c r="B82" s="3" t="s">
        <v>136</v>
      </c>
      <c r="C82" s="3" t="s">
        <v>27</v>
      </c>
      <c r="D82" s="3" t="s">
        <v>18</v>
      </c>
      <c r="E82" s="3" t="s">
        <v>29</v>
      </c>
      <c r="F82" s="3" t="s">
        <v>28</v>
      </c>
      <c r="G82" s="4">
        <f t="shared" ca="1" si="2"/>
        <v>44265.406385532406</v>
      </c>
      <c r="H82" s="3" t="s">
        <v>228</v>
      </c>
      <c r="I82" s="3"/>
      <c r="J82" s="3" t="s">
        <v>189</v>
      </c>
      <c r="K82" s="3" t="s">
        <v>228</v>
      </c>
      <c r="L82" s="3" t="s">
        <v>61</v>
      </c>
      <c r="M82" s="3" t="s">
        <v>552</v>
      </c>
      <c r="N82" s="3" t="s">
        <v>61</v>
      </c>
      <c r="P82" s="3" t="s">
        <v>61</v>
      </c>
      <c r="Q82" s="3" t="s">
        <v>61</v>
      </c>
      <c r="R82" s="3"/>
      <c r="S82" s="3"/>
      <c r="T82" s="3" t="s">
        <v>61</v>
      </c>
      <c r="U82" s="3" t="s">
        <v>553</v>
      </c>
      <c r="V82" s="3" t="s">
        <v>525</v>
      </c>
      <c r="W82" s="3" t="s">
        <v>63</v>
      </c>
      <c r="X82" s="3" t="s">
        <v>537</v>
      </c>
      <c r="Y82" s="3" t="s">
        <v>219</v>
      </c>
      <c r="Z82" t="s">
        <v>286</v>
      </c>
      <c r="AB82" s="3" t="s">
        <v>61</v>
      </c>
      <c r="AE82" t="s">
        <v>59</v>
      </c>
      <c r="AH82" s="3" t="s">
        <v>61</v>
      </c>
      <c r="AI82" s="3" t="s">
        <v>68</v>
      </c>
      <c r="AJ82" t="s">
        <v>60</v>
      </c>
      <c r="AL82" s="3" t="s">
        <v>29</v>
      </c>
      <c r="AN82" s="3" t="s">
        <v>29</v>
      </c>
      <c r="AP82" s="3" t="s">
        <v>143</v>
      </c>
      <c r="AS82" s="3" t="s">
        <v>30</v>
      </c>
      <c r="AT82" s="3" t="s">
        <v>575</v>
      </c>
      <c r="AU82" s="3" t="s">
        <v>570</v>
      </c>
    </row>
    <row r="83" spans="1:47">
      <c r="A83" t="s">
        <v>357</v>
      </c>
      <c r="B83" s="3" t="s">
        <v>358</v>
      </c>
      <c r="C83" s="3" t="s">
        <v>27</v>
      </c>
      <c r="D83" s="3" t="s">
        <v>18</v>
      </c>
      <c r="E83" s="3" t="s">
        <v>29</v>
      </c>
      <c r="F83" s="3" t="s">
        <v>28</v>
      </c>
      <c r="G83" s="4">
        <f t="shared" ca="1" si="2"/>
        <v>44265.406385532406</v>
      </c>
      <c r="H83" s="3" t="s">
        <v>228</v>
      </c>
      <c r="I83" s="3"/>
      <c r="J83" s="3" t="s">
        <v>189</v>
      </c>
      <c r="K83" s="3" t="s">
        <v>228</v>
      </c>
      <c r="L83" s="3" t="s">
        <v>61</v>
      </c>
      <c r="M83" s="3" t="s">
        <v>551</v>
      </c>
      <c r="N83" s="3" t="s">
        <v>61</v>
      </c>
      <c r="P83" s="3" t="s">
        <v>366</v>
      </c>
      <c r="Q83" s="3" t="s">
        <v>61</v>
      </c>
      <c r="R83" s="3"/>
      <c r="S83" s="3"/>
      <c r="T83" s="3" t="s">
        <v>61</v>
      </c>
      <c r="U83" s="3" t="s">
        <v>558</v>
      </c>
      <c r="V83" s="3" t="s">
        <v>367</v>
      </c>
      <c r="W83" s="3" t="s">
        <v>368</v>
      </c>
      <c r="X83" s="3" t="s">
        <v>537</v>
      </c>
      <c r="Y83" s="3" t="s">
        <v>219</v>
      </c>
      <c r="Z83" t="s">
        <v>286</v>
      </c>
      <c r="AB83" s="3" t="s">
        <v>61</v>
      </c>
      <c r="AE83" t="s">
        <v>95</v>
      </c>
      <c r="AH83" s="3" t="s">
        <v>367</v>
      </c>
      <c r="AI83" s="3" t="s">
        <v>561</v>
      </c>
      <c r="AJ83" t="s">
        <v>369</v>
      </c>
      <c r="AL83" s="3" t="s">
        <v>29</v>
      </c>
      <c r="AN83" s="3" t="s">
        <v>29</v>
      </c>
      <c r="AP83" s="3" t="s">
        <v>370</v>
      </c>
      <c r="AS83" s="3" t="s">
        <v>145</v>
      </c>
      <c r="AT83" s="3"/>
      <c r="AU83" s="3" t="s">
        <v>196</v>
      </c>
    </row>
    <row r="84" spans="1:47">
      <c r="A84" t="s">
        <v>357</v>
      </c>
      <c r="B84" s="3" t="s">
        <v>358</v>
      </c>
      <c r="C84" s="3" t="s">
        <v>27</v>
      </c>
      <c r="D84" s="3" t="s">
        <v>18</v>
      </c>
      <c r="E84" s="3" t="s">
        <v>29</v>
      </c>
      <c r="F84" s="3" t="s">
        <v>28</v>
      </c>
      <c r="G84" s="4">
        <f t="shared" ca="1" si="2"/>
        <v>44265.406385532406</v>
      </c>
      <c r="H84" s="3" t="s">
        <v>228</v>
      </c>
      <c r="I84" s="3"/>
      <c r="J84" s="3" t="s">
        <v>189</v>
      </c>
      <c r="K84" s="3" t="s">
        <v>228</v>
      </c>
      <c r="L84" s="3" t="s">
        <v>61</v>
      </c>
      <c r="M84" s="3" t="s">
        <v>551</v>
      </c>
      <c r="N84" s="3" t="s">
        <v>61</v>
      </c>
      <c r="P84" s="3" t="s">
        <v>61</v>
      </c>
      <c r="Q84" s="3" t="s">
        <v>61</v>
      </c>
      <c r="R84" s="3"/>
      <c r="S84" s="3"/>
      <c r="T84" s="3" t="s">
        <v>61</v>
      </c>
      <c r="U84" s="3" t="s">
        <v>558</v>
      </c>
      <c r="V84" s="3" t="s">
        <v>220</v>
      </c>
      <c r="W84" s="3" t="s">
        <v>368</v>
      </c>
      <c r="X84" s="3" t="s">
        <v>537</v>
      </c>
      <c r="Y84" s="3" t="s">
        <v>219</v>
      </c>
      <c r="Z84" t="s">
        <v>286</v>
      </c>
      <c r="AB84" s="3" t="s">
        <v>61</v>
      </c>
      <c r="AE84" t="s">
        <v>95</v>
      </c>
      <c r="AH84" s="3" t="s">
        <v>220</v>
      </c>
      <c r="AI84" s="3" t="s">
        <v>91</v>
      </c>
      <c r="AJ84" t="s">
        <v>369</v>
      </c>
      <c r="AL84" s="3" t="s">
        <v>29</v>
      </c>
      <c r="AN84" s="3" t="s">
        <v>29</v>
      </c>
      <c r="AP84" s="3" t="s">
        <v>370</v>
      </c>
      <c r="AS84" s="3" t="s">
        <v>145</v>
      </c>
      <c r="AT84" s="3"/>
      <c r="AU84" s="3" t="s">
        <v>196</v>
      </c>
    </row>
    <row r="85" spans="1:47">
      <c r="A85" t="s">
        <v>357</v>
      </c>
      <c r="B85" s="3" t="s">
        <v>358</v>
      </c>
      <c r="C85" s="3" t="s">
        <v>27</v>
      </c>
      <c r="D85" s="3" t="s">
        <v>18</v>
      </c>
      <c r="E85" s="3" t="s">
        <v>29</v>
      </c>
      <c r="F85" s="3" t="s">
        <v>28</v>
      </c>
      <c r="G85" s="4">
        <f t="shared" ca="1" si="2"/>
        <v>44265.406385532406</v>
      </c>
      <c r="H85" s="3" t="s">
        <v>228</v>
      </c>
      <c r="I85" s="3"/>
      <c r="J85" s="3" t="s">
        <v>189</v>
      </c>
      <c r="K85" s="3" t="s">
        <v>228</v>
      </c>
      <c r="L85" s="3" t="s">
        <v>61</v>
      </c>
      <c r="M85" s="3" t="s">
        <v>555</v>
      </c>
      <c r="N85" s="3" t="s">
        <v>61</v>
      </c>
      <c r="P85" s="3" t="s">
        <v>61</v>
      </c>
      <c r="Q85" s="3" t="s">
        <v>61</v>
      </c>
      <c r="R85" s="3"/>
      <c r="S85" s="3"/>
      <c r="T85" s="3" t="s">
        <v>61</v>
      </c>
      <c r="U85" s="3" t="s">
        <v>558</v>
      </c>
      <c r="V85" s="3" t="s">
        <v>220</v>
      </c>
      <c r="W85" s="3" t="s">
        <v>368</v>
      </c>
      <c r="X85" s="3" t="s">
        <v>537</v>
      </c>
      <c r="Y85" s="3" t="s">
        <v>219</v>
      </c>
      <c r="Z85" t="s">
        <v>286</v>
      </c>
      <c r="AB85" s="3" t="s">
        <v>61</v>
      </c>
      <c r="AE85" t="s">
        <v>95</v>
      </c>
      <c r="AH85" s="3" t="s">
        <v>220</v>
      </c>
      <c r="AI85" s="3" t="s">
        <v>91</v>
      </c>
      <c r="AJ85" t="s">
        <v>369</v>
      </c>
      <c r="AL85" s="3" t="s">
        <v>29</v>
      </c>
      <c r="AN85" s="3" t="s">
        <v>29</v>
      </c>
      <c r="AP85" s="3" t="s">
        <v>370</v>
      </c>
      <c r="AS85" s="3" t="s">
        <v>145</v>
      </c>
      <c r="AT85" s="3"/>
      <c r="AU85" s="3" t="s">
        <v>487</v>
      </c>
    </row>
    <row r="86" spans="1:47">
      <c r="A86" t="s">
        <v>357</v>
      </c>
      <c r="B86" s="3" t="s">
        <v>358</v>
      </c>
      <c r="C86" s="3" t="s">
        <v>27</v>
      </c>
      <c r="D86" s="3" t="s">
        <v>18</v>
      </c>
      <c r="E86" s="3" t="s">
        <v>29</v>
      </c>
      <c r="F86" s="3" t="s">
        <v>28</v>
      </c>
      <c r="G86" s="4">
        <f t="shared" ca="1" si="2"/>
        <v>44265.406385532406</v>
      </c>
      <c r="H86" s="3" t="s">
        <v>228</v>
      </c>
      <c r="I86" s="3"/>
      <c r="J86" s="3" t="s">
        <v>189</v>
      </c>
      <c r="K86" s="3" t="s">
        <v>228</v>
      </c>
      <c r="L86" s="3" t="s">
        <v>61</v>
      </c>
      <c r="M86" s="3" t="s">
        <v>552</v>
      </c>
      <c r="N86" s="3" t="s">
        <v>61</v>
      </c>
      <c r="P86" s="3" t="s">
        <v>366</v>
      </c>
      <c r="Q86" s="3" t="s">
        <v>61</v>
      </c>
      <c r="R86" s="3"/>
      <c r="S86" s="3"/>
      <c r="T86" s="3" t="s">
        <v>61</v>
      </c>
      <c r="U86" s="3" t="s">
        <v>560</v>
      </c>
      <c r="V86" s="3" t="s">
        <v>367</v>
      </c>
      <c r="W86" s="3" t="s">
        <v>368</v>
      </c>
      <c r="X86" s="3" t="s">
        <v>537</v>
      </c>
      <c r="Y86" s="3" t="s">
        <v>219</v>
      </c>
      <c r="Z86" t="s">
        <v>286</v>
      </c>
      <c r="AB86" s="3" t="s">
        <v>61</v>
      </c>
      <c r="AE86" t="s">
        <v>59</v>
      </c>
      <c r="AH86" s="3" t="s">
        <v>367</v>
      </c>
      <c r="AI86" s="3" t="s">
        <v>562</v>
      </c>
      <c r="AJ86" t="s">
        <v>369</v>
      </c>
      <c r="AL86" s="3" t="s">
        <v>29</v>
      </c>
      <c r="AN86" s="3" t="s">
        <v>29</v>
      </c>
      <c r="AP86" s="3" t="s">
        <v>370</v>
      </c>
      <c r="AS86" s="3" t="s">
        <v>145</v>
      </c>
      <c r="AT86" s="3" t="s">
        <v>574</v>
      </c>
      <c r="AU86" s="3" t="s">
        <v>662</v>
      </c>
    </row>
    <row r="87" spans="1:47">
      <c r="A87" t="s">
        <v>357</v>
      </c>
      <c r="B87" s="3" t="s">
        <v>358</v>
      </c>
      <c r="C87" s="3" t="s">
        <v>27</v>
      </c>
      <c r="D87" s="3" t="s">
        <v>18</v>
      </c>
      <c r="E87" s="3" t="s">
        <v>29</v>
      </c>
      <c r="F87" s="3" t="s">
        <v>28</v>
      </c>
      <c r="G87" s="4">
        <f t="shared" ca="1" si="2"/>
        <v>44265.406385532406</v>
      </c>
      <c r="H87" s="3" t="s">
        <v>228</v>
      </c>
      <c r="I87" s="3"/>
      <c r="J87" s="3" t="s">
        <v>189</v>
      </c>
      <c r="K87" s="3" t="s">
        <v>228</v>
      </c>
      <c r="L87" s="3" t="s">
        <v>61</v>
      </c>
      <c r="M87" s="3" t="s">
        <v>552</v>
      </c>
      <c r="N87" s="3" t="s">
        <v>61</v>
      </c>
      <c r="P87" s="3" t="s">
        <v>61</v>
      </c>
      <c r="Q87" s="3" t="s">
        <v>61</v>
      </c>
      <c r="R87" s="3"/>
      <c r="S87" s="3"/>
      <c r="T87" s="3" t="s">
        <v>61</v>
      </c>
      <c r="U87" s="3" t="s">
        <v>560</v>
      </c>
      <c r="V87" s="3" t="s">
        <v>220</v>
      </c>
      <c r="W87" s="3" t="s">
        <v>368</v>
      </c>
      <c r="X87" s="3" t="s">
        <v>537</v>
      </c>
      <c r="Y87" s="3" t="s">
        <v>219</v>
      </c>
      <c r="Z87" t="s">
        <v>286</v>
      </c>
      <c r="AB87" s="3" t="s">
        <v>61</v>
      </c>
      <c r="AE87" t="s">
        <v>59</v>
      </c>
      <c r="AH87" s="3" t="s">
        <v>220</v>
      </c>
      <c r="AI87" s="3" t="s">
        <v>91</v>
      </c>
      <c r="AJ87" t="s">
        <v>369</v>
      </c>
      <c r="AL87" s="3" t="s">
        <v>29</v>
      </c>
      <c r="AN87" s="3" t="s">
        <v>29</v>
      </c>
      <c r="AP87" s="3" t="s">
        <v>370</v>
      </c>
      <c r="AS87" s="3" t="s">
        <v>145</v>
      </c>
      <c r="AT87" s="3" t="s">
        <v>574</v>
      </c>
      <c r="AU87" s="3" t="s">
        <v>570</v>
      </c>
    </row>
    <row r="88" spans="1:47">
      <c r="A88" t="s">
        <v>357</v>
      </c>
      <c r="B88" s="3" t="s">
        <v>358</v>
      </c>
      <c r="C88" s="3" t="s">
        <v>27</v>
      </c>
      <c r="D88" s="3" t="s">
        <v>18</v>
      </c>
      <c r="E88" s="3" t="s">
        <v>29</v>
      </c>
      <c r="F88" s="3" t="s">
        <v>28</v>
      </c>
      <c r="G88" s="4">
        <f t="shared" ca="1" si="2"/>
        <v>44265.406385532406</v>
      </c>
      <c r="H88" s="3" t="s">
        <v>228</v>
      </c>
      <c r="I88" s="3"/>
      <c r="J88" s="3" t="s">
        <v>189</v>
      </c>
      <c r="K88" s="3" t="s">
        <v>228</v>
      </c>
      <c r="L88" s="3" t="s">
        <v>61</v>
      </c>
      <c r="M88" s="3" t="s">
        <v>557</v>
      </c>
      <c r="N88" s="3" t="s">
        <v>61</v>
      </c>
      <c r="P88" s="3" t="s">
        <v>61</v>
      </c>
      <c r="Q88" s="3" t="s">
        <v>61</v>
      </c>
      <c r="R88" s="3"/>
      <c r="S88" s="3"/>
      <c r="T88" s="3" t="s">
        <v>61</v>
      </c>
      <c r="U88" s="3" t="s">
        <v>560</v>
      </c>
      <c r="V88" s="3" t="s">
        <v>220</v>
      </c>
      <c r="W88" s="3" t="s">
        <v>368</v>
      </c>
      <c r="X88" s="3" t="s">
        <v>537</v>
      </c>
      <c r="Y88" s="3" t="s">
        <v>219</v>
      </c>
      <c r="Z88" t="s">
        <v>286</v>
      </c>
      <c r="AB88" s="3" t="s">
        <v>61</v>
      </c>
      <c r="AE88" t="s">
        <v>59</v>
      </c>
      <c r="AH88" s="3" t="s">
        <v>220</v>
      </c>
      <c r="AI88" s="3" t="s">
        <v>91</v>
      </c>
      <c r="AJ88" t="s">
        <v>369</v>
      </c>
      <c r="AL88" s="3" t="s">
        <v>29</v>
      </c>
      <c r="AN88" s="3" t="s">
        <v>29</v>
      </c>
      <c r="AP88" s="3" t="s">
        <v>370</v>
      </c>
      <c r="AS88" s="3" t="s">
        <v>145</v>
      </c>
      <c r="AT88" s="3" t="s">
        <v>574</v>
      </c>
      <c r="AU88" s="3" t="s">
        <v>744</v>
      </c>
    </row>
    <row r="89" spans="1:47">
      <c r="A89" t="s">
        <v>274</v>
      </c>
      <c r="B89" s="3" t="s">
        <v>26</v>
      </c>
      <c r="C89" s="3" t="s">
        <v>27</v>
      </c>
      <c r="D89" s="3" t="s">
        <v>18</v>
      </c>
      <c r="E89" s="3" t="s">
        <v>29</v>
      </c>
      <c r="F89" s="3" t="s">
        <v>28</v>
      </c>
      <c r="G89" s="4">
        <f t="shared" ca="1" si="2"/>
        <v>44265.406385532406</v>
      </c>
      <c r="H89" s="3" t="s">
        <v>229</v>
      </c>
      <c r="I89" s="3"/>
      <c r="J89" s="3" t="s">
        <v>189</v>
      </c>
      <c r="K89" s="3" t="s">
        <v>229</v>
      </c>
      <c r="L89" s="3" t="s">
        <v>61</v>
      </c>
      <c r="M89" s="3" t="s">
        <v>579</v>
      </c>
      <c r="N89" s="3" t="s">
        <v>61</v>
      </c>
      <c r="P89" s="3" t="s">
        <v>61</v>
      </c>
      <c r="Q89" s="3" t="s">
        <v>61</v>
      </c>
      <c r="R89" s="3"/>
      <c r="S89" s="3"/>
      <c r="T89" s="3" t="s">
        <v>61</v>
      </c>
      <c r="U89" s="3" t="s">
        <v>220</v>
      </c>
      <c r="V89" t="s">
        <v>138</v>
      </c>
      <c r="W89" s="3" t="s">
        <v>63</v>
      </c>
      <c r="X89" s="3" t="s">
        <v>589</v>
      </c>
      <c r="Y89" s="3" t="s">
        <v>29</v>
      </c>
      <c r="Z89" t="s">
        <v>286</v>
      </c>
      <c r="AB89" s="3" t="s">
        <v>61</v>
      </c>
      <c r="AE89" t="s">
        <v>59</v>
      </c>
      <c r="AH89" t="s">
        <v>138</v>
      </c>
      <c r="AI89" s="3" t="s">
        <v>220</v>
      </c>
      <c r="AJ89" t="s">
        <v>60</v>
      </c>
      <c r="AL89" s="3" t="s">
        <v>29</v>
      </c>
      <c r="AN89" s="3" t="s">
        <v>29</v>
      </c>
      <c r="AP89" s="3" t="s">
        <v>143</v>
      </c>
      <c r="AS89" s="3" t="s">
        <v>30</v>
      </c>
      <c r="AT89" s="3"/>
      <c r="AU89" s="3" t="s">
        <v>196</v>
      </c>
    </row>
    <row r="90" spans="1:47">
      <c r="A90" t="s">
        <v>274</v>
      </c>
      <c r="B90" s="3" t="s">
        <v>136</v>
      </c>
      <c r="C90" s="3" t="s">
        <v>27</v>
      </c>
      <c r="D90" s="3" t="s">
        <v>18</v>
      </c>
      <c r="E90" s="3" t="s">
        <v>29</v>
      </c>
      <c r="F90" s="3" t="s">
        <v>28</v>
      </c>
      <c r="G90" s="4">
        <f t="shared" ca="1" si="2"/>
        <v>44265.406385532406</v>
      </c>
      <c r="H90" s="3" t="s">
        <v>229</v>
      </c>
      <c r="I90" s="3"/>
      <c r="J90" s="3" t="s">
        <v>189</v>
      </c>
      <c r="K90" s="3" t="s">
        <v>229</v>
      </c>
      <c r="L90" s="3" t="s">
        <v>61</v>
      </c>
      <c r="M90" s="3" t="s">
        <v>580</v>
      </c>
      <c r="N90" s="3" t="s">
        <v>61</v>
      </c>
      <c r="P90" s="3" t="s">
        <v>61</v>
      </c>
      <c r="Q90" s="3" t="s">
        <v>61</v>
      </c>
      <c r="R90" s="3"/>
      <c r="S90" s="3"/>
      <c r="T90" s="3" t="s">
        <v>61</v>
      </c>
      <c r="U90" s="3" t="s">
        <v>582</v>
      </c>
      <c r="V90" s="3" t="s">
        <v>61</v>
      </c>
      <c r="W90" s="3" t="s">
        <v>63</v>
      </c>
      <c r="X90" s="3" t="s">
        <v>590</v>
      </c>
      <c r="Y90" s="3" t="s">
        <v>29</v>
      </c>
      <c r="Z90" t="s">
        <v>286</v>
      </c>
      <c r="AB90" s="3" t="s">
        <v>61</v>
      </c>
      <c r="AE90" t="s">
        <v>59</v>
      </c>
      <c r="AH90" s="3" t="s">
        <v>61</v>
      </c>
      <c r="AI90" s="3" t="s">
        <v>220</v>
      </c>
      <c r="AJ90" t="s">
        <v>60</v>
      </c>
      <c r="AL90" s="3" t="s">
        <v>29</v>
      </c>
      <c r="AN90" s="3" t="s">
        <v>29</v>
      </c>
      <c r="AP90" s="3" t="s">
        <v>143</v>
      </c>
      <c r="AS90" s="3" t="s">
        <v>30</v>
      </c>
      <c r="AT90" s="3"/>
      <c r="AU90" s="3" t="s">
        <v>196</v>
      </c>
    </row>
    <row r="91" spans="1:47">
      <c r="A91" t="s">
        <v>583</v>
      </c>
      <c r="B91" s="3" t="s">
        <v>136</v>
      </c>
      <c r="C91" s="3" t="s">
        <v>27</v>
      </c>
      <c r="D91" s="3" t="s">
        <v>18</v>
      </c>
      <c r="E91" s="3" t="s">
        <v>29</v>
      </c>
      <c r="F91" s="3" t="s">
        <v>28</v>
      </c>
      <c r="G91" s="4">
        <f t="shared" ca="1" si="2"/>
        <v>44265.406385532406</v>
      </c>
      <c r="H91" s="3" t="s">
        <v>229</v>
      </c>
      <c r="I91" s="3"/>
      <c r="J91" s="3" t="s">
        <v>189</v>
      </c>
      <c r="K91" s="3" t="s">
        <v>229</v>
      </c>
      <c r="L91" s="3" t="s">
        <v>61</v>
      </c>
      <c r="M91" s="3" t="s">
        <v>548</v>
      </c>
      <c r="N91" s="3" t="s">
        <v>61</v>
      </c>
      <c r="P91" s="3" t="s">
        <v>61</v>
      </c>
      <c r="Q91" s="3" t="s">
        <v>61</v>
      </c>
      <c r="R91" s="3"/>
      <c r="S91" s="3"/>
      <c r="T91" s="3" t="s">
        <v>61</v>
      </c>
      <c r="U91" s="3" t="s">
        <v>582</v>
      </c>
      <c r="V91" s="3" t="s">
        <v>591</v>
      </c>
      <c r="W91" s="3" t="s">
        <v>63</v>
      </c>
      <c r="X91" s="3" t="s">
        <v>530</v>
      </c>
      <c r="Y91" s="3" t="s">
        <v>63</v>
      </c>
      <c r="Z91" t="s">
        <v>286</v>
      </c>
      <c r="AB91" s="3" t="s">
        <v>61</v>
      </c>
      <c r="AE91" t="s">
        <v>59</v>
      </c>
      <c r="AH91" s="3" t="s">
        <v>61</v>
      </c>
      <c r="AI91" s="3" t="s">
        <v>220</v>
      </c>
      <c r="AJ91" t="s">
        <v>60</v>
      </c>
      <c r="AL91" s="3" t="s">
        <v>29</v>
      </c>
      <c r="AN91" s="3" t="s">
        <v>29</v>
      </c>
      <c r="AP91" s="3" t="s">
        <v>143</v>
      </c>
      <c r="AS91" s="3" t="s">
        <v>30</v>
      </c>
      <c r="AT91" s="3"/>
      <c r="AU91" s="3" t="s">
        <v>196</v>
      </c>
    </row>
    <row r="92" spans="1:47">
      <c r="A92" t="s">
        <v>583</v>
      </c>
      <c r="B92" s="3" t="s">
        <v>136</v>
      </c>
      <c r="C92" s="3" t="s">
        <v>27</v>
      </c>
      <c r="D92" s="3" t="s">
        <v>18</v>
      </c>
      <c r="E92" s="3" t="s">
        <v>29</v>
      </c>
      <c r="F92" s="3" t="s">
        <v>28</v>
      </c>
      <c r="G92" s="4">
        <f t="shared" ca="1" si="2"/>
        <v>44265.406385532406</v>
      </c>
      <c r="H92" s="3" t="s">
        <v>229</v>
      </c>
      <c r="I92" s="3"/>
      <c r="J92" s="3" t="s">
        <v>189</v>
      </c>
      <c r="K92" s="3" t="s">
        <v>229</v>
      </c>
      <c r="L92" s="3" t="s">
        <v>61</v>
      </c>
      <c r="M92" s="3" t="s">
        <v>580</v>
      </c>
      <c r="N92" s="3" t="s">
        <v>220</v>
      </c>
      <c r="P92" s="3" t="s">
        <v>61</v>
      </c>
      <c r="Q92" s="3" t="s">
        <v>61</v>
      </c>
      <c r="R92" s="3"/>
      <c r="S92" s="3"/>
      <c r="T92" s="3" t="s">
        <v>61</v>
      </c>
      <c r="U92" s="3" t="s">
        <v>582</v>
      </c>
      <c r="V92" s="3" t="s">
        <v>63</v>
      </c>
      <c r="W92" s="3" t="s">
        <v>63</v>
      </c>
      <c r="X92" s="3" t="s">
        <v>530</v>
      </c>
      <c r="Y92" s="3" t="s">
        <v>29</v>
      </c>
      <c r="Z92" t="s">
        <v>286</v>
      </c>
      <c r="AB92" s="3" t="s">
        <v>61</v>
      </c>
      <c r="AE92" t="s">
        <v>59</v>
      </c>
      <c r="AH92" s="3" t="s">
        <v>669</v>
      </c>
      <c r="AI92" s="3" t="s">
        <v>61</v>
      </c>
      <c r="AJ92" t="s">
        <v>60</v>
      </c>
      <c r="AL92" s="3" t="s">
        <v>29</v>
      </c>
      <c r="AN92" s="3" t="s">
        <v>29</v>
      </c>
      <c r="AP92" s="3" t="s">
        <v>143</v>
      </c>
      <c r="AS92" s="3" t="s">
        <v>30</v>
      </c>
      <c r="AT92" s="3"/>
      <c r="AU92" s="3" t="s">
        <v>585</v>
      </c>
    </row>
    <row r="93" spans="1:47">
      <c r="A93" t="s">
        <v>583</v>
      </c>
      <c r="B93" s="3" t="s">
        <v>136</v>
      </c>
      <c r="C93" s="3" t="s">
        <v>27</v>
      </c>
      <c r="D93" s="3" t="s">
        <v>18</v>
      </c>
      <c r="E93" s="3" t="s">
        <v>29</v>
      </c>
      <c r="F93" s="3" t="s">
        <v>28</v>
      </c>
      <c r="G93" s="4">
        <f t="shared" ca="1" si="2"/>
        <v>44265.406385532406</v>
      </c>
      <c r="H93" s="3" t="s">
        <v>229</v>
      </c>
      <c r="I93" s="3"/>
      <c r="J93" s="3" t="s">
        <v>671</v>
      </c>
      <c r="K93" s="3" t="s">
        <v>229</v>
      </c>
      <c r="L93" s="3" t="s">
        <v>61</v>
      </c>
      <c r="M93" s="3" t="s">
        <v>580</v>
      </c>
      <c r="N93" s="3" t="s">
        <v>220</v>
      </c>
      <c r="P93" s="3" t="s">
        <v>61</v>
      </c>
      <c r="Q93" s="3" t="s">
        <v>61</v>
      </c>
      <c r="R93" s="3" t="s">
        <v>679</v>
      </c>
      <c r="S93" s="3" t="s">
        <v>680</v>
      </c>
      <c r="T93" s="3" t="s">
        <v>61</v>
      </c>
      <c r="U93" s="3" t="s">
        <v>582</v>
      </c>
      <c r="V93" s="3" t="s">
        <v>219</v>
      </c>
      <c r="W93" s="3" t="s">
        <v>63</v>
      </c>
      <c r="X93" s="3"/>
      <c r="Y93" s="3" t="s">
        <v>29</v>
      </c>
      <c r="Z93" t="s">
        <v>286</v>
      </c>
      <c r="AB93" s="3"/>
      <c r="AE93" t="s">
        <v>59</v>
      </c>
      <c r="AH93" s="3" t="s">
        <v>669</v>
      </c>
      <c r="AI93" s="3" t="s">
        <v>61</v>
      </c>
      <c r="AJ93" t="s">
        <v>60</v>
      </c>
      <c r="AL93" s="3" t="s">
        <v>29</v>
      </c>
      <c r="AN93" s="3" t="s">
        <v>29</v>
      </c>
      <c r="AP93" s="3" t="s">
        <v>143</v>
      </c>
      <c r="AS93" s="3" t="s">
        <v>30</v>
      </c>
      <c r="AT93" s="3"/>
      <c r="AU93" s="3" t="s">
        <v>682</v>
      </c>
    </row>
    <row r="94" spans="1:47">
      <c r="A94" t="s">
        <v>583</v>
      </c>
      <c r="B94" s="3" t="s">
        <v>136</v>
      </c>
      <c r="C94" s="3" t="s">
        <v>27</v>
      </c>
      <c r="D94" s="3" t="s">
        <v>18</v>
      </c>
      <c r="E94" s="3" t="s">
        <v>29</v>
      </c>
      <c r="F94" s="3" t="s">
        <v>28</v>
      </c>
      <c r="G94" s="4">
        <f t="shared" ca="1" si="2"/>
        <v>44265.406385532406</v>
      </c>
      <c r="H94" s="3" t="s">
        <v>229</v>
      </c>
      <c r="I94" s="3"/>
      <c r="J94" s="3" t="s">
        <v>189</v>
      </c>
      <c r="K94" s="3" t="s">
        <v>229</v>
      </c>
      <c r="L94" s="3" t="s">
        <v>61</v>
      </c>
      <c r="M94" s="3" t="s">
        <v>548</v>
      </c>
      <c r="N94" s="3" t="s">
        <v>220</v>
      </c>
      <c r="P94" s="3" t="s">
        <v>61</v>
      </c>
      <c r="Q94" s="3" t="s">
        <v>61</v>
      </c>
      <c r="R94" s="3"/>
      <c r="S94" s="3"/>
      <c r="T94" s="3" t="s">
        <v>61</v>
      </c>
      <c r="U94" s="3" t="s">
        <v>582</v>
      </c>
      <c r="V94" s="3" t="s">
        <v>219</v>
      </c>
      <c r="W94" s="3" t="s">
        <v>63</v>
      </c>
      <c r="X94" s="3" t="s">
        <v>530</v>
      </c>
      <c r="Y94" s="3" t="s">
        <v>63</v>
      </c>
      <c r="Z94" t="s">
        <v>286</v>
      </c>
      <c r="AB94" s="3" t="s">
        <v>61</v>
      </c>
      <c r="AE94" t="s">
        <v>59</v>
      </c>
      <c r="AH94" s="3" t="s">
        <v>669</v>
      </c>
      <c r="AI94" s="3" t="s">
        <v>61</v>
      </c>
      <c r="AJ94" t="s">
        <v>60</v>
      </c>
      <c r="AL94" s="3" t="s">
        <v>29</v>
      </c>
      <c r="AN94" s="3" t="s">
        <v>29</v>
      </c>
      <c r="AP94" s="3" t="s">
        <v>143</v>
      </c>
      <c r="AS94" s="3" t="s">
        <v>30</v>
      </c>
      <c r="AT94" s="3"/>
      <c r="AU94" s="3" t="s">
        <v>585</v>
      </c>
    </row>
    <row r="95" spans="1:47">
      <c r="A95" t="s">
        <v>583</v>
      </c>
      <c r="B95" s="3" t="s">
        <v>136</v>
      </c>
      <c r="C95" s="3" t="s">
        <v>27</v>
      </c>
      <c r="D95" s="3" t="s">
        <v>18</v>
      </c>
      <c r="E95" s="3" t="s">
        <v>29</v>
      </c>
      <c r="F95" s="3" t="s">
        <v>28</v>
      </c>
      <c r="G95" s="4">
        <f t="shared" ca="1" si="2"/>
        <v>44265.406385532406</v>
      </c>
      <c r="H95" s="3" t="s">
        <v>229</v>
      </c>
      <c r="I95" s="3"/>
      <c r="J95" s="3" t="s">
        <v>672</v>
      </c>
      <c r="K95" s="3" t="s">
        <v>229</v>
      </c>
      <c r="L95" s="3" t="s">
        <v>61</v>
      </c>
      <c r="M95" s="3" t="s">
        <v>548</v>
      </c>
      <c r="N95" s="3" t="s">
        <v>220</v>
      </c>
      <c r="P95" s="3" t="s">
        <v>61</v>
      </c>
      <c r="Q95" s="3" t="s">
        <v>61</v>
      </c>
      <c r="R95" s="3" t="s">
        <v>679</v>
      </c>
      <c r="S95" s="3" t="s">
        <v>680</v>
      </c>
      <c r="T95" s="3" t="s">
        <v>61</v>
      </c>
      <c r="U95" s="3" t="s">
        <v>582</v>
      </c>
      <c r="V95" s="3" t="s">
        <v>219</v>
      </c>
      <c r="W95" s="3" t="s">
        <v>63</v>
      </c>
      <c r="X95" s="3"/>
      <c r="Y95" s="3" t="s">
        <v>63</v>
      </c>
      <c r="Z95" t="s">
        <v>286</v>
      </c>
      <c r="AB95" s="3"/>
      <c r="AE95" t="s">
        <v>59</v>
      </c>
      <c r="AH95" s="3" t="s">
        <v>669</v>
      </c>
      <c r="AI95" s="3" t="s">
        <v>61</v>
      </c>
      <c r="AJ95" t="s">
        <v>60</v>
      </c>
      <c r="AL95" s="3" t="s">
        <v>29</v>
      </c>
      <c r="AN95" s="3" t="s">
        <v>29</v>
      </c>
      <c r="AP95" s="3" t="s">
        <v>143</v>
      </c>
      <c r="AS95" s="3" t="s">
        <v>30</v>
      </c>
      <c r="AT95" s="3"/>
      <c r="AU95" s="3" t="s">
        <v>681</v>
      </c>
    </row>
    <row r="96" spans="1:47">
      <c r="A96" t="s">
        <v>274</v>
      </c>
      <c r="B96" s="3" t="s">
        <v>26</v>
      </c>
      <c r="C96" s="3" t="s">
        <v>27</v>
      </c>
      <c r="D96" s="3" t="s">
        <v>18</v>
      </c>
      <c r="E96" s="3" t="s">
        <v>29</v>
      </c>
      <c r="F96" s="3" t="s">
        <v>28</v>
      </c>
      <c r="G96" s="4">
        <f t="shared" ca="1" si="2"/>
        <v>44265.406385532406</v>
      </c>
      <c r="H96" s="3" t="s">
        <v>229</v>
      </c>
      <c r="I96" s="3"/>
      <c r="J96" s="3" t="s">
        <v>189</v>
      </c>
      <c r="K96" s="3" t="s">
        <v>229</v>
      </c>
      <c r="L96" s="3" t="s">
        <v>61</v>
      </c>
      <c r="M96" s="3" t="s">
        <v>597</v>
      </c>
      <c r="N96" s="3" t="s">
        <v>61</v>
      </c>
      <c r="P96" s="3" t="s">
        <v>61</v>
      </c>
      <c r="Q96" s="3" t="s">
        <v>61</v>
      </c>
      <c r="R96" s="3"/>
      <c r="S96" s="3"/>
      <c r="T96" s="3" t="s">
        <v>61</v>
      </c>
      <c r="U96" s="3" t="s">
        <v>599</v>
      </c>
      <c r="V96" t="s">
        <v>138</v>
      </c>
      <c r="W96" s="3" t="s">
        <v>63</v>
      </c>
      <c r="X96" s="3" t="s">
        <v>600</v>
      </c>
      <c r="Y96" s="3" t="s">
        <v>29</v>
      </c>
      <c r="Z96" t="s">
        <v>286</v>
      </c>
      <c r="AB96" s="3" t="s">
        <v>61</v>
      </c>
      <c r="AE96" t="s">
        <v>59</v>
      </c>
      <c r="AH96" t="s">
        <v>138</v>
      </c>
      <c r="AI96" s="3" t="s">
        <v>29</v>
      </c>
      <c r="AJ96" t="s">
        <v>60</v>
      </c>
      <c r="AL96" s="3" t="s">
        <v>29</v>
      </c>
      <c r="AN96" s="3" t="s">
        <v>29</v>
      </c>
      <c r="AP96" s="3" t="s">
        <v>143</v>
      </c>
      <c r="AS96" s="3" t="s">
        <v>30</v>
      </c>
      <c r="AT96" s="3"/>
      <c r="AU96" s="3" t="s">
        <v>196</v>
      </c>
    </row>
    <row r="97" spans="1:47">
      <c r="A97" t="s">
        <v>274</v>
      </c>
      <c r="B97" s="3" t="s">
        <v>136</v>
      </c>
      <c r="C97" s="3" t="s">
        <v>27</v>
      </c>
      <c r="D97" s="3" t="s">
        <v>18</v>
      </c>
      <c r="E97" s="3" t="s">
        <v>29</v>
      </c>
      <c r="F97" s="3" t="s">
        <v>28</v>
      </c>
      <c r="G97" s="4">
        <f t="shared" ca="1" si="2"/>
        <v>44265.406385532406</v>
      </c>
      <c r="H97" s="3" t="s">
        <v>229</v>
      </c>
      <c r="I97" s="3"/>
      <c r="J97" s="3" t="s">
        <v>189</v>
      </c>
      <c r="K97" s="3" t="s">
        <v>229</v>
      </c>
      <c r="L97" s="3" t="s">
        <v>61</v>
      </c>
      <c r="M97" s="3" t="s">
        <v>597</v>
      </c>
      <c r="N97" s="3" t="s">
        <v>61</v>
      </c>
      <c r="P97" s="3" t="s">
        <v>61</v>
      </c>
      <c r="Q97" s="3" t="s">
        <v>61</v>
      </c>
      <c r="R97" s="3"/>
      <c r="S97" s="3"/>
      <c r="T97" s="3" t="s">
        <v>61</v>
      </c>
      <c r="U97" s="3" t="s">
        <v>599</v>
      </c>
      <c r="V97" s="3" t="s">
        <v>61</v>
      </c>
      <c r="W97" s="3" t="s">
        <v>63</v>
      </c>
      <c r="X97" s="3" t="s">
        <v>600</v>
      </c>
      <c r="Y97" s="3" t="s">
        <v>29</v>
      </c>
      <c r="Z97" t="s">
        <v>286</v>
      </c>
      <c r="AB97" s="3" t="s">
        <v>61</v>
      </c>
      <c r="AE97" t="s">
        <v>59</v>
      </c>
      <c r="AH97" s="3" t="s">
        <v>61</v>
      </c>
      <c r="AI97" s="3" t="s">
        <v>29</v>
      </c>
      <c r="AJ97" t="s">
        <v>60</v>
      </c>
      <c r="AL97" s="3" t="s">
        <v>29</v>
      </c>
      <c r="AN97" s="3" t="s">
        <v>29</v>
      </c>
      <c r="AP97" s="3" t="s">
        <v>143</v>
      </c>
      <c r="AS97" s="3" t="s">
        <v>30</v>
      </c>
      <c r="AT97" s="3"/>
      <c r="AU97" s="3" t="s">
        <v>196</v>
      </c>
    </row>
    <row r="98" spans="1:47">
      <c r="A98" t="s">
        <v>276</v>
      </c>
      <c r="B98" s="3" t="s">
        <v>136</v>
      </c>
      <c r="C98" s="3" t="s">
        <v>27</v>
      </c>
      <c r="D98" s="3" t="s">
        <v>18</v>
      </c>
      <c r="E98" s="3" t="s">
        <v>29</v>
      </c>
      <c r="F98" s="3" t="s">
        <v>28</v>
      </c>
      <c r="G98" s="4">
        <f t="shared" ca="1" si="2"/>
        <v>44265.406385532406</v>
      </c>
      <c r="H98" s="3" t="s">
        <v>228</v>
      </c>
      <c r="I98" s="3"/>
      <c r="J98" s="3" t="s">
        <v>189</v>
      </c>
      <c r="K98" s="3" t="s">
        <v>228</v>
      </c>
      <c r="L98" s="3" t="s">
        <v>61</v>
      </c>
      <c r="M98" s="3" t="s">
        <v>601</v>
      </c>
      <c r="N98" s="3" t="s">
        <v>61</v>
      </c>
      <c r="P98" s="3" t="s">
        <v>61</v>
      </c>
      <c r="Q98" s="3" t="s">
        <v>61</v>
      </c>
      <c r="R98" s="3"/>
      <c r="S98" s="3"/>
      <c r="T98" s="3" t="s">
        <v>61</v>
      </c>
      <c r="U98" s="3" t="s">
        <v>29</v>
      </c>
      <c r="V98" s="3" t="s">
        <v>68</v>
      </c>
      <c r="W98" s="3" t="s">
        <v>63</v>
      </c>
      <c r="X98" s="3" t="s">
        <v>610</v>
      </c>
      <c r="Y98" s="3" t="s">
        <v>559</v>
      </c>
      <c r="Z98" t="s">
        <v>286</v>
      </c>
      <c r="AB98" s="3" t="s">
        <v>61</v>
      </c>
      <c r="AE98" t="s">
        <v>59</v>
      </c>
      <c r="AH98" s="3" t="s">
        <v>68</v>
      </c>
      <c r="AI98" s="3" t="s">
        <v>29</v>
      </c>
      <c r="AJ98" t="s">
        <v>60</v>
      </c>
      <c r="AL98" s="3" t="s">
        <v>29</v>
      </c>
      <c r="AN98" s="3" t="s">
        <v>29</v>
      </c>
      <c r="AP98" s="3" t="s">
        <v>143</v>
      </c>
      <c r="AS98" s="3" t="s">
        <v>30</v>
      </c>
      <c r="AT98" s="3"/>
      <c r="AU98" s="3" t="s">
        <v>196</v>
      </c>
    </row>
    <row r="99" spans="1:47">
      <c r="A99" t="s">
        <v>276</v>
      </c>
      <c r="B99" s="3" t="s">
        <v>136</v>
      </c>
      <c r="C99" s="3" t="s">
        <v>27</v>
      </c>
      <c r="D99" s="3" t="s">
        <v>18</v>
      </c>
      <c r="E99" s="3" t="s">
        <v>29</v>
      </c>
      <c r="F99" s="3" t="s">
        <v>28</v>
      </c>
      <c r="G99" s="4">
        <f t="shared" ca="1" si="2"/>
        <v>44265.406385532406</v>
      </c>
      <c r="H99" s="3" t="s">
        <v>228</v>
      </c>
      <c r="I99" s="3"/>
      <c r="J99" s="3" t="s">
        <v>189</v>
      </c>
      <c r="K99" s="3" t="s">
        <v>228</v>
      </c>
      <c r="L99" s="3" t="s">
        <v>61</v>
      </c>
      <c r="M99" s="3" t="s">
        <v>602</v>
      </c>
      <c r="N99" s="3" t="s">
        <v>61</v>
      </c>
      <c r="P99" s="3" t="s">
        <v>61</v>
      </c>
      <c r="Q99" s="3" t="s">
        <v>61</v>
      </c>
      <c r="R99" s="3"/>
      <c r="S99" s="3"/>
      <c r="T99" s="3" t="s">
        <v>61</v>
      </c>
      <c r="U99" s="3" t="s">
        <v>29</v>
      </c>
      <c r="V99" s="3" t="s">
        <v>220</v>
      </c>
      <c r="W99" s="3" t="s">
        <v>63</v>
      </c>
      <c r="X99" s="3" t="s">
        <v>611</v>
      </c>
      <c r="Y99" s="3" t="s">
        <v>559</v>
      </c>
      <c r="Z99" t="s">
        <v>286</v>
      </c>
      <c r="AB99" s="3" t="s">
        <v>61</v>
      </c>
      <c r="AE99" t="s">
        <v>59</v>
      </c>
      <c r="AH99" s="3" t="s">
        <v>197</v>
      </c>
      <c r="AI99" s="3" t="s">
        <v>61</v>
      </c>
      <c r="AJ99" t="s">
        <v>60</v>
      </c>
      <c r="AL99" s="3" t="s">
        <v>29</v>
      </c>
      <c r="AN99" s="3" t="s">
        <v>29</v>
      </c>
      <c r="AP99" s="3" t="s">
        <v>143</v>
      </c>
      <c r="AS99" s="3" t="s">
        <v>30</v>
      </c>
      <c r="AT99" s="3"/>
      <c r="AU99" s="3" t="s">
        <v>196</v>
      </c>
    </row>
    <row r="100" spans="1:47">
      <c r="A100" t="s">
        <v>276</v>
      </c>
      <c r="B100" s="3" t="s">
        <v>136</v>
      </c>
      <c r="C100" s="3" t="s">
        <v>27</v>
      </c>
      <c r="D100" s="3" t="s">
        <v>18</v>
      </c>
      <c r="E100" s="3" t="s">
        <v>29</v>
      </c>
      <c r="F100" s="3" t="s">
        <v>28</v>
      </c>
      <c r="G100" s="4">
        <f t="shared" ca="1" si="2"/>
        <v>44265.406385532406</v>
      </c>
      <c r="H100" s="3" t="s">
        <v>228</v>
      </c>
      <c r="I100" s="3"/>
      <c r="J100" s="3" t="s">
        <v>189</v>
      </c>
      <c r="K100" s="3" t="s">
        <v>228</v>
      </c>
      <c r="L100" s="3" t="s">
        <v>61</v>
      </c>
      <c r="M100" s="3" t="s">
        <v>606</v>
      </c>
      <c r="N100" s="3" t="s">
        <v>61</v>
      </c>
      <c r="P100" s="3" t="s">
        <v>61</v>
      </c>
      <c r="Q100" s="3" t="s">
        <v>61</v>
      </c>
      <c r="R100" s="3"/>
      <c r="S100" s="3"/>
      <c r="T100" s="3" t="s">
        <v>61</v>
      </c>
      <c r="U100" s="3" t="s">
        <v>29</v>
      </c>
      <c r="V100" s="3" t="s">
        <v>220</v>
      </c>
      <c r="W100" s="3" t="s">
        <v>63</v>
      </c>
      <c r="X100" s="3" t="s">
        <v>612</v>
      </c>
      <c r="Y100" s="3" t="s">
        <v>559</v>
      </c>
      <c r="Z100" t="s">
        <v>286</v>
      </c>
      <c r="AB100" s="3" t="s">
        <v>61</v>
      </c>
      <c r="AE100" t="s">
        <v>59</v>
      </c>
      <c r="AH100" s="3" t="s">
        <v>197</v>
      </c>
      <c r="AI100" s="3" t="s">
        <v>61</v>
      </c>
      <c r="AJ100" t="s">
        <v>60</v>
      </c>
      <c r="AL100" s="3" t="s">
        <v>29</v>
      </c>
      <c r="AN100" s="3" t="s">
        <v>29</v>
      </c>
      <c r="AP100" s="3" t="s">
        <v>143</v>
      </c>
      <c r="AS100" s="3" t="s">
        <v>30</v>
      </c>
      <c r="AT100" s="3"/>
      <c r="AU100" s="3" t="s">
        <v>487</v>
      </c>
    </row>
    <row r="101" spans="1:47">
      <c r="A101" t="s">
        <v>276</v>
      </c>
      <c r="B101" s="3" t="s">
        <v>136</v>
      </c>
      <c r="C101" s="3" t="s">
        <v>27</v>
      </c>
      <c r="D101" s="3" t="s">
        <v>18</v>
      </c>
      <c r="E101" s="3" t="s">
        <v>29</v>
      </c>
      <c r="F101" s="3" t="s">
        <v>28</v>
      </c>
      <c r="G101" s="4">
        <f t="shared" ca="1" si="2"/>
        <v>44265.406385532406</v>
      </c>
      <c r="H101" s="3" t="s">
        <v>228</v>
      </c>
      <c r="I101" s="3"/>
      <c r="J101" s="3" t="s">
        <v>189</v>
      </c>
      <c r="K101" s="3" t="s">
        <v>228</v>
      </c>
      <c r="L101" s="3" t="s">
        <v>61</v>
      </c>
      <c r="M101" s="3" t="s">
        <v>603</v>
      </c>
      <c r="N101" s="3" t="s">
        <v>61</v>
      </c>
      <c r="P101" s="3" t="s">
        <v>61</v>
      </c>
      <c r="Q101" s="3" t="s">
        <v>61</v>
      </c>
      <c r="R101" s="3"/>
      <c r="S101" s="3"/>
      <c r="T101" s="3" t="s">
        <v>61</v>
      </c>
      <c r="U101" s="3" t="s">
        <v>220</v>
      </c>
      <c r="V101" s="3" t="s">
        <v>191</v>
      </c>
      <c r="W101" s="3" t="s">
        <v>63</v>
      </c>
      <c r="X101" s="3" t="s">
        <v>613</v>
      </c>
      <c r="Y101" s="3" t="s">
        <v>559</v>
      </c>
      <c r="Z101" t="s">
        <v>286</v>
      </c>
      <c r="AB101" s="3" t="s">
        <v>61</v>
      </c>
      <c r="AE101" t="s">
        <v>428</v>
      </c>
      <c r="AH101" s="3" t="s">
        <v>191</v>
      </c>
      <c r="AI101" s="3" t="s">
        <v>220</v>
      </c>
      <c r="AJ101" t="s">
        <v>60</v>
      </c>
      <c r="AL101" s="3" t="s">
        <v>29</v>
      </c>
      <c r="AN101" s="3" t="s">
        <v>29</v>
      </c>
      <c r="AP101" s="3" t="s">
        <v>143</v>
      </c>
      <c r="AS101" s="3" t="s">
        <v>30</v>
      </c>
      <c r="AT101" s="3"/>
      <c r="AU101" s="3" t="s">
        <v>196</v>
      </c>
    </row>
    <row r="102" spans="1:47">
      <c r="A102" t="s">
        <v>276</v>
      </c>
      <c r="B102" s="3" t="s">
        <v>136</v>
      </c>
      <c r="C102" s="3" t="s">
        <v>27</v>
      </c>
      <c r="D102" s="3" t="s">
        <v>18</v>
      </c>
      <c r="E102" s="3" t="s">
        <v>29</v>
      </c>
      <c r="F102" s="3" t="s">
        <v>28</v>
      </c>
      <c r="G102" s="4">
        <f t="shared" ca="1" si="2"/>
        <v>44265.406385532406</v>
      </c>
      <c r="H102" s="3" t="s">
        <v>228</v>
      </c>
      <c r="I102" s="3"/>
      <c r="J102" s="3" t="s">
        <v>189</v>
      </c>
      <c r="K102" s="3" t="s">
        <v>228</v>
      </c>
      <c r="L102" s="3" t="s">
        <v>61</v>
      </c>
      <c r="M102" s="3" t="s">
        <v>604</v>
      </c>
      <c r="N102" s="3" t="s">
        <v>61</v>
      </c>
      <c r="P102" s="3" t="s">
        <v>61</v>
      </c>
      <c r="Q102" s="3" t="s">
        <v>61</v>
      </c>
      <c r="R102" s="3"/>
      <c r="S102" s="3"/>
      <c r="T102" s="3" t="s">
        <v>61</v>
      </c>
      <c r="U102" s="3" t="s">
        <v>616</v>
      </c>
      <c r="V102" s="3" t="s">
        <v>191</v>
      </c>
      <c r="W102" s="3" t="s">
        <v>63</v>
      </c>
      <c r="X102" s="3" t="s">
        <v>614</v>
      </c>
      <c r="Y102" s="3" t="s">
        <v>559</v>
      </c>
      <c r="Z102" t="s">
        <v>286</v>
      </c>
      <c r="AB102" s="3" t="s">
        <v>61</v>
      </c>
      <c r="AE102" t="s">
        <v>59</v>
      </c>
      <c r="AH102" s="3" t="s">
        <v>191</v>
      </c>
      <c r="AI102" s="3" t="s">
        <v>29</v>
      </c>
      <c r="AJ102" t="s">
        <v>60</v>
      </c>
      <c r="AL102" s="3" t="s">
        <v>29</v>
      </c>
      <c r="AN102" s="3" t="s">
        <v>29</v>
      </c>
      <c r="AP102" s="3" t="s">
        <v>143</v>
      </c>
      <c r="AS102" s="3" t="s">
        <v>30</v>
      </c>
      <c r="AT102" s="3" t="s">
        <v>625</v>
      </c>
      <c r="AU102" s="3" t="s">
        <v>571</v>
      </c>
    </row>
    <row r="103" spans="1:47">
      <c r="A103" t="s">
        <v>276</v>
      </c>
      <c r="B103" s="3" t="s">
        <v>136</v>
      </c>
      <c r="C103" s="3" t="s">
        <v>27</v>
      </c>
      <c r="D103" s="3" t="s">
        <v>18</v>
      </c>
      <c r="E103" s="3" t="s">
        <v>29</v>
      </c>
      <c r="F103" s="3" t="s">
        <v>28</v>
      </c>
      <c r="G103" s="4">
        <f t="shared" ca="1" si="2"/>
        <v>44265.406385532406</v>
      </c>
      <c r="H103" s="3" t="s">
        <v>228</v>
      </c>
      <c r="I103" s="3"/>
      <c r="J103" s="3" t="s">
        <v>189</v>
      </c>
      <c r="K103" s="3" t="s">
        <v>228</v>
      </c>
      <c r="L103" s="3" t="s">
        <v>61</v>
      </c>
      <c r="M103" s="3" t="s">
        <v>603</v>
      </c>
      <c r="N103" s="3" t="s">
        <v>61</v>
      </c>
      <c r="P103" s="3" t="s">
        <v>61</v>
      </c>
      <c r="Q103" s="3" t="s">
        <v>61</v>
      </c>
      <c r="R103" s="3"/>
      <c r="S103" s="3"/>
      <c r="T103" s="3" t="s">
        <v>61</v>
      </c>
      <c r="U103" s="3" t="s">
        <v>220</v>
      </c>
      <c r="V103" s="3" t="s">
        <v>525</v>
      </c>
      <c r="W103" s="3" t="s">
        <v>63</v>
      </c>
      <c r="X103" s="3" t="s">
        <v>607</v>
      </c>
      <c r="Y103" s="3" t="s">
        <v>559</v>
      </c>
      <c r="Z103" t="s">
        <v>286</v>
      </c>
      <c r="AB103" s="3" t="s">
        <v>61</v>
      </c>
      <c r="AE103" t="s">
        <v>428</v>
      </c>
      <c r="AH103" s="3" t="s">
        <v>61</v>
      </c>
      <c r="AI103" s="3" t="s">
        <v>615</v>
      </c>
      <c r="AJ103" t="s">
        <v>60</v>
      </c>
      <c r="AL103" s="3" t="s">
        <v>29</v>
      </c>
      <c r="AN103" s="3" t="s">
        <v>29</v>
      </c>
      <c r="AP103" s="3" t="s">
        <v>143</v>
      </c>
      <c r="AS103" s="3" t="s">
        <v>30</v>
      </c>
      <c r="AU103" s="3" t="s">
        <v>196</v>
      </c>
    </row>
    <row r="104" spans="1:47">
      <c r="A104" t="s">
        <v>276</v>
      </c>
      <c r="B104" s="3" t="s">
        <v>136</v>
      </c>
      <c r="C104" s="3" t="s">
        <v>27</v>
      </c>
      <c r="D104" s="3" t="s">
        <v>18</v>
      </c>
      <c r="E104" s="3" t="s">
        <v>29</v>
      </c>
      <c r="F104" s="3" t="s">
        <v>28</v>
      </c>
      <c r="G104" s="4">
        <f t="shared" ca="1" si="2"/>
        <v>44265.406385532406</v>
      </c>
      <c r="H104" s="3" t="s">
        <v>228</v>
      </c>
      <c r="I104" s="3"/>
      <c r="J104" s="3" t="s">
        <v>189</v>
      </c>
      <c r="K104" s="3" t="s">
        <v>228</v>
      </c>
      <c r="L104" s="3" t="s">
        <v>61</v>
      </c>
      <c r="M104" s="3" t="s">
        <v>604</v>
      </c>
      <c r="N104" s="3" t="s">
        <v>61</v>
      </c>
      <c r="P104" s="3" t="s">
        <v>61</v>
      </c>
      <c r="Q104" s="3" t="s">
        <v>61</v>
      </c>
      <c r="R104" s="3"/>
      <c r="S104" s="3"/>
      <c r="T104" s="3" t="s">
        <v>61</v>
      </c>
      <c r="U104" s="3" t="s">
        <v>616</v>
      </c>
      <c r="V104" s="3" t="s">
        <v>525</v>
      </c>
      <c r="W104" s="3" t="s">
        <v>63</v>
      </c>
      <c r="X104" s="3" t="s">
        <v>607</v>
      </c>
      <c r="Y104" s="3" t="s">
        <v>559</v>
      </c>
      <c r="Z104" t="s">
        <v>286</v>
      </c>
      <c r="AB104" s="3" t="s">
        <v>61</v>
      </c>
      <c r="AE104" t="s">
        <v>59</v>
      </c>
      <c r="AH104" s="3" t="s">
        <v>61</v>
      </c>
      <c r="AI104" s="3" t="s">
        <v>609</v>
      </c>
      <c r="AJ104" t="s">
        <v>60</v>
      </c>
      <c r="AL104" s="3" t="s">
        <v>29</v>
      </c>
      <c r="AN104" s="3" t="s">
        <v>29</v>
      </c>
      <c r="AP104" s="3" t="s">
        <v>143</v>
      </c>
      <c r="AS104" s="3" t="s">
        <v>30</v>
      </c>
      <c r="AT104" s="3" t="s">
        <v>626</v>
      </c>
      <c r="AU104" s="3" t="s">
        <v>570</v>
      </c>
    </row>
    <row r="105" spans="1:47">
      <c r="A105" t="s">
        <v>357</v>
      </c>
      <c r="B105" s="3" t="s">
        <v>358</v>
      </c>
      <c r="C105" s="3" t="s">
        <v>27</v>
      </c>
      <c r="D105" s="3" t="s">
        <v>18</v>
      </c>
      <c r="E105" s="3" t="s">
        <v>29</v>
      </c>
      <c r="F105" s="3" t="s">
        <v>28</v>
      </c>
      <c r="G105" s="4">
        <f t="shared" ca="1" si="2"/>
        <v>44265.406385532406</v>
      </c>
      <c r="H105" s="3" t="s">
        <v>228</v>
      </c>
      <c r="I105" s="3"/>
      <c r="J105" s="3" t="s">
        <v>189</v>
      </c>
      <c r="K105" s="3" t="s">
        <v>228</v>
      </c>
      <c r="L105" s="3" t="s">
        <v>61</v>
      </c>
      <c r="M105" s="3" t="s">
        <v>623</v>
      </c>
      <c r="N105" s="3" t="s">
        <v>61</v>
      </c>
      <c r="P105" s="3" t="s">
        <v>366</v>
      </c>
      <c r="Q105" s="3" t="s">
        <v>61</v>
      </c>
      <c r="R105" s="3"/>
      <c r="S105" s="3"/>
      <c r="T105" s="3" t="s">
        <v>61</v>
      </c>
      <c r="U105" s="3" t="s">
        <v>220</v>
      </c>
      <c r="V105" s="3" t="s">
        <v>367</v>
      </c>
      <c r="W105" s="3" t="s">
        <v>368</v>
      </c>
      <c r="X105" s="3" t="s">
        <v>607</v>
      </c>
      <c r="Y105" s="3" t="s">
        <v>559</v>
      </c>
      <c r="Z105" t="s">
        <v>286</v>
      </c>
      <c r="AB105" s="3" t="s">
        <v>61</v>
      </c>
      <c r="AE105" t="s">
        <v>428</v>
      </c>
      <c r="AH105" s="3" t="s">
        <v>367</v>
      </c>
      <c r="AI105" s="3" t="s">
        <v>220</v>
      </c>
      <c r="AJ105" t="s">
        <v>369</v>
      </c>
      <c r="AL105" s="3" t="s">
        <v>29</v>
      </c>
      <c r="AN105" s="3" t="s">
        <v>29</v>
      </c>
      <c r="AP105" s="3" t="s">
        <v>370</v>
      </c>
      <c r="AS105" s="3" t="s">
        <v>145</v>
      </c>
      <c r="AT105" s="3"/>
      <c r="AU105" s="3" t="s">
        <v>196</v>
      </c>
    </row>
    <row r="106" spans="1:47">
      <c r="A106" t="s">
        <v>357</v>
      </c>
      <c r="B106" s="3" t="s">
        <v>358</v>
      </c>
      <c r="C106" s="3" t="s">
        <v>27</v>
      </c>
      <c r="D106" s="3" t="s">
        <v>18</v>
      </c>
      <c r="E106" s="3" t="s">
        <v>29</v>
      </c>
      <c r="F106" s="3" t="s">
        <v>28</v>
      </c>
      <c r="G106" s="4">
        <f t="shared" ca="1" si="2"/>
        <v>44265.406385532406</v>
      </c>
      <c r="H106" s="3" t="s">
        <v>228</v>
      </c>
      <c r="I106" s="3"/>
      <c r="J106" s="3" t="s">
        <v>189</v>
      </c>
      <c r="K106" s="3" t="s">
        <v>228</v>
      </c>
      <c r="L106" s="3" t="s">
        <v>61</v>
      </c>
      <c r="M106" s="3" t="s">
        <v>623</v>
      </c>
      <c r="N106" s="3" t="s">
        <v>61</v>
      </c>
      <c r="P106" s="3" t="s">
        <v>61</v>
      </c>
      <c r="Q106" s="3" t="s">
        <v>61</v>
      </c>
      <c r="R106" s="3"/>
      <c r="S106" s="3"/>
      <c r="T106" s="3" t="s">
        <v>61</v>
      </c>
      <c r="U106" s="3" t="s">
        <v>220</v>
      </c>
      <c r="V106" s="3" t="s">
        <v>220</v>
      </c>
      <c r="W106" s="3" t="s">
        <v>368</v>
      </c>
      <c r="X106" s="3" t="s">
        <v>607</v>
      </c>
      <c r="Y106" s="3" t="s">
        <v>559</v>
      </c>
      <c r="Z106" t="s">
        <v>286</v>
      </c>
      <c r="AB106" s="3" t="s">
        <v>61</v>
      </c>
      <c r="AE106" t="s">
        <v>428</v>
      </c>
      <c r="AH106" s="3" t="s">
        <v>220</v>
      </c>
      <c r="AI106" s="3" t="s">
        <v>61</v>
      </c>
      <c r="AJ106" t="s">
        <v>369</v>
      </c>
      <c r="AL106" s="3" t="s">
        <v>29</v>
      </c>
      <c r="AN106" s="3" t="s">
        <v>29</v>
      </c>
      <c r="AP106" s="3" t="s">
        <v>370</v>
      </c>
      <c r="AS106" s="3" t="s">
        <v>145</v>
      </c>
      <c r="AT106" s="3"/>
      <c r="AU106" s="3" t="s">
        <v>196</v>
      </c>
    </row>
    <row r="107" spans="1:47">
      <c r="A107" t="s">
        <v>357</v>
      </c>
      <c r="B107" s="3" t="s">
        <v>358</v>
      </c>
      <c r="C107" s="3" t="s">
        <v>27</v>
      </c>
      <c r="D107" s="3" t="s">
        <v>18</v>
      </c>
      <c r="E107" s="3" t="s">
        <v>29</v>
      </c>
      <c r="F107" s="3" t="s">
        <v>28</v>
      </c>
      <c r="G107" s="4">
        <f t="shared" ca="1" si="2"/>
        <v>44265.406385532406</v>
      </c>
      <c r="H107" s="3" t="s">
        <v>228</v>
      </c>
      <c r="I107" s="3"/>
      <c r="J107" s="3" t="s">
        <v>189</v>
      </c>
      <c r="K107" s="3" t="s">
        <v>228</v>
      </c>
      <c r="L107" s="3" t="s">
        <v>61</v>
      </c>
      <c r="M107" s="3" t="s">
        <v>629</v>
      </c>
      <c r="N107" s="3" t="s">
        <v>61</v>
      </c>
      <c r="P107" s="3" t="s">
        <v>61</v>
      </c>
      <c r="Q107" s="3" t="s">
        <v>61</v>
      </c>
      <c r="R107" s="3"/>
      <c r="S107" s="3"/>
      <c r="T107" s="3" t="s">
        <v>61</v>
      </c>
      <c r="U107" s="3" t="s">
        <v>220</v>
      </c>
      <c r="V107" s="3" t="s">
        <v>220</v>
      </c>
      <c r="W107" s="3" t="s">
        <v>368</v>
      </c>
      <c r="X107" s="3" t="s">
        <v>607</v>
      </c>
      <c r="Y107" s="3" t="s">
        <v>559</v>
      </c>
      <c r="Z107" t="s">
        <v>286</v>
      </c>
      <c r="AB107" s="3" t="s">
        <v>61</v>
      </c>
      <c r="AE107" t="s">
        <v>428</v>
      </c>
      <c r="AH107" s="3" t="s">
        <v>220</v>
      </c>
      <c r="AI107" s="3" t="s">
        <v>61</v>
      </c>
      <c r="AJ107" t="s">
        <v>369</v>
      </c>
      <c r="AL107" s="3" t="s">
        <v>29</v>
      </c>
      <c r="AN107" s="3" t="s">
        <v>29</v>
      </c>
      <c r="AP107" s="3" t="s">
        <v>370</v>
      </c>
      <c r="AS107" s="3" t="s">
        <v>145</v>
      </c>
      <c r="AT107" s="3"/>
      <c r="AU107" s="3" t="s">
        <v>487</v>
      </c>
    </row>
    <row r="108" spans="1:47">
      <c r="A108" t="s">
        <v>357</v>
      </c>
      <c r="B108" s="3" t="s">
        <v>358</v>
      </c>
      <c r="C108" s="3" t="s">
        <v>27</v>
      </c>
      <c r="D108" s="3" t="s">
        <v>18</v>
      </c>
      <c r="E108" s="3" t="s">
        <v>29</v>
      </c>
      <c r="F108" s="3" t="s">
        <v>28</v>
      </c>
      <c r="G108" s="4">
        <f t="shared" ca="1" si="2"/>
        <v>44265.406385532406</v>
      </c>
      <c r="H108" s="3" t="s">
        <v>228</v>
      </c>
      <c r="I108" s="3"/>
      <c r="J108" s="3" t="s">
        <v>189</v>
      </c>
      <c r="K108" s="3" t="s">
        <v>228</v>
      </c>
      <c r="L108" s="3" t="s">
        <v>61</v>
      </c>
      <c r="M108" s="3" t="s">
        <v>604</v>
      </c>
      <c r="N108" s="3" t="s">
        <v>61</v>
      </c>
      <c r="P108" s="3" t="s">
        <v>366</v>
      </c>
      <c r="Q108" s="3" t="s">
        <v>61</v>
      </c>
      <c r="R108" s="3"/>
      <c r="S108" s="3"/>
      <c r="T108" s="3" t="s">
        <v>61</v>
      </c>
      <c r="U108" s="3" t="s">
        <v>29</v>
      </c>
      <c r="V108" s="3" t="s">
        <v>367</v>
      </c>
      <c r="W108" s="3" t="s">
        <v>368</v>
      </c>
      <c r="X108" s="3" t="s">
        <v>607</v>
      </c>
      <c r="Y108" s="3" t="s">
        <v>559</v>
      </c>
      <c r="Z108" t="s">
        <v>286</v>
      </c>
      <c r="AB108" s="3" t="s">
        <v>61</v>
      </c>
      <c r="AE108" t="s">
        <v>59</v>
      </c>
      <c r="AH108" s="3" t="s">
        <v>367</v>
      </c>
      <c r="AI108" s="3" t="s">
        <v>29</v>
      </c>
      <c r="AJ108" t="s">
        <v>369</v>
      </c>
      <c r="AL108" s="3" t="s">
        <v>29</v>
      </c>
      <c r="AN108" s="3" t="s">
        <v>29</v>
      </c>
      <c r="AP108" s="3" t="s">
        <v>370</v>
      </c>
      <c r="AS108" s="3" t="s">
        <v>145</v>
      </c>
      <c r="AT108" s="3" t="s">
        <v>627</v>
      </c>
      <c r="AU108" s="3" t="s">
        <v>570</v>
      </c>
    </row>
    <row r="109" spans="1:47">
      <c r="A109" t="s">
        <v>357</v>
      </c>
      <c r="B109" s="3" t="s">
        <v>358</v>
      </c>
      <c r="C109" s="3" t="s">
        <v>27</v>
      </c>
      <c r="D109" s="3" t="s">
        <v>18</v>
      </c>
      <c r="E109" s="3" t="s">
        <v>29</v>
      </c>
      <c r="F109" s="3" t="s">
        <v>28</v>
      </c>
      <c r="G109" s="4">
        <f t="shared" ca="1" si="2"/>
        <v>44265.406385532406</v>
      </c>
      <c r="H109" s="3" t="s">
        <v>228</v>
      </c>
      <c r="I109" s="3"/>
      <c r="J109" s="3" t="s">
        <v>189</v>
      </c>
      <c r="K109" s="3" t="s">
        <v>228</v>
      </c>
      <c r="L109" s="3" t="s">
        <v>61</v>
      </c>
      <c r="M109" s="3" t="s">
        <v>630</v>
      </c>
      <c r="N109" s="3" t="s">
        <v>61</v>
      </c>
      <c r="P109" s="3" t="s">
        <v>61</v>
      </c>
      <c r="Q109" s="3" t="s">
        <v>61</v>
      </c>
      <c r="R109" s="3"/>
      <c r="S109" s="3"/>
      <c r="T109" s="3" t="s">
        <v>61</v>
      </c>
      <c r="U109" s="3" t="s">
        <v>29</v>
      </c>
      <c r="V109" s="3" t="s">
        <v>220</v>
      </c>
      <c r="W109" s="3" t="s">
        <v>368</v>
      </c>
      <c r="X109" s="3" t="s">
        <v>607</v>
      </c>
      <c r="Y109" s="3" t="s">
        <v>559</v>
      </c>
      <c r="Z109" t="s">
        <v>286</v>
      </c>
      <c r="AB109" s="3" t="s">
        <v>61</v>
      </c>
      <c r="AE109" t="s">
        <v>59</v>
      </c>
      <c r="AH109" s="3" t="s">
        <v>220</v>
      </c>
      <c r="AI109" s="3" t="s">
        <v>61</v>
      </c>
      <c r="AJ109" t="s">
        <v>369</v>
      </c>
      <c r="AL109" s="3" t="s">
        <v>29</v>
      </c>
      <c r="AN109" s="3" t="s">
        <v>29</v>
      </c>
      <c r="AP109" s="3" t="s">
        <v>370</v>
      </c>
      <c r="AS109" s="3" t="s">
        <v>145</v>
      </c>
      <c r="AT109" s="3" t="s">
        <v>628</v>
      </c>
      <c r="AU109" s="3" t="s">
        <v>670</v>
      </c>
    </row>
    <row r="110" spans="1:47">
      <c r="A110" t="s">
        <v>357</v>
      </c>
      <c r="B110" s="3" t="s">
        <v>358</v>
      </c>
      <c r="C110" s="3" t="s">
        <v>27</v>
      </c>
      <c r="D110" s="3" t="s">
        <v>18</v>
      </c>
      <c r="E110" s="3" t="s">
        <v>29</v>
      </c>
      <c r="F110" s="3" t="s">
        <v>28</v>
      </c>
      <c r="G110" s="4">
        <f t="shared" ca="1" si="2"/>
        <v>44265.406385532406</v>
      </c>
      <c r="H110" s="3" t="s">
        <v>228</v>
      </c>
      <c r="I110" s="3"/>
      <c r="J110" s="3" t="s">
        <v>189</v>
      </c>
      <c r="K110" s="3" t="s">
        <v>228</v>
      </c>
      <c r="L110" s="3" t="s">
        <v>61</v>
      </c>
      <c r="M110" s="3" t="s">
        <v>631</v>
      </c>
      <c r="N110" s="3" t="s">
        <v>61</v>
      </c>
      <c r="P110" s="3" t="s">
        <v>61</v>
      </c>
      <c r="Q110" s="3" t="s">
        <v>61</v>
      </c>
      <c r="R110" s="3"/>
      <c r="S110" s="3"/>
      <c r="T110" s="3" t="s">
        <v>61</v>
      </c>
      <c r="U110" s="3" t="s">
        <v>29</v>
      </c>
      <c r="V110" s="3" t="s">
        <v>220</v>
      </c>
      <c r="W110" s="3" t="s">
        <v>368</v>
      </c>
      <c r="X110" s="3" t="s">
        <v>607</v>
      </c>
      <c r="Y110" s="3" t="s">
        <v>559</v>
      </c>
      <c r="Z110" t="s">
        <v>286</v>
      </c>
      <c r="AB110" s="3" t="s">
        <v>61</v>
      </c>
      <c r="AE110" t="s">
        <v>59</v>
      </c>
      <c r="AH110" s="3" t="s">
        <v>220</v>
      </c>
      <c r="AI110" s="3" t="s">
        <v>61</v>
      </c>
      <c r="AJ110" t="s">
        <v>369</v>
      </c>
      <c r="AL110" s="3" t="s">
        <v>29</v>
      </c>
      <c r="AN110" s="3" t="s">
        <v>29</v>
      </c>
      <c r="AP110" s="3" t="s">
        <v>370</v>
      </c>
      <c r="AS110" s="3" t="s">
        <v>145</v>
      </c>
      <c r="AT110" s="3" t="s">
        <v>628</v>
      </c>
      <c r="AU110" s="3" t="s">
        <v>745</v>
      </c>
    </row>
    <row r="111" spans="1:47">
      <c r="A111" t="s">
        <v>274</v>
      </c>
      <c r="B111" s="3" t="s">
        <v>26</v>
      </c>
      <c r="C111" s="3" t="s">
        <v>27</v>
      </c>
      <c r="D111" s="3" t="s">
        <v>18</v>
      </c>
      <c r="E111" s="3" t="s">
        <v>29</v>
      </c>
      <c r="F111" s="3" t="s">
        <v>28</v>
      </c>
      <c r="G111" s="4">
        <f t="shared" ca="1" si="2"/>
        <v>44265.406385532406</v>
      </c>
      <c r="H111" s="3" t="s">
        <v>229</v>
      </c>
      <c r="I111" s="3"/>
      <c r="J111" s="3" t="s">
        <v>189</v>
      </c>
      <c r="K111" s="3" t="s">
        <v>229</v>
      </c>
      <c r="L111" s="3" t="s">
        <v>61</v>
      </c>
      <c r="M111" s="3" t="s">
        <v>597</v>
      </c>
      <c r="N111" s="3" t="s">
        <v>61</v>
      </c>
      <c r="P111" s="3" t="s">
        <v>61</v>
      </c>
      <c r="Q111" s="3" t="s">
        <v>61</v>
      </c>
      <c r="R111" s="3"/>
      <c r="S111" s="3"/>
      <c r="T111" s="3" t="s">
        <v>61</v>
      </c>
      <c r="U111" s="3" t="s">
        <v>599</v>
      </c>
      <c r="V111" t="s">
        <v>138</v>
      </c>
      <c r="W111" s="3" t="s">
        <v>63</v>
      </c>
      <c r="X111" s="3" t="s">
        <v>640</v>
      </c>
      <c r="Y111" s="3" t="s">
        <v>633</v>
      </c>
      <c r="Z111" t="s">
        <v>286</v>
      </c>
      <c r="AB111" s="3" t="s">
        <v>61</v>
      </c>
      <c r="AE111" t="s">
        <v>59</v>
      </c>
      <c r="AH111" t="s">
        <v>138</v>
      </c>
      <c r="AI111" s="3" t="s">
        <v>29</v>
      </c>
      <c r="AJ111" t="s">
        <v>60</v>
      </c>
      <c r="AL111" s="3" t="s">
        <v>29</v>
      </c>
      <c r="AN111" s="3" t="s">
        <v>29</v>
      </c>
      <c r="AP111" s="3" t="s">
        <v>143</v>
      </c>
      <c r="AS111" s="3" t="s">
        <v>30</v>
      </c>
      <c r="AT111" s="3"/>
      <c r="AU111" s="3" t="s">
        <v>196</v>
      </c>
    </row>
    <row r="112" spans="1:47">
      <c r="A112" t="s">
        <v>274</v>
      </c>
      <c r="B112" s="3" t="s">
        <v>136</v>
      </c>
      <c r="C112" s="3" t="s">
        <v>27</v>
      </c>
      <c r="D112" s="3" t="s">
        <v>18</v>
      </c>
      <c r="E112" s="3" t="s">
        <v>29</v>
      </c>
      <c r="F112" s="3" t="s">
        <v>28</v>
      </c>
      <c r="G112" s="4">
        <f t="shared" ca="1" si="2"/>
        <v>44265.406385532406</v>
      </c>
      <c r="H112" s="3" t="s">
        <v>229</v>
      </c>
      <c r="I112" s="3"/>
      <c r="J112" s="3" t="s">
        <v>189</v>
      </c>
      <c r="K112" s="3" t="s">
        <v>229</v>
      </c>
      <c r="L112" s="3" t="s">
        <v>61</v>
      </c>
      <c r="M112" s="3" t="s">
        <v>597</v>
      </c>
      <c r="N112" s="3" t="s">
        <v>61</v>
      </c>
      <c r="P112" s="3" t="s">
        <v>61</v>
      </c>
      <c r="Q112" s="3" t="s">
        <v>61</v>
      </c>
      <c r="R112" s="3"/>
      <c r="S112" s="3"/>
      <c r="T112" s="3" t="s">
        <v>61</v>
      </c>
      <c r="U112" s="3" t="s">
        <v>599</v>
      </c>
      <c r="V112" s="3" t="s">
        <v>61</v>
      </c>
      <c r="W112" s="3" t="s">
        <v>63</v>
      </c>
      <c r="X112" s="3" t="s">
        <v>641</v>
      </c>
      <c r="Y112" s="3" t="s">
        <v>584</v>
      </c>
      <c r="Z112" t="s">
        <v>286</v>
      </c>
      <c r="AB112" s="3" t="s">
        <v>61</v>
      </c>
      <c r="AE112" t="s">
        <v>59</v>
      </c>
      <c r="AH112" s="3" t="s">
        <v>61</v>
      </c>
      <c r="AI112" s="3" t="s">
        <v>29</v>
      </c>
      <c r="AJ112" t="s">
        <v>60</v>
      </c>
      <c r="AL112" s="3" t="s">
        <v>29</v>
      </c>
      <c r="AN112" s="3" t="s">
        <v>29</v>
      </c>
      <c r="AP112" s="3" t="s">
        <v>143</v>
      </c>
      <c r="AS112" s="3" t="s">
        <v>30</v>
      </c>
      <c r="AT112" s="3"/>
      <c r="AU112" s="3" t="s">
        <v>196</v>
      </c>
    </row>
    <row r="113" spans="1:47">
      <c r="A113" t="s">
        <v>276</v>
      </c>
      <c r="B113" s="3" t="s">
        <v>136</v>
      </c>
      <c r="C113" s="3" t="s">
        <v>27</v>
      </c>
      <c r="D113" s="3" t="s">
        <v>18</v>
      </c>
      <c r="E113" s="3" t="s">
        <v>29</v>
      </c>
      <c r="F113" s="3" t="s">
        <v>28</v>
      </c>
      <c r="G113" s="4">
        <f t="shared" ca="1" si="2"/>
        <v>44265.406385532406</v>
      </c>
      <c r="H113" s="3" t="s">
        <v>228</v>
      </c>
      <c r="I113" s="3"/>
      <c r="J113" s="3" t="s">
        <v>189</v>
      </c>
      <c r="K113" s="3" t="s">
        <v>228</v>
      </c>
      <c r="L113" s="3" t="s">
        <v>61</v>
      </c>
      <c r="M113" s="3" t="s">
        <v>645</v>
      </c>
      <c r="N113" s="3" t="s">
        <v>61</v>
      </c>
      <c r="P113" s="3" t="s">
        <v>61</v>
      </c>
      <c r="Q113" s="3" t="s">
        <v>61</v>
      </c>
      <c r="R113" s="3"/>
      <c r="S113" s="3"/>
      <c r="T113" s="3" t="s">
        <v>61</v>
      </c>
      <c r="U113" s="3" t="s">
        <v>29</v>
      </c>
      <c r="V113" s="3" t="s">
        <v>68</v>
      </c>
      <c r="W113" s="3" t="s">
        <v>63</v>
      </c>
      <c r="X113" s="3" t="s">
        <v>634</v>
      </c>
      <c r="Y113" s="3" t="s">
        <v>219</v>
      </c>
      <c r="Z113" t="s">
        <v>286</v>
      </c>
      <c r="AB113" s="3" t="s">
        <v>61</v>
      </c>
      <c r="AE113" t="s">
        <v>59</v>
      </c>
      <c r="AH113" s="3" t="s">
        <v>68</v>
      </c>
      <c r="AI113" s="3" t="s">
        <v>29</v>
      </c>
      <c r="AJ113" t="s">
        <v>60</v>
      </c>
      <c r="AL113" s="3" t="s">
        <v>29</v>
      </c>
      <c r="AN113" s="3" t="s">
        <v>29</v>
      </c>
      <c r="AP113" s="3" t="s">
        <v>143</v>
      </c>
      <c r="AS113" s="3" t="s">
        <v>30</v>
      </c>
      <c r="AT113" s="3"/>
      <c r="AU113" s="3" t="s">
        <v>196</v>
      </c>
    </row>
    <row r="114" spans="1:47">
      <c r="A114" t="s">
        <v>276</v>
      </c>
      <c r="B114" s="3" t="s">
        <v>136</v>
      </c>
      <c r="C114" s="3" t="s">
        <v>27</v>
      </c>
      <c r="D114" s="3" t="s">
        <v>18</v>
      </c>
      <c r="E114" s="3" t="s">
        <v>29</v>
      </c>
      <c r="F114" s="3" t="s">
        <v>28</v>
      </c>
      <c r="G114" s="4">
        <f t="shared" ca="1" si="2"/>
        <v>44265.406385532406</v>
      </c>
      <c r="H114" s="3" t="s">
        <v>228</v>
      </c>
      <c r="I114" s="3"/>
      <c r="J114" s="3" t="s">
        <v>189</v>
      </c>
      <c r="K114" s="3" t="s">
        <v>228</v>
      </c>
      <c r="L114" s="3" t="s">
        <v>61</v>
      </c>
      <c r="M114" s="3" t="s">
        <v>646</v>
      </c>
      <c r="N114" s="3" t="s">
        <v>61</v>
      </c>
      <c r="P114" s="3" t="s">
        <v>61</v>
      </c>
      <c r="Q114" s="3" t="s">
        <v>61</v>
      </c>
      <c r="R114" s="3"/>
      <c r="S114" s="3"/>
      <c r="T114" s="3" t="s">
        <v>61</v>
      </c>
      <c r="U114" s="3" t="s">
        <v>29</v>
      </c>
      <c r="V114" s="3" t="s">
        <v>220</v>
      </c>
      <c r="W114" s="3" t="s">
        <v>63</v>
      </c>
      <c r="X114" s="3" t="s">
        <v>634</v>
      </c>
      <c r="Y114" s="3" t="s">
        <v>219</v>
      </c>
      <c r="Z114" t="s">
        <v>286</v>
      </c>
      <c r="AB114" s="3" t="s">
        <v>61</v>
      </c>
      <c r="AE114" t="s">
        <v>59</v>
      </c>
      <c r="AH114" s="3" t="s">
        <v>197</v>
      </c>
      <c r="AI114" s="3" t="s">
        <v>61</v>
      </c>
      <c r="AJ114" t="s">
        <v>60</v>
      </c>
      <c r="AL114" s="3" t="s">
        <v>29</v>
      </c>
      <c r="AN114" s="3" t="s">
        <v>29</v>
      </c>
      <c r="AP114" s="3" t="s">
        <v>143</v>
      </c>
      <c r="AS114" s="3" t="s">
        <v>30</v>
      </c>
      <c r="AT114" s="3"/>
      <c r="AU114" s="3" t="s">
        <v>196</v>
      </c>
    </row>
    <row r="115" spans="1:47">
      <c r="A115" t="s">
        <v>276</v>
      </c>
      <c r="B115" s="3" t="s">
        <v>136</v>
      </c>
      <c r="C115" s="3" t="s">
        <v>27</v>
      </c>
      <c r="D115" s="3" t="s">
        <v>18</v>
      </c>
      <c r="E115" s="3" t="s">
        <v>29</v>
      </c>
      <c r="F115" s="3" t="s">
        <v>28</v>
      </c>
      <c r="G115" s="4">
        <f t="shared" ca="1" si="2"/>
        <v>44265.406385532406</v>
      </c>
      <c r="H115" s="3" t="s">
        <v>228</v>
      </c>
      <c r="I115" s="3"/>
      <c r="J115" s="3" t="s">
        <v>189</v>
      </c>
      <c r="K115" s="3" t="s">
        <v>228</v>
      </c>
      <c r="L115" s="3" t="s">
        <v>61</v>
      </c>
      <c r="M115" s="3" t="s">
        <v>637</v>
      </c>
      <c r="N115" s="3" t="s">
        <v>61</v>
      </c>
      <c r="P115" s="3" t="s">
        <v>61</v>
      </c>
      <c r="Q115" s="3" t="s">
        <v>61</v>
      </c>
      <c r="R115" s="3"/>
      <c r="S115" s="3"/>
      <c r="T115" s="3" t="s">
        <v>61</v>
      </c>
      <c r="U115" s="3" t="s">
        <v>29</v>
      </c>
      <c r="V115" s="3" t="s">
        <v>220</v>
      </c>
      <c r="W115" s="3" t="s">
        <v>63</v>
      </c>
      <c r="X115" s="3" t="s">
        <v>634</v>
      </c>
      <c r="Y115" s="3" t="s">
        <v>219</v>
      </c>
      <c r="Z115" t="s">
        <v>286</v>
      </c>
      <c r="AB115" s="3" t="s">
        <v>61</v>
      </c>
      <c r="AE115" t="s">
        <v>59</v>
      </c>
      <c r="AH115" s="3" t="s">
        <v>197</v>
      </c>
      <c r="AI115" s="3" t="s">
        <v>61</v>
      </c>
      <c r="AJ115" t="s">
        <v>60</v>
      </c>
      <c r="AL115" s="3" t="s">
        <v>29</v>
      </c>
      <c r="AN115" s="3" t="s">
        <v>29</v>
      </c>
      <c r="AP115" s="3" t="s">
        <v>143</v>
      </c>
      <c r="AS115" s="3" t="s">
        <v>30</v>
      </c>
      <c r="AT115" s="3"/>
      <c r="AU115" s="3" t="s">
        <v>487</v>
      </c>
    </row>
    <row r="116" spans="1:47">
      <c r="A116" t="s">
        <v>276</v>
      </c>
      <c r="B116" s="3" t="s">
        <v>136</v>
      </c>
      <c r="C116" s="3" t="s">
        <v>27</v>
      </c>
      <c r="D116" s="3" t="s">
        <v>18</v>
      </c>
      <c r="E116" s="3" t="s">
        <v>29</v>
      </c>
      <c r="F116" s="3" t="s">
        <v>28</v>
      </c>
      <c r="G116" s="4">
        <f t="shared" ca="1" si="2"/>
        <v>44265.406385532406</v>
      </c>
      <c r="H116" s="3" t="s">
        <v>228</v>
      </c>
      <c r="I116" s="3"/>
      <c r="J116" s="3" t="s">
        <v>189</v>
      </c>
      <c r="K116" s="3" t="s">
        <v>228</v>
      </c>
      <c r="L116" s="3" t="s">
        <v>61</v>
      </c>
      <c r="M116" s="3" t="s">
        <v>648</v>
      </c>
      <c r="N116" s="3" t="s">
        <v>61</v>
      </c>
      <c r="P116" s="3" t="s">
        <v>61</v>
      </c>
      <c r="Q116" s="3" t="s">
        <v>61</v>
      </c>
      <c r="R116" s="3"/>
      <c r="S116" s="3"/>
      <c r="T116" s="3" t="s">
        <v>61</v>
      </c>
      <c r="U116" s="3" t="s">
        <v>90</v>
      </c>
      <c r="V116" s="3" t="s">
        <v>191</v>
      </c>
      <c r="W116" s="3" t="s">
        <v>63</v>
      </c>
      <c r="X116" s="3" t="s">
        <v>642</v>
      </c>
      <c r="Y116" s="3" t="s">
        <v>219</v>
      </c>
      <c r="Z116" t="s">
        <v>286</v>
      </c>
      <c r="AB116" s="3" t="s">
        <v>61</v>
      </c>
      <c r="AE116" t="s">
        <v>95</v>
      </c>
      <c r="AH116" s="3" t="s">
        <v>191</v>
      </c>
      <c r="AI116" s="3" t="s">
        <v>90</v>
      </c>
      <c r="AJ116" t="s">
        <v>60</v>
      </c>
      <c r="AL116" s="3" t="s">
        <v>29</v>
      </c>
      <c r="AN116" s="3" t="s">
        <v>29</v>
      </c>
      <c r="AP116" s="3" t="s">
        <v>143</v>
      </c>
      <c r="AS116" s="3" t="s">
        <v>30</v>
      </c>
      <c r="AT116" s="3"/>
      <c r="AU116" s="3" t="s">
        <v>196</v>
      </c>
    </row>
    <row r="117" spans="1:47">
      <c r="A117" t="s">
        <v>276</v>
      </c>
      <c r="B117" s="3" t="s">
        <v>136</v>
      </c>
      <c r="C117" s="3" t="s">
        <v>27</v>
      </c>
      <c r="D117" s="3" t="s">
        <v>18</v>
      </c>
      <c r="E117" s="3" t="s">
        <v>29</v>
      </c>
      <c r="F117" s="3" t="s">
        <v>28</v>
      </c>
      <c r="G117" s="4">
        <f t="shared" ca="1" si="2"/>
        <v>44265.406385532406</v>
      </c>
      <c r="H117" s="3" t="s">
        <v>228</v>
      </c>
      <c r="I117" s="3"/>
      <c r="J117" s="3" t="s">
        <v>189</v>
      </c>
      <c r="K117" s="3" t="s">
        <v>228</v>
      </c>
      <c r="L117" s="3" t="s">
        <v>61</v>
      </c>
      <c r="M117" s="3" t="s">
        <v>648</v>
      </c>
      <c r="N117" s="3" t="s">
        <v>61</v>
      </c>
      <c r="P117" s="3" t="s">
        <v>61</v>
      </c>
      <c r="Q117" s="3" t="s">
        <v>61</v>
      </c>
      <c r="R117" s="3"/>
      <c r="S117" s="3"/>
      <c r="T117" s="3" t="s">
        <v>61</v>
      </c>
      <c r="U117" s="3" t="s">
        <v>643</v>
      </c>
      <c r="V117" s="3" t="s">
        <v>525</v>
      </c>
      <c r="W117" s="3" t="s">
        <v>63</v>
      </c>
      <c r="X117" s="3" t="s">
        <v>638</v>
      </c>
      <c r="Y117" s="3" t="s">
        <v>219</v>
      </c>
      <c r="Z117" t="s">
        <v>286</v>
      </c>
      <c r="AB117" s="3" t="s">
        <v>61</v>
      </c>
      <c r="AE117" t="s">
        <v>95</v>
      </c>
      <c r="AH117" s="3" t="s">
        <v>61</v>
      </c>
      <c r="AI117" s="3" t="s">
        <v>643</v>
      </c>
      <c r="AJ117" t="s">
        <v>60</v>
      </c>
      <c r="AL117" s="3" t="s">
        <v>29</v>
      </c>
      <c r="AN117" s="3" t="s">
        <v>29</v>
      </c>
      <c r="AP117" s="3" t="s">
        <v>143</v>
      </c>
      <c r="AS117" s="3" t="s">
        <v>30</v>
      </c>
      <c r="AT117" s="3"/>
      <c r="AU117" s="3" t="s">
        <v>196</v>
      </c>
    </row>
    <row r="118" spans="1:47">
      <c r="A118" t="s">
        <v>276</v>
      </c>
      <c r="B118" s="3" t="s">
        <v>136</v>
      </c>
      <c r="C118" s="3" t="s">
        <v>27</v>
      </c>
      <c r="D118" s="3" t="s">
        <v>18</v>
      </c>
      <c r="E118" s="3" t="s">
        <v>29</v>
      </c>
      <c r="F118" s="3" t="s">
        <v>28</v>
      </c>
      <c r="G118" s="4">
        <f t="shared" ca="1" si="2"/>
        <v>44265.406385532406</v>
      </c>
      <c r="H118" s="3" t="s">
        <v>228</v>
      </c>
      <c r="I118" s="3"/>
      <c r="J118" s="3" t="s">
        <v>189</v>
      </c>
      <c r="K118" s="3" t="s">
        <v>228</v>
      </c>
      <c r="L118" s="3" t="s">
        <v>61</v>
      </c>
      <c r="M118" s="3" t="s">
        <v>649</v>
      </c>
      <c r="N118" s="3" t="s">
        <v>61</v>
      </c>
      <c r="P118" s="3" t="s">
        <v>61</v>
      </c>
      <c r="Q118" s="3" t="s">
        <v>61</v>
      </c>
      <c r="R118" s="3"/>
      <c r="S118" s="3"/>
      <c r="T118" s="3" t="s">
        <v>61</v>
      </c>
      <c r="U118" s="3" t="s">
        <v>582</v>
      </c>
      <c r="V118" s="3" t="s">
        <v>191</v>
      </c>
      <c r="W118" s="3" t="s">
        <v>63</v>
      </c>
      <c r="X118" s="3" t="s">
        <v>642</v>
      </c>
      <c r="Y118" s="3" t="s">
        <v>219</v>
      </c>
      <c r="Z118" t="s">
        <v>286</v>
      </c>
      <c r="AB118" s="3" t="s">
        <v>61</v>
      </c>
      <c r="AE118" t="s">
        <v>624</v>
      </c>
      <c r="AH118" s="3" t="s">
        <v>191</v>
      </c>
      <c r="AI118" s="3" t="s">
        <v>582</v>
      </c>
      <c r="AJ118" t="s">
        <v>60</v>
      </c>
      <c r="AL118" s="3" t="s">
        <v>29</v>
      </c>
      <c r="AN118" s="3" t="s">
        <v>29</v>
      </c>
      <c r="AP118" s="3" t="s">
        <v>143</v>
      </c>
      <c r="AS118" s="3" t="s">
        <v>30</v>
      </c>
      <c r="AT118" s="3" t="s">
        <v>651</v>
      </c>
      <c r="AU118" s="3" t="s">
        <v>571</v>
      </c>
    </row>
    <row r="119" spans="1:47">
      <c r="A119" t="s">
        <v>276</v>
      </c>
      <c r="B119" s="3" t="s">
        <v>136</v>
      </c>
      <c r="C119" s="3" t="s">
        <v>27</v>
      </c>
      <c r="D119" s="3" t="s">
        <v>18</v>
      </c>
      <c r="E119" s="3" t="s">
        <v>29</v>
      </c>
      <c r="F119" s="3" t="s">
        <v>28</v>
      </c>
      <c r="G119" s="4">
        <f t="shared" ca="1" si="2"/>
        <v>44265.406385532406</v>
      </c>
      <c r="H119" s="3" t="s">
        <v>228</v>
      </c>
      <c r="I119" s="3"/>
      <c r="J119" s="3" t="s">
        <v>189</v>
      </c>
      <c r="K119" s="3" t="s">
        <v>228</v>
      </c>
      <c r="L119" s="3" t="s">
        <v>61</v>
      </c>
      <c r="M119" s="3" t="s">
        <v>650</v>
      </c>
      <c r="N119" s="3" t="s">
        <v>61</v>
      </c>
      <c r="P119" s="3" t="s">
        <v>61</v>
      </c>
      <c r="Q119" s="3" t="s">
        <v>61</v>
      </c>
      <c r="R119" s="3"/>
      <c r="S119" s="3"/>
      <c r="T119" s="3" t="s">
        <v>61</v>
      </c>
      <c r="U119" s="3" t="s">
        <v>63</v>
      </c>
      <c r="V119" s="3" t="s">
        <v>191</v>
      </c>
      <c r="W119" s="3" t="s">
        <v>63</v>
      </c>
      <c r="X119" s="3" t="s">
        <v>638</v>
      </c>
      <c r="Y119" s="3" t="s">
        <v>219</v>
      </c>
      <c r="Z119" t="s">
        <v>286</v>
      </c>
      <c r="AB119" s="3" t="s">
        <v>61</v>
      </c>
      <c r="AE119" t="s">
        <v>59</v>
      </c>
      <c r="AH119" s="3" t="s">
        <v>191</v>
      </c>
      <c r="AI119" s="3" t="s">
        <v>63</v>
      </c>
      <c r="AJ119" t="s">
        <v>60</v>
      </c>
      <c r="AL119" s="3" t="s">
        <v>29</v>
      </c>
      <c r="AN119" s="3" t="s">
        <v>29</v>
      </c>
      <c r="AP119" s="3" t="s">
        <v>143</v>
      </c>
      <c r="AS119" s="3" t="s">
        <v>30</v>
      </c>
      <c r="AT119" s="3" t="s">
        <v>651</v>
      </c>
      <c r="AU119" s="3" t="s">
        <v>662</v>
      </c>
    </row>
    <row r="120" spans="1:47">
      <c r="A120" t="s">
        <v>276</v>
      </c>
      <c r="B120" s="3" t="s">
        <v>136</v>
      </c>
      <c r="C120" s="3" t="s">
        <v>27</v>
      </c>
      <c r="D120" s="3" t="s">
        <v>18</v>
      </c>
      <c r="E120" s="3" t="s">
        <v>29</v>
      </c>
      <c r="F120" s="3" t="s">
        <v>28</v>
      </c>
      <c r="G120" s="4">
        <f t="shared" ca="1" si="2"/>
        <v>44265.406385532406</v>
      </c>
      <c r="H120" s="3" t="s">
        <v>228</v>
      </c>
      <c r="I120" s="3"/>
      <c r="J120" s="3" t="s">
        <v>189</v>
      </c>
      <c r="K120" s="3" t="s">
        <v>228</v>
      </c>
      <c r="L120" s="3" t="s">
        <v>61</v>
      </c>
      <c r="M120" s="3" t="s">
        <v>649</v>
      </c>
      <c r="N120" s="3" t="s">
        <v>61</v>
      </c>
      <c r="P120" s="3" t="s">
        <v>61</v>
      </c>
      <c r="Q120" s="3" t="s">
        <v>61</v>
      </c>
      <c r="R120" s="3"/>
      <c r="S120" s="3"/>
      <c r="T120" s="3" t="s">
        <v>61</v>
      </c>
      <c r="U120" s="3" t="s">
        <v>220</v>
      </c>
      <c r="V120" s="3" t="s">
        <v>525</v>
      </c>
      <c r="W120" s="3" t="s">
        <v>63</v>
      </c>
      <c r="X120" s="3" t="s">
        <v>638</v>
      </c>
      <c r="Y120" s="3" t="s">
        <v>219</v>
      </c>
      <c r="Z120" t="s">
        <v>286</v>
      </c>
      <c r="AB120" s="3" t="s">
        <v>61</v>
      </c>
      <c r="AE120" t="s">
        <v>428</v>
      </c>
      <c r="AH120" s="3" t="s">
        <v>61</v>
      </c>
      <c r="AI120" s="3" t="s">
        <v>220</v>
      </c>
      <c r="AJ120" t="s">
        <v>60</v>
      </c>
      <c r="AL120" s="3" t="s">
        <v>29</v>
      </c>
      <c r="AN120" s="3" t="s">
        <v>29</v>
      </c>
      <c r="AP120" s="3" t="s">
        <v>143</v>
      </c>
      <c r="AS120" s="3" t="s">
        <v>30</v>
      </c>
      <c r="AT120" s="3" t="s">
        <v>647</v>
      </c>
      <c r="AU120" s="3" t="s">
        <v>661</v>
      </c>
    </row>
    <row r="121" spans="1:47">
      <c r="A121" t="s">
        <v>276</v>
      </c>
      <c r="B121" s="3" t="s">
        <v>136</v>
      </c>
      <c r="C121" s="3" t="s">
        <v>27</v>
      </c>
      <c r="D121" s="3" t="s">
        <v>18</v>
      </c>
      <c r="E121" s="3" t="s">
        <v>29</v>
      </c>
      <c r="F121" s="3" t="s">
        <v>28</v>
      </c>
      <c r="G121" s="4">
        <f t="shared" ca="1" si="2"/>
        <v>44265.406385532406</v>
      </c>
      <c r="H121" s="3" t="s">
        <v>228</v>
      </c>
      <c r="I121" s="3"/>
      <c r="J121" s="3" t="s">
        <v>189</v>
      </c>
      <c r="K121" s="3" t="s">
        <v>228</v>
      </c>
      <c r="L121" s="3" t="s">
        <v>61</v>
      </c>
      <c r="M121" s="3" t="s">
        <v>650</v>
      </c>
      <c r="N121" s="3" t="s">
        <v>61</v>
      </c>
      <c r="P121" s="3" t="s">
        <v>61</v>
      </c>
      <c r="Q121" s="3" t="s">
        <v>61</v>
      </c>
      <c r="R121" s="3"/>
      <c r="S121" s="3"/>
      <c r="T121" s="3" t="s">
        <v>61</v>
      </c>
      <c r="U121" s="3" t="s">
        <v>644</v>
      </c>
      <c r="V121" s="3" t="s">
        <v>525</v>
      </c>
      <c r="W121" s="3" t="s">
        <v>63</v>
      </c>
      <c r="X121" s="3" t="s">
        <v>638</v>
      </c>
      <c r="Y121" s="3" t="s">
        <v>219</v>
      </c>
      <c r="Z121" t="s">
        <v>286</v>
      </c>
      <c r="AB121" s="3" t="s">
        <v>61</v>
      </c>
      <c r="AE121" t="s">
        <v>59</v>
      </c>
      <c r="AH121" s="3" t="s">
        <v>61</v>
      </c>
      <c r="AI121" s="3" t="s">
        <v>644</v>
      </c>
      <c r="AJ121" t="s">
        <v>60</v>
      </c>
      <c r="AL121" s="3" t="s">
        <v>29</v>
      </c>
      <c r="AN121" s="3" t="s">
        <v>29</v>
      </c>
      <c r="AP121" s="3" t="s">
        <v>143</v>
      </c>
      <c r="AS121" s="3" t="s">
        <v>30</v>
      </c>
      <c r="AT121" s="3" t="s">
        <v>647</v>
      </c>
      <c r="AU121" s="3" t="s">
        <v>570</v>
      </c>
    </row>
    <row r="122" spans="1:47">
      <c r="A122" t="s">
        <v>357</v>
      </c>
      <c r="B122" s="3" t="s">
        <v>358</v>
      </c>
      <c r="C122" s="3" t="s">
        <v>27</v>
      </c>
      <c r="D122" s="3" t="s">
        <v>18</v>
      </c>
      <c r="E122" s="3" t="s">
        <v>29</v>
      </c>
      <c r="F122" s="3" t="s">
        <v>28</v>
      </c>
      <c r="G122" s="4">
        <f t="shared" ca="1" si="2"/>
        <v>44265.406385532406</v>
      </c>
      <c r="H122" s="3" t="s">
        <v>228</v>
      </c>
      <c r="I122" s="3"/>
      <c r="J122" s="3" t="s">
        <v>189</v>
      </c>
      <c r="K122" s="3" t="s">
        <v>228</v>
      </c>
      <c r="L122" s="3" t="s">
        <v>61</v>
      </c>
      <c r="M122" s="3" t="s">
        <v>664</v>
      </c>
      <c r="N122" s="3" t="s">
        <v>61</v>
      </c>
      <c r="P122" s="3" t="s">
        <v>366</v>
      </c>
      <c r="Q122" s="3" t="s">
        <v>61</v>
      </c>
      <c r="R122" s="3"/>
      <c r="S122" s="3"/>
      <c r="T122" s="3" t="s">
        <v>61</v>
      </c>
      <c r="U122" s="3" t="s">
        <v>663</v>
      </c>
      <c r="V122" s="3" t="s">
        <v>367</v>
      </c>
      <c r="W122" s="3" t="s">
        <v>368</v>
      </c>
      <c r="X122" s="3" t="s">
        <v>638</v>
      </c>
      <c r="Y122" s="3" t="s">
        <v>219</v>
      </c>
      <c r="Z122" t="s">
        <v>286</v>
      </c>
      <c r="AB122" s="3" t="s">
        <v>61</v>
      </c>
      <c r="AE122" t="s">
        <v>95</v>
      </c>
      <c r="AH122" s="3" t="s">
        <v>367</v>
      </c>
      <c r="AI122" s="3" t="s">
        <v>90</v>
      </c>
      <c r="AJ122" t="s">
        <v>369</v>
      </c>
      <c r="AL122" s="3" t="s">
        <v>29</v>
      </c>
      <c r="AN122" s="3" t="s">
        <v>29</v>
      </c>
      <c r="AP122" s="3" t="s">
        <v>370</v>
      </c>
      <c r="AS122" s="3" t="s">
        <v>145</v>
      </c>
      <c r="AT122" s="3"/>
      <c r="AU122" s="3" t="s">
        <v>196</v>
      </c>
    </row>
    <row r="123" spans="1:47">
      <c r="A123" t="s">
        <v>357</v>
      </c>
      <c r="B123" s="3" t="s">
        <v>358</v>
      </c>
      <c r="C123" s="3" t="s">
        <v>27</v>
      </c>
      <c r="D123" s="3" t="s">
        <v>18</v>
      </c>
      <c r="E123" s="3" t="s">
        <v>29</v>
      </c>
      <c r="F123" s="3" t="s">
        <v>28</v>
      </c>
      <c r="G123" s="4">
        <f t="shared" ca="1" si="2"/>
        <v>44265.406385532406</v>
      </c>
      <c r="H123" s="3" t="s">
        <v>228</v>
      </c>
      <c r="I123" s="3"/>
      <c r="J123" s="3" t="s">
        <v>189</v>
      </c>
      <c r="K123" s="3" t="s">
        <v>228</v>
      </c>
      <c r="L123" s="3" t="s">
        <v>61</v>
      </c>
      <c r="M123" s="3" t="s">
        <v>665</v>
      </c>
      <c r="N123" s="3" t="s">
        <v>61</v>
      </c>
      <c r="P123" s="3" t="s">
        <v>61</v>
      </c>
      <c r="Q123" s="3" t="s">
        <v>61</v>
      </c>
      <c r="R123" s="3"/>
      <c r="S123" s="3"/>
      <c r="T123" s="3" t="s">
        <v>61</v>
      </c>
      <c r="U123" s="3" t="s">
        <v>663</v>
      </c>
      <c r="V123" s="3" t="s">
        <v>220</v>
      </c>
      <c r="W123" s="3" t="s">
        <v>368</v>
      </c>
      <c r="X123" s="3" t="s">
        <v>638</v>
      </c>
      <c r="Y123" s="3" t="s">
        <v>219</v>
      </c>
      <c r="Z123" t="s">
        <v>286</v>
      </c>
      <c r="AB123" s="3" t="s">
        <v>61</v>
      </c>
      <c r="AE123" t="s">
        <v>95</v>
      </c>
      <c r="AH123" s="3" t="s">
        <v>220</v>
      </c>
      <c r="AI123" s="3" t="s">
        <v>61</v>
      </c>
      <c r="AJ123" t="s">
        <v>369</v>
      </c>
      <c r="AL123" s="3" t="s">
        <v>29</v>
      </c>
      <c r="AN123" s="3" t="s">
        <v>29</v>
      </c>
      <c r="AP123" s="3" t="s">
        <v>370</v>
      </c>
      <c r="AS123" s="3" t="s">
        <v>145</v>
      </c>
      <c r="AT123" s="3"/>
      <c r="AU123" s="3" t="s">
        <v>668</v>
      </c>
    </row>
    <row r="124" spans="1:47">
      <c r="A124" t="s">
        <v>357</v>
      </c>
      <c r="B124" s="3" t="s">
        <v>358</v>
      </c>
      <c r="C124" s="3" t="s">
        <v>27</v>
      </c>
      <c r="D124" s="3" t="s">
        <v>18</v>
      </c>
      <c r="E124" s="3" t="s">
        <v>29</v>
      </c>
      <c r="F124" s="3" t="s">
        <v>28</v>
      </c>
      <c r="G124" s="4">
        <f t="shared" ca="1" si="2"/>
        <v>44265.406385532406</v>
      </c>
      <c r="H124" s="3" t="s">
        <v>228</v>
      </c>
      <c r="I124" s="3"/>
      <c r="J124" s="3" t="s">
        <v>189</v>
      </c>
      <c r="K124" s="3" t="s">
        <v>228</v>
      </c>
      <c r="L124" s="3" t="s">
        <v>61</v>
      </c>
      <c r="M124" s="3" t="s">
        <v>666</v>
      </c>
      <c r="N124" s="3" t="s">
        <v>61</v>
      </c>
      <c r="P124" s="3" t="s">
        <v>61</v>
      </c>
      <c r="Q124" s="3" t="s">
        <v>61</v>
      </c>
      <c r="R124" s="3"/>
      <c r="S124" s="3"/>
      <c r="T124" s="3" t="s">
        <v>61</v>
      </c>
      <c r="U124" s="3" t="s">
        <v>663</v>
      </c>
      <c r="V124" s="3" t="s">
        <v>220</v>
      </c>
      <c r="W124" s="3" t="s">
        <v>368</v>
      </c>
      <c r="X124" s="3" t="s">
        <v>638</v>
      </c>
      <c r="Y124" s="3" t="s">
        <v>219</v>
      </c>
      <c r="Z124" t="s">
        <v>286</v>
      </c>
      <c r="AB124" s="3" t="s">
        <v>61</v>
      </c>
      <c r="AE124" t="s">
        <v>95</v>
      </c>
      <c r="AH124" s="3" t="s">
        <v>220</v>
      </c>
      <c r="AI124" s="3" t="s">
        <v>61</v>
      </c>
      <c r="AJ124" t="s">
        <v>369</v>
      </c>
      <c r="AL124" s="3" t="s">
        <v>29</v>
      </c>
      <c r="AN124" s="3" t="s">
        <v>29</v>
      </c>
      <c r="AP124" s="3" t="s">
        <v>370</v>
      </c>
      <c r="AS124" s="3" t="s">
        <v>145</v>
      </c>
      <c r="AT124" s="3"/>
      <c r="AU124" s="3" t="s">
        <v>487</v>
      </c>
    </row>
    <row r="125" spans="1:47">
      <c r="A125" t="s">
        <v>357</v>
      </c>
      <c r="B125" s="3" t="s">
        <v>358</v>
      </c>
      <c r="C125" s="3" t="s">
        <v>27</v>
      </c>
      <c r="D125" s="3" t="s">
        <v>18</v>
      </c>
      <c r="E125" s="3" t="s">
        <v>29</v>
      </c>
      <c r="F125" s="3" t="s">
        <v>28</v>
      </c>
      <c r="G125" s="4">
        <f t="shared" ca="1" si="2"/>
        <v>44265.406385532406</v>
      </c>
      <c r="H125" s="3" t="s">
        <v>228</v>
      </c>
      <c r="I125" s="3"/>
      <c r="J125" s="3" t="s">
        <v>189</v>
      </c>
      <c r="K125" s="3" t="s">
        <v>228</v>
      </c>
      <c r="L125" s="3" t="s">
        <v>61</v>
      </c>
      <c r="M125" s="3" t="s">
        <v>657</v>
      </c>
      <c r="N125" s="3" t="s">
        <v>61</v>
      </c>
      <c r="P125" s="3" t="s">
        <v>366</v>
      </c>
      <c r="Q125" s="3" t="s">
        <v>61</v>
      </c>
      <c r="R125" s="3"/>
      <c r="S125" s="3"/>
      <c r="T125" s="3" t="s">
        <v>61</v>
      </c>
      <c r="U125" s="3" t="s">
        <v>220</v>
      </c>
      <c r="V125" s="3" t="s">
        <v>367</v>
      </c>
      <c r="W125" s="3" t="s">
        <v>368</v>
      </c>
      <c r="X125" s="3" t="s">
        <v>638</v>
      </c>
      <c r="Y125" s="3" t="s">
        <v>219</v>
      </c>
      <c r="Z125" t="s">
        <v>286</v>
      </c>
      <c r="AB125" s="3" t="s">
        <v>61</v>
      </c>
      <c r="AE125" t="s">
        <v>658</v>
      </c>
      <c r="AH125" s="3" t="s">
        <v>367</v>
      </c>
      <c r="AI125" s="3" t="s">
        <v>220</v>
      </c>
      <c r="AJ125" t="s">
        <v>369</v>
      </c>
      <c r="AL125" s="3" t="s">
        <v>29</v>
      </c>
      <c r="AN125" s="3" t="s">
        <v>29</v>
      </c>
      <c r="AP125" s="3" t="s">
        <v>370</v>
      </c>
      <c r="AS125" s="3" t="s">
        <v>145</v>
      </c>
      <c r="AT125" s="3" t="s">
        <v>659</v>
      </c>
      <c r="AU125" s="3" t="s">
        <v>570</v>
      </c>
    </row>
    <row r="126" spans="1:47">
      <c r="A126" t="s">
        <v>357</v>
      </c>
      <c r="B126" s="3" t="s">
        <v>358</v>
      </c>
      <c r="C126" s="3" t="s">
        <v>27</v>
      </c>
      <c r="D126" s="3" t="s">
        <v>18</v>
      </c>
      <c r="E126" s="3" t="s">
        <v>29</v>
      </c>
      <c r="F126" s="3" t="s">
        <v>28</v>
      </c>
      <c r="G126" s="4">
        <f t="shared" ca="1" si="2"/>
        <v>44265.406385532406</v>
      </c>
      <c r="H126" s="3" t="s">
        <v>228</v>
      </c>
      <c r="I126" s="3"/>
      <c r="J126" s="3" t="s">
        <v>189</v>
      </c>
      <c r="K126" s="3" t="s">
        <v>228</v>
      </c>
      <c r="L126" s="3" t="s">
        <v>61</v>
      </c>
      <c r="M126" s="3" t="s">
        <v>649</v>
      </c>
      <c r="N126" s="3" t="s">
        <v>61</v>
      </c>
      <c r="P126" s="3" t="s">
        <v>61</v>
      </c>
      <c r="Q126" s="3" t="s">
        <v>61</v>
      </c>
      <c r="R126" s="3"/>
      <c r="S126" s="3"/>
      <c r="T126" s="3" t="s">
        <v>61</v>
      </c>
      <c r="U126" s="3" t="s">
        <v>220</v>
      </c>
      <c r="V126" s="3" t="s">
        <v>220</v>
      </c>
      <c r="W126" s="3" t="s">
        <v>368</v>
      </c>
      <c r="X126" s="3" t="s">
        <v>638</v>
      </c>
      <c r="Y126" s="3" t="s">
        <v>219</v>
      </c>
      <c r="Z126" t="s">
        <v>286</v>
      </c>
      <c r="AB126" s="3" t="s">
        <v>61</v>
      </c>
      <c r="AE126" t="s">
        <v>658</v>
      </c>
      <c r="AH126" s="3" t="s">
        <v>220</v>
      </c>
      <c r="AI126" s="3" t="s">
        <v>61</v>
      </c>
      <c r="AJ126" t="s">
        <v>369</v>
      </c>
      <c r="AL126" s="3" t="s">
        <v>29</v>
      </c>
      <c r="AN126" s="3" t="s">
        <v>29</v>
      </c>
      <c r="AP126" s="3" t="s">
        <v>370</v>
      </c>
      <c r="AS126" s="3" t="s">
        <v>145</v>
      </c>
      <c r="AT126" s="3" t="s">
        <v>660</v>
      </c>
      <c r="AU126" s="3" t="s">
        <v>570</v>
      </c>
    </row>
    <row r="127" spans="1:47">
      <c r="A127" t="s">
        <v>357</v>
      </c>
      <c r="B127" s="3" t="s">
        <v>358</v>
      </c>
      <c r="C127" s="3" t="s">
        <v>27</v>
      </c>
      <c r="D127" s="3" t="s">
        <v>18</v>
      </c>
      <c r="E127" s="3" t="s">
        <v>29</v>
      </c>
      <c r="F127" s="3" t="s">
        <v>28</v>
      </c>
      <c r="G127" s="4">
        <f t="shared" ca="1" si="2"/>
        <v>44265.406385532406</v>
      </c>
      <c r="H127" s="3" t="s">
        <v>228</v>
      </c>
      <c r="I127" s="3"/>
      <c r="J127" s="3" t="s">
        <v>189</v>
      </c>
      <c r="K127" s="3" t="s">
        <v>228</v>
      </c>
      <c r="L127" s="3" t="s">
        <v>61</v>
      </c>
      <c r="M127" s="3" t="s">
        <v>667</v>
      </c>
      <c r="N127" s="3" t="s">
        <v>61</v>
      </c>
      <c r="P127" s="3" t="s">
        <v>61</v>
      </c>
      <c r="Q127" s="3" t="s">
        <v>61</v>
      </c>
      <c r="R127" s="3"/>
      <c r="S127" s="3"/>
      <c r="T127" s="3" t="s">
        <v>61</v>
      </c>
      <c r="U127" s="3" t="s">
        <v>220</v>
      </c>
      <c r="V127" s="3" t="s">
        <v>220</v>
      </c>
      <c r="W127" s="3" t="s">
        <v>368</v>
      </c>
      <c r="X127" s="3" t="s">
        <v>638</v>
      </c>
      <c r="Y127" s="3" t="s">
        <v>219</v>
      </c>
      <c r="Z127" t="s">
        <v>286</v>
      </c>
      <c r="AB127" s="3" t="s">
        <v>61</v>
      </c>
      <c r="AE127" t="s">
        <v>658</v>
      </c>
      <c r="AH127" s="3" t="s">
        <v>220</v>
      </c>
      <c r="AI127" s="3" t="s">
        <v>61</v>
      </c>
      <c r="AJ127" t="s">
        <v>369</v>
      </c>
      <c r="AL127" s="3" t="s">
        <v>29</v>
      </c>
      <c r="AN127" s="3" t="s">
        <v>29</v>
      </c>
      <c r="AP127" s="3" t="s">
        <v>370</v>
      </c>
      <c r="AS127" s="3" t="s">
        <v>145</v>
      </c>
      <c r="AT127" s="3" t="s">
        <v>660</v>
      </c>
      <c r="AU127" s="3" t="s">
        <v>744</v>
      </c>
    </row>
    <row r="128" spans="1:47">
      <c r="A128" t="s">
        <v>274</v>
      </c>
      <c r="B128" s="3" t="s">
        <v>26</v>
      </c>
      <c r="C128" s="3" t="s">
        <v>27</v>
      </c>
      <c r="D128" s="3" t="s">
        <v>18</v>
      </c>
      <c r="E128" s="3" t="s">
        <v>29</v>
      </c>
      <c r="F128" s="3" t="s">
        <v>28</v>
      </c>
      <c r="G128" s="4">
        <f t="shared" ca="1" si="2"/>
        <v>44265.406385532406</v>
      </c>
      <c r="H128" s="3" t="s">
        <v>229</v>
      </c>
      <c r="I128" s="3"/>
      <c r="J128" s="3" t="s">
        <v>189</v>
      </c>
      <c r="K128" s="3" t="s">
        <v>229</v>
      </c>
      <c r="L128" s="3" t="s">
        <v>61</v>
      </c>
      <c r="M128" s="3" t="s">
        <v>684</v>
      </c>
      <c r="N128" s="3" t="s">
        <v>61</v>
      </c>
      <c r="P128" s="3" t="s">
        <v>61</v>
      </c>
      <c r="Q128" s="3" t="s">
        <v>61</v>
      </c>
      <c r="R128" s="3"/>
      <c r="S128" s="3"/>
      <c r="T128" s="3" t="s">
        <v>61</v>
      </c>
      <c r="U128" s="3" t="s">
        <v>599</v>
      </c>
      <c r="V128" t="s">
        <v>138</v>
      </c>
      <c r="W128" s="3" t="s">
        <v>63</v>
      </c>
      <c r="X128" s="3" t="s">
        <v>642</v>
      </c>
      <c r="Y128" s="3" t="s">
        <v>687</v>
      </c>
      <c r="Z128" t="s">
        <v>286</v>
      </c>
      <c r="AB128" s="3" t="s">
        <v>61</v>
      </c>
      <c r="AE128" t="s">
        <v>59</v>
      </c>
      <c r="AH128" t="s">
        <v>138</v>
      </c>
      <c r="AI128" s="3" t="s">
        <v>29</v>
      </c>
      <c r="AJ128" t="s">
        <v>60</v>
      </c>
      <c r="AL128" s="3" t="s">
        <v>29</v>
      </c>
      <c r="AN128" s="3" t="s">
        <v>29</v>
      </c>
      <c r="AP128" s="3" t="s">
        <v>143</v>
      </c>
      <c r="AS128" s="3" t="s">
        <v>30</v>
      </c>
      <c r="AT128" s="3"/>
      <c r="AU128" s="3" t="s">
        <v>196</v>
      </c>
    </row>
    <row r="129" spans="1:47">
      <c r="A129" t="s">
        <v>274</v>
      </c>
      <c r="B129" s="3" t="s">
        <v>136</v>
      </c>
      <c r="C129" s="3" t="s">
        <v>27</v>
      </c>
      <c r="D129" s="3" t="s">
        <v>18</v>
      </c>
      <c r="E129" s="3" t="s">
        <v>29</v>
      </c>
      <c r="F129" s="3" t="s">
        <v>28</v>
      </c>
      <c r="G129" s="4">
        <f t="shared" ca="1" si="2"/>
        <v>44265.406385532406</v>
      </c>
      <c r="H129" s="3" t="s">
        <v>229</v>
      </c>
      <c r="I129" s="3"/>
      <c r="J129" s="3" t="s">
        <v>189</v>
      </c>
      <c r="K129" s="3" t="s">
        <v>229</v>
      </c>
      <c r="L129" s="3" t="s">
        <v>61</v>
      </c>
      <c r="M129" s="3" t="s">
        <v>684</v>
      </c>
      <c r="N129" s="3" t="s">
        <v>61</v>
      </c>
      <c r="P129" s="3" t="s">
        <v>61</v>
      </c>
      <c r="Q129" s="3" t="s">
        <v>61</v>
      </c>
      <c r="R129" s="3"/>
      <c r="S129" s="3"/>
      <c r="T129" s="3" t="s">
        <v>61</v>
      </c>
      <c r="U129" s="3" t="s">
        <v>599</v>
      </c>
      <c r="V129" s="3" t="s">
        <v>61</v>
      </c>
      <c r="W129" s="3" t="s">
        <v>63</v>
      </c>
      <c r="X129" s="3" t="s">
        <v>642</v>
      </c>
      <c r="Y129" s="3" t="s">
        <v>688</v>
      </c>
      <c r="Z129" t="s">
        <v>286</v>
      </c>
      <c r="AB129" s="3" t="s">
        <v>61</v>
      </c>
      <c r="AE129" t="s">
        <v>59</v>
      </c>
      <c r="AH129" s="3" t="s">
        <v>61</v>
      </c>
      <c r="AI129" s="3" t="s">
        <v>29</v>
      </c>
      <c r="AJ129" t="s">
        <v>60</v>
      </c>
      <c r="AL129" s="3" t="s">
        <v>29</v>
      </c>
      <c r="AN129" s="3" t="s">
        <v>29</v>
      </c>
      <c r="AP129" s="3" t="s">
        <v>143</v>
      </c>
      <c r="AS129" s="3" t="s">
        <v>30</v>
      </c>
      <c r="AT129" s="3"/>
      <c r="AU129" s="3" t="s">
        <v>196</v>
      </c>
    </row>
    <row r="130" spans="1:47">
      <c r="A130" t="s">
        <v>583</v>
      </c>
      <c r="B130" s="3" t="s">
        <v>136</v>
      </c>
      <c r="C130" s="3" t="s">
        <v>27</v>
      </c>
      <c r="D130" s="3" t="s">
        <v>18</v>
      </c>
      <c r="E130" s="3" t="s">
        <v>29</v>
      </c>
      <c r="F130" s="3" t="s">
        <v>28</v>
      </c>
      <c r="G130" s="4">
        <f t="shared" ref="G130:G151" ca="1" si="3">NOW()</f>
        <v>44265.406385532406</v>
      </c>
      <c r="H130" s="3" t="s">
        <v>229</v>
      </c>
      <c r="I130" s="3"/>
      <c r="J130" s="3" t="s">
        <v>189</v>
      </c>
      <c r="K130" s="3" t="s">
        <v>229</v>
      </c>
      <c r="L130" s="3" t="s">
        <v>61</v>
      </c>
      <c r="M130" s="3" t="s">
        <v>693</v>
      </c>
      <c r="N130" s="3" t="s">
        <v>61</v>
      </c>
      <c r="P130" s="3" t="s">
        <v>61</v>
      </c>
      <c r="Q130" s="3" t="s">
        <v>61</v>
      </c>
      <c r="R130" s="3"/>
      <c r="S130" s="3"/>
      <c r="T130" s="3" t="s">
        <v>61</v>
      </c>
      <c r="U130" s="3" t="s">
        <v>692</v>
      </c>
      <c r="V130" s="3" t="s">
        <v>591</v>
      </c>
      <c r="W130" s="3" t="s">
        <v>63</v>
      </c>
      <c r="X130" s="3" t="s">
        <v>689</v>
      </c>
      <c r="Y130" s="3" t="s">
        <v>63</v>
      </c>
      <c r="Z130" t="s">
        <v>286</v>
      </c>
      <c r="AB130" s="3" t="s">
        <v>61</v>
      </c>
      <c r="AE130" t="s">
        <v>59</v>
      </c>
      <c r="AH130" s="3" t="s">
        <v>61</v>
      </c>
      <c r="AI130" s="3" t="s">
        <v>63</v>
      </c>
      <c r="AJ130" t="s">
        <v>60</v>
      </c>
      <c r="AL130" s="3" t="s">
        <v>29</v>
      </c>
      <c r="AN130" s="3" t="s">
        <v>29</v>
      </c>
      <c r="AP130" s="3" t="s">
        <v>143</v>
      </c>
      <c r="AS130" s="3" t="s">
        <v>30</v>
      </c>
      <c r="AT130" s="3"/>
      <c r="AU130" s="3" t="s">
        <v>196</v>
      </c>
    </row>
    <row r="131" spans="1:47">
      <c r="A131" t="s">
        <v>583</v>
      </c>
      <c r="B131" s="3" t="s">
        <v>136</v>
      </c>
      <c r="C131" s="3" t="s">
        <v>27</v>
      </c>
      <c r="D131" s="3" t="s">
        <v>18</v>
      </c>
      <c r="E131" s="3" t="s">
        <v>29</v>
      </c>
      <c r="F131" s="3" t="s">
        <v>28</v>
      </c>
      <c r="G131" s="4">
        <f t="shared" ca="1" si="3"/>
        <v>44265.406385532406</v>
      </c>
      <c r="H131" s="3" t="s">
        <v>229</v>
      </c>
      <c r="I131" s="3"/>
      <c r="J131" s="3" t="s">
        <v>189</v>
      </c>
      <c r="K131" s="3" t="s">
        <v>229</v>
      </c>
      <c r="L131" s="3" t="s">
        <v>61</v>
      </c>
      <c r="M131" s="3" t="s">
        <v>684</v>
      </c>
      <c r="N131" s="3" t="s">
        <v>29</v>
      </c>
      <c r="P131" s="3" t="s">
        <v>61</v>
      </c>
      <c r="Q131" s="3" t="s">
        <v>61</v>
      </c>
      <c r="R131" s="3"/>
      <c r="S131" s="3"/>
      <c r="T131" s="3" t="s">
        <v>61</v>
      </c>
      <c r="U131" s="3" t="s">
        <v>29</v>
      </c>
      <c r="V131" s="3" t="s">
        <v>63</v>
      </c>
      <c r="W131" s="3" t="s">
        <v>63</v>
      </c>
      <c r="X131" s="3" t="s">
        <v>690</v>
      </c>
      <c r="Y131" s="3" t="s">
        <v>29</v>
      </c>
      <c r="Z131" t="s">
        <v>286</v>
      </c>
      <c r="AB131" s="3" t="s">
        <v>61</v>
      </c>
      <c r="AE131" t="s">
        <v>59</v>
      </c>
      <c r="AH131" s="3" t="s">
        <v>95</v>
      </c>
      <c r="AI131" s="3" t="s">
        <v>61</v>
      </c>
      <c r="AJ131" t="s">
        <v>60</v>
      </c>
      <c r="AL131" s="3" t="s">
        <v>29</v>
      </c>
      <c r="AN131" s="3" t="s">
        <v>29</v>
      </c>
      <c r="AP131" s="3" t="s">
        <v>143</v>
      </c>
      <c r="AS131" s="3" t="s">
        <v>30</v>
      </c>
      <c r="AT131" s="3"/>
      <c r="AU131" s="3" t="s">
        <v>585</v>
      </c>
    </row>
    <row r="132" spans="1:47">
      <c r="A132" t="s">
        <v>583</v>
      </c>
      <c r="B132" s="3" t="s">
        <v>136</v>
      </c>
      <c r="C132" s="3" t="s">
        <v>27</v>
      </c>
      <c r="D132" s="3" t="s">
        <v>18</v>
      </c>
      <c r="E132" s="3" t="s">
        <v>29</v>
      </c>
      <c r="F132" s="3" t="s">
        <v>28</v>
      </c>
      <c r="G132" s="4">
        <f t="shared" ca="1" si="3"/>
        <v>44265.406385532406</v>
      </c>
      <c r="H132" s="3" t="s">
        <v>229</v>
      </c>
      <c r="I132" s="3"/>
      <c r="J132" s="3" t="s">
        <v>671</v>
      </c>
      <c r="K132" s="3" t="s">
        <v>229</v>
      </c>
      <c r="L132" s="3" t="s">
        <v>61</v>
      </c>
      <c r="M132" s="3" t="s">
        <v>684</v>
      </c>
      <c r="N132" s="3" t="s">
        <v>29</v>
      </c>
      <c r="P132" s="3" t="s">
        <v>61</v>
      </c>
      <c r="Q132" s="3" t="s">
        <v>61</v>
      </c>
      <c r="R132" s="3" t="s">
        <v>689</v>
      </c>
      <c r="S132" s="3" t="s">
        <v>694</v>
      </c>
      <c r="T132" s="3" t="s">
        <v>61</v>
      </c>
      <c r="U132" s="3" t="s">
        <v>29</v>
      </c>
      <c r="V132" s="3" t="s">
        <v>219</v>
      </c>
      <c r="W132" s="3" t="s">
        <v>63</v>
      </c>
      <c r="X132" s="3"/>
      <c r="Y132" s="3" t="s">
        <v>29</v>
      </c>
      <c r="Z132" t="s">
        <v>286</v>
      </c>
      <c r="AB132" s="3"/>
      <c r="AE132" t="s">
        <v>59</v>
      </c>
      <c r="AH132" s="3" t="s">
        <v>95</v>
      </c>
      <c r="AI132" s="3" t="s">
        <v>61</v>
      </c>
      <c r="AJ132" t="s">
        <v>60</v>
      </c>
      <c r="AL132" s="3" t="s">
        <v>29</v>
      </c>
      <c r="AN132" s="3" t="s">
        <v>29</v>
      </c>
      <c r="AP132" s="3" t="s">
        <v>143</v>
      </c>
      <c r="AS132" s="3" t="s">
        <v>30</v>
      </c>
      <c r="AT132" s="3"/>
      <c r="AU132" s="3" t="s">
        <v>682</v>
      </c>
    </row>
    <row r="133" spans="1:47">
      <c r="A133" t="s">
        <v>583</v>
      </c>
      <c r="B133" s="3" t="s">
        <v>136</v>
      </c>
      <c r="C133" s="3" t="s">
        <v>27</v>
      </c>
      <c r="D133" s="3" t="s">
        <v>18</v>
      </c>
      <c r="E133" s="3" t="s">
        <v>29</v>
      </c>
      <c r="F133" s="3" t="s">
        <v>28</v>
      </c>
      <c r="G133" s="4">
        <f t="shared" ca="1" si="3"/>
        <v>44265.406385532406</v>
      </c>
      <c r="H133" s="3" t="s">
        <v>229</v>
      </c>
      <c r="I133" s="3"/>
      <c r="J133" s="3" t="s">
        <v>189</v>
      </c>
      <c r="K133" s="3" t="s">
        <v>229</v>
      </c>
      <c r="L133" s="3" t="s">
        <v>61</v>
      </c>
      <c r="M133" s="3" t="s">
        <v>693</v>
      </c>
      <c r="N133" s="3" t="s">
        <v>29</v>
      </c>
      <c r="P133" s="3" t="s">
        <v>61</v>
      </c>
      <c r="Q133" s="3" t="s">
        <v>61</v>
      </c>
      <c r="R133" s="3"/>
      <c r="S133" s="3"/>
      <c r="T133" s="3" t="s">
        <v>61</v>
      </c>
      <c r="U133" s="3" t="s">
        <v>63</v>
      </c>
      <c r="V133" s="3" t="s">
        <v>694</v>
      </c>
      <c r="W133" s="3" t="s">
        <v>63</v>
      </c>
      <c r="X133" s="3" t="s">
        <v>691</v>
      </c>
      <c r="Y133" s="3" t="s">
        <v>63</v>
      </c>
      <c r="Z133" t="s">
        <v>286</v>
      </c>
      <c r="AB133" s="3" t="s">
        <v>61</v>
      </c>
      <c r="AE133" t="s">
        <v>59</v>
      </c>
      <c r="AH133" s="3" t="s">
        <v>95</v>
      </c>
      <c r="AI133" s="3" t="s">
        <v>29</v>
      </c>
      <c r="AJ133" t="s">
        <v>60</v>
      </c>
      <c r="AL133" s="3" t="s">
        <v>29</v>
      </c>
      <c r="AN133" s="3" t="s">
        <v>29</v>
      </c>
      <c r="AP133" s="3" t="s">
        <v>143</v>
      </c>
      <c r="AS133" s="3" t="s">
        <v>30</v>
      </c>
      <c r="AT133" s="3"/>
      <c r="AU133" s="3" t="s">
        <v>585</v>
      </c>
    </row>
    <row r="134" spans="1:47">
      <c r="A134" t="s">
        <v>583</v>
      </c>
      <c r="B134" s="3" t="s">
        <v>136</v>
      </c>
      <c r="C134" s="3" t="s">
        <v>27</v>
      </c>
      <c r="D134" s="3" t="s">
        <v>18</v>
      </c>
      <c r="E134" s="3" t="s">
        <v>29</v>
      </c>
      <c r="F134" s="3" t="s">
        <v>28</v>
      </c>
      <c r="G134" s="4">
        <f t="shared" ca="1" si="3"/>
        <v>44265.406385532406</v>
      </c>
      <c r="H134" s="3" t="s">
        <v>229</v>
      </c>
      <c r="I134" s="3"/>
      <c r="J134" s="3" t="s">
        <v>672</v>
      </c>
      <c r="K134" s="3" t="s">
        <v>229</v>
      </c>
      <c r="L134" s="3" t="s">
        <v>61</v>
      </c>
      <c r="M134" s="3" t="s">
        <v>693</v>
      </c>
      <c r="N134" s="3" t="s">
        <v>29</v>
      </c>
      <c r="P134" s="3" t="s">
        <v>61</v>
      </c>
      <c r="Q134" s="3" t="s">
        <v>61</v>
      </c>
      <c r="R134" s="3" t="s">
        <v>691</v>
      </c>
      <c r="S134" s="3" t="s">
        <v>695</v>
      </c>
      <c r="T134" s="3" t="s">
        <v>61</v>
      </c>
      <c r="U134" s="3" t="s">
        <v>696</v>
      </c>
      <c r="V134" s="3" t="s">
        <v>694</v>
      </c>
      <c r="W134" s="3" t="s">
        <v>63</v>
      </c>
      <c r="X134" s="3"/>
      <c r="Y134" s="3" t="s">
        <v>63</v>
      </c>
      <c r="Z134" t="s">
        <v>286</v>
      </c>
      <c r="AB134" s="3"/>
      <c r="AE134" t="s">
        <v>59</v>
      </c>
      <c r="AH134" s="3" t="s">
        <v>95</v>
      </c>
      <c r="AI134" s="3" t="s">
        <v>29</v>
      </c>
      <c r="AJ134" t="s">
        <v>60</v>
      </c>
      <c r="AL134" s="3" t="s">
        <v>29</v>
      </c>
      <c r="AN134" s="3" t="s">
        <v>29</v>
      </c>
      <c r="AP134" s="3" t="s">
        <v>143</v>
      </c>
      <c r="AS134" s="3" t="s">
        <v>30</v>
      </c>
      <c r="AT134" s="3"/>
      <c r="AU134" s="3" t="s">
        <v>681</v>
      </c>
    </row>
    <row r="135" spans="1:47">
      <c r="A135" t="s">
        <v>276</v>
      </c>
      <c r="B135" s="3" t="s">
        <v>136</v>
      </c>
      <c r="C135" s="3" t="s">
        <v>27</v>
      </c>
      <c r="D135" s="3" t="s">
        <v>18</v>
      </c>
      <c r="E135" s="3" t="s">
        <v>29</v>
      </c>
      <c r="F135" s="3" t="s">
        <v>28</v>
      </c>
      <c r="G135" s="4">
        <f t="shared" ca="1" si="3"/>
        <v>44265.406385532406</v>
      </c>
      <c r="H135" s="3" t="s">
        <v>228</v>
      </c>
      <c r="I135" s="3"/>
      <c r="J135" s="3" t="s">
        <v>189</v>
      </c>
      <c r="K135" s="3" t="s">
        <v>228</v>
      </c>
      <c r="L135" s="3" t="s">
        <v>91</v>
      </c>
      <c r="M135" s="3" t="s">
        <v>701</v>
      </c>
      <c r="N135" s="3" t="s">
        <v>91</v>
      </c>
      <c r="P135" s="3" t="s">
        <v>91</v>
      </c>
      <c r="Q135" s="3" t="s">
        <v>91</v>
      </c>
      <c r="R135" s="3"/>
      <c r="S135" s="3"/>
      <c r="T135" s="3" t="s">
        <v>91</v>
      </c>
      <c r="U135" s="3" t="s">
        <v>63</v>
      </c>
      <c r="V135" s="3" t="s">
        <v>68</v>
      </c>
      <c r="W135" s="3" t="s">
        <v>63</v>
      </c>
      <c r="X135" s="3" t="s">
        <v>691</v>
      </c>
      <c r="Y135" s="3" t="s">
        <v>219</v>
      </c>
      <c r="Z135" t="s">
        <v>286</v>
      </c>
      <c r="AB135" s="3" t="s">
        <v>91</v>
      </c>
      <c r="AE135" t="s">
        <v>59</v>
      </c>
      <c r="AH135" s="3" t="s">
        <v>68</v>
      </c>
      <c r="AI135" s="3" t="s">
        <v>29</v>
      </c>
      <c r="AJ135" t="s">
        <v>60</v>
      </c>
      <c r="AL135" s="3" t="s">
        <v>29</v>
      </c>
      <c r="AN135" s="3" t="s">
        <v>29</v>
      </c>
      <c r="AP135" s="3" t="s">
        <v>143</v>
      </c>
      <c r="AS135" s="3" t="s">
        <v>30</v>
      </c>
      <c r="AT135" s="3"/>
      <c r="AU135" s="3" t="s">
        <v>196</v>
      </c>
    </row>
    <row r="136" spans="1:47">
      <c r="A136" t="s">
        <v>276</v>
      </c>
      <c r="B136" s="3" t="s">
        <v>136</v>
      </c>
      <c r="C136" s="3" t="s">
        <v>27</v>
      </c>
      <c r="D136" s="3" t="s">
        <v>18</v>
      </c>
      <c r="E136" s="3" t="s">
        <v>29</v>
      </c>
      <c r="F136" s="3" t="s">
        <v>28</v>
      </c>
      <c r="G136" s="4">
        <f t="shared" ca="1" si="3"/>
        <v>44265.406385532406</v>
      </c>
      <c r="H136" s="3" t="s">
        <v>228</v>
      </c>
      <c r="I136" s="3"/>
      <c r="J136" s="3" t="s">
        <v>189</v>
      </c>
      <c r="K136" s="3" t="s">
        <v>228</v>
      </c>
      <c r="L136" s="3" t="s">
        <v>91</v>
      </c>
      <c r="M136" s="3" t="s">
        <v>702</v>
      </c>
      <c r="N136" s="3" t="s">
        <v>91</v>
      </c>
      <c r="P136" s="3" t="s">
        <v>91</v>
      </c>
      <c r="Q136" s="3" t="s">
        <v>91</v>
      </c>
      <c r="R136" s="3"/>
      <c r="S136" s="3"/>
      <c r="T136" s="3" t="s">
        <v>91</v>
      </c>
      <c r="U136" s="3" t="s">
        <v>496</v>
      </c>
      <c r="V136" s="3" t="s">
        <v>266</v>
      </c>
      <c r="W136" s="3" t="s">
        <v>63</v>
      </c>
      <c r="X136" s="3" t="s">
        <v>691</v>
      </c>
      <c r="Y136" s="3" t="s">
        <v>219</v>
      </c>
      <c r="Z136" t="s">
        <v>286</v>
      </c>
      <c r="AB136" s="3" t="s">
        <v>91</v>
      </c>
      <c r="AE136" t="s">
        <v>59</v>
      </c>
      <c r="AH136" s="3" t="s">
        <v>197</v>
      </c>
      <c r="AI136" s="3" t="s">
        <v>91</v>
      </c>
      <c r="AJ136" t="s">
        <v>60</v>
      </c>
      <c r="AL136" s="3" t="s">
        <v>29</v>
      </c>
      <c r="AN136" s="3" t="s">
        <v>29</v>
      </c>
      <c r="AP136" s="3" t="s">
        <v>143</v>
      </c>
      <c r="AS136" s="3" t="s">
        <v>30</v>
      </c>
      <c r="AT136" s="3"/>
      <c r="AU136" s="3" t="s">
        <v>196</v>
      </c>
    </row>
    <row r="137" spans="1:47">
      <c r="A137" t="s">
        <v>276</v>
      </c>
      <c r="B137" s="3" t="s">
        <v>136</v>
      </c>
      <c r="C137" s="3" t="s">
        <v>27</v>
      </c>
      <c r="D137" s="3" t="s">
        <v>18</v>
      </c>
      <c r="E137" s="3" t="s">
        <v>29</v>
      </c>
      <c r="F137" s="3" t="s">
        <v>28</v>
      </c>
      <c r="G137" s="4">
        <f t="shared" ca="1" si="3"/>
        <v>44265.406385532406</v>
      </c>
      <c r="H137" s="3" t="s">
        <v>228</v>
      </c>
      <c r="I137" s="3"/>
      <c r="J137" s="3" t="s">
        <v>189</v>
      </c>
      <c r="K137" s="3" t="s">
        <v>228</v>
      </c>
      <c r="L137" s="3" t="s">
        <v>91</v>
      </c>
      <c r="M137" s="3" t="s">
        <v>705</v>
      </c>
      <c r="N137" s="3" t="s">
        <v>91</v>
      </c>
      <c r="P137" s="3" t="s">
        <v>91</v>
      </c>
      <c r="Q137" s="3" t="s">
        <v>91</v>
      </c>
      <c r="R137" s="3"/>
      <c r="S137" s="3"/>
      <c r="T137" s="3" t="s">
        <v>91</v>
      </c>
      <c r="U137" s="3" t="s">
        <v>497</v>
      </c>
      <c r="V137" s="3" t="s">
        <v>197</v>
      </c>
      <c r="W137" s="3" t="s">
        <v>63</v>
      </c>
      <c r="X137" s="3" t="s">
        <v>691</v>
      </c>
      <c r="Y137" s="3" t="s">
        <v>219</v>
      </c>
      <c r="Z137" t="s">
        <v>286</v>
      </c>
      <c r="AB137" s="3" t="s">
        <v>91</v>
      </c>
      <c r="AE137" t="s">
        <v>59</v>
      </c>
      <c r="AH137" s="3" t="s">
        <v>197</v>
      </c>
      <c r="AI137" s="3" t="s">
        <v>91</v>
      </c>
      <c r="AJ137" t="s">
        <v>60</v>
      </c>
      <c r="AL137" s="3" t="s">
        <v>29</v>
      </c>
      <c r="AN137" s="3" t="s">
        <v>29</v>
      </c>
      <c r="AP137" s="3" t="s">
        <v>143</v>
      </c>
      <c r="AS137" s="3" t="s">
        <v>30</v>
      </c>
      <c r="AT137" s="3"/>
      <c r="AU137" s="3" t="s">
        <v>488</v>
      </c>
    </row>
    <row r="138" spans="1:47">
      <c r="A138" t="s">
        <v>276</v>
      </c>
      <c r="B138" s="3" t="s">
        <v>136</v>
      </c>
      <c r="C138" s="3" t="s">
        <v>27</v>
      </c>
      <c r="D138" s="3" t="s">
        <v>18</v>
      </c>
      <c r="E138" s="3" t="s">
        <v>29</v>
      </c>
      <c r="F138" s="3" t="s">
        <v>28</v>
      </c>
      <c r="G138" s="4">
        <f t="shared" ca="1" si="3"/>
        <v>44265.406385532406</v>
      </c>
      <c r="H138" s="3" t="s">
        <v>228</v>
      </c>
      <c r="I138" s="3"/>
      <c r="J138" s="3" t="s">
        <v>189</v>
      </c>
      <c r="K138" s="3" t="s">
        <v>228</v>
      </c>
      <c r="L138" s="3" t="s">
        <v>91</v>
      </c>
      <c r="M138" s="3" t="s">
        <v>703</v>
      </c>
      <c r="N138" s="3" t="s">
        <v>91</v>
      </c>
      <c r="P138" s="3" t="s">
        <v>91</v>
      </c>
      <c r="Q138" s="3" t="s">
        <v>91</v>
      </c>
      <c r="R138" s="3"/>
      <c r="S138" s="3"/>
      <c r="T138" s="3" t="s">
        <v>91</v>
      </c>
      <c r="U138" s="3" t="s">
        <v>269</v>
      </c>
      <c r="V138" s="3" t="s">
        <v>322</v>
      </c>
      <c r="W138" s="3" t="s">
        <v>63</v>
      </c>
      <c r="X138" s="3" t="s">
        <v>700</v>
      </c>
      <c r="Y138" s="3" t="s">
        <v>219</v>
      </c>
      <c r="Z138" t="s">
        <v>286</v>
      </c>
      <c r="AB138" s="3" t="s">
        <v>91</v>
      </c>
      <c r="AE138" t="s">
        <v>59</v>
      </c>
      <c r="AH138" s="3" t="s">
        <v>324</v>
      </c>
      <c r="AI138" s="3" t="s">
        <v>269</v>
      </c>
      <c r="AJ138" t="s">
        <v>60</v>
      </c>
      <c r="AL138" s="3" t="s">
        <v>29</v>
      </c>
      <c r="AN138" s="3" t="s">
        <v>29</v>
      </c>
      <c r="AP138" s="3" t="s">
        <v>143</v>
      </c>
      <c r="AS138" s="3" t="s">
        <v>30</v>
      </c>
      <c r="AT138" s="3"/>
      <c r="AU138" s="3" t="s">
        <v>196</v>
      </c>
    </row>
    <row r="139" spans="1:47">
      <c r="A139" t="s">
        <v>276</v>
      </c>
      <c r="B139" s="3" t="s">
        <v>136</v>
      </c>
      <c r="C139" s="3" t="s">
        <v>27</v>
      </c>
      <c r="D139" s="3" t="s">
        <v>18</v>
      </c>
      <c r="E139" s="3" t="s">
        <v>29</v>
      </c>
      <c r="F139" s="3" t="s">
        <v>28</v>
      </c>
      <c r="G139" s="4">
        <f t="shared" ca="1" si="3"/>
        <v>44265.406385532406</v>
      </c>
      <c r="H139" s="3" t="s">
        <v>228</v>
      </c>
      <c r="I139" s="3"/>
      <c r="J139" s="3" t="s">
        <v>189</v>
      </c>
      <c r="K139" s="3" t="s">
        <v>228</v>
      </c>
      <c r="L139" s="3" t="s">
        <v>91</v>
      </c>
      <c r="M139" s="3" t="s">
        <v>704</v>
      </c>
      <c r="N139" s="3" t="s">
        <v>91</v>
      </c>
      <c r="P139" s="3" t="s">
        <v>91</v>
      </c>
      <c r="Q139" s="3" t="s">
        <v>91</v>
      </c>
      <c r="R139" s="3"/>
      <c r="S139" s="3"/>
      <c r="T139" s="3" t="s">
        <v>91</v>
      </c>
      <c r="U139" s="3" t="s">
        <v>752</v>
      </c>
      <c r="V139" s="3" t="s">
        <v>323</v>
      </c>
      <c r="W139" s="3" t="s">
        <v>63</v>
      </c>
      <c r="X139" s="3" t="s">
        <v>700</v>
      </c>
      <c r="Y139" s="3" t="s">
        <v>219</v>
      </c>
      <c r="Z139" t="s">
        <v>286</v>
      </c>
      <c r="AB139" s="3" t="s">
        <v>91</v>
      </c>
      <c r="AE139" t="s">
        <v>59</v>
      </c>
      <c r="AH139" s="3" t="s">
        <v>91</v>
      </c>
      <c r="AI139" s="3" t="s">
        <v>269</v>
      </c>
      <c r="AJ139" t="s">
        <v>60</v>
      </c>
      <c r="AL139" s="3" t="s">
        <v>29</v>
      </c>
      <c r="AN139" s="3" t="s">
        <v>29</v>
      </c>
      <c r="AP139" s="3" t="s">
        <v>143</v>
      </c>
      <c r="AS139" s="3" t="s">
        <v>30</v>
      </c>
      <c r="AT139" s="3"/>
      <c r="AU139" s="3" t="s">
        <v>196</v>
      </c>
    </row>
    <row r="140" spans="1:47">
      <c r="A140" t="s">
        <v>274</v>
      </c>
      <c r="B140" s="3" t="s">
        <v>26</v>
      </c>
      <c r="C140" s="3" t="s">
        <v>27</v>
      </c>
      <c r="D140" s="3" t="s">
        <v>18</v>
      </c>
      <c r="E140" s="3" t="s">
        <v>29</v>
      </c>
      <c r="F140" s="3" t="s">
        <v>28</v>
      </c>
      <c r="G140" s="4">
        <f t="shared" ca="1" si="3"/>
        <v>44265.406385532406</v>
      </c>
      <c r="H140" s="3" t="s">
        <v>229</v>
      </c>
      <c r="I140" s="3"/>
      <c r="J140" s="3" t="s">
        <v>189</v>
      </c>
      <c r="K140" s="3" t="s">
        <v>229</v>
      </c>
      <c r="L140" s="3" t="s">
        <v>61</v>
      </c>
      <c r="M140" s="3" t="s">
        <v>713</v>
      </c>
      <c r="N140" s="3" t="s">
        <v>61</v>
      </c>
      <c r="P140" s="3" t="s">
        <v>61</v>
      </c>
      <c r="Q140" s="3" t="s">
        <v>61</v>
      </c>
      <c r="R140" s="3"/>
      <c r="S140" s="3"/>
      <c r="T140" s="3" t="s">
        <v>61</v>
      </c>
      <c r="U140" s="3" t="s">
        <v>754</v>
      </c>
      <c r="V140" t="s">
        <v>138</v>
      </c>
      <c r="W140" s="3" t="s">
        <v>63</v>
      </c>
      <c r="X140" s="3" t="s">
        <v>699</v>
      </c>
      <c r="Y140" s="3" t="s">
        <v>687</v>
      </c>
      <c r="Z140" t="s">
        <v>286</v>
      </c>
      <c r="AB140" s="3" t="s">
        <v>61</v>
      </c>
      <c r="AE140" t="s">
        <v>59</v>
      </c>
      <c r="AH140" t="s">
        <v>138</v>
      </c>
      <c r="AI140" s="3" t="s">
        <v>757</v>
      </c>
      <c r="AJ140" t="s">
        <v>60</v>
      </c>
      <c r="AL140" s="3" t="s">
        <v>29</v>
      </c>
      <c r="AN140" s="3" t="s">
        <v>29</v>
      </c>
      <c r="AP140" s="3" t="s">
        <v>143</v>
      </c>
      <c r="AS140" s="3" t="s">
        <v>30</v>
      </c>
      <c r="AT140" s="3"/>
      <c r="AU140" s="3" t="s">
        <v>196</v>
      </c>
    </row>
    <row r="141" spans="1:47">
      <c r="A141" t="s">
        <v>274</v>
      </c>
      <c r="B141" s="3" t="s">
        <v>136</v>
      </c>
      <c r="C141" s="3" t="s">
        <v>27</v>
      </c>
      <c r="D141" s="3" t="s">
        <v>18</v>
      </c>
      <c r="E141" s="3" t="s">
        <v>29</v>
      </c>
      <c r="F141" s="3" t="s">
        <v>28</v>
      </c>
      <c r="G141" s="4">
        <f t="shared" ca="1" si="3"/>
        <v>44265.406385532406</v>
      </c>
      <c r="H141" s="3" t="s">
        <v>229</v>
      </c>
      <c r="I141" s="3"/>
      <c r="J141" s="3" t="s">
        <v>189</v>
      </c>
      <c r="K141" s="3" t="s">
        <v>229</v>
      </c>
      <c r="L141" s="3" t="s">
        <v>61</v>
      </c>
      <c r="M141" s="3" t="s">
        <v>712</v>
      </c>
      <c r="N141" s="3" t="s">
        <v>61</v>
      </c>
      <c r="P141" s="3" t="s">
        <v>61</v>
      </c>
      <c r="Q141" s="3" t="s">
        <v>61</v>
      </c>
      <c r="R141" s="3"/>
      <c r="S141" s="3"/>
      <c r="T141" s="3" t="s">
        <v>61</v>
      </c>
      <c r="U141" s="3" t="s">
        <v>68</v>
      </c>
      <c r="V141" s="3" t="s">
        <v>61</v>
      </c>
      <c r="W141" s="3" t="s">
        <v>63</v>
      </c>
      <c r="X141" s="3" t="s">
        <v>699</v>
      </c>
      <c r="Y141" s="3" t="s">
        <v>688</v>
      </c>
      <c r="Z141" t="s">
        <v>286</v>
      </c>
      <c r="AB141" s="3" t="s">
        <v>61</v>
      </c>
      <c r="AE141" t="s">
        <v>59</v>
      </c>
      <c r="AH141" s="3" t="s">
        <v>61</v>
      </c>
      <c r="AI141" s="3" t="s">
        <v>754</v>
      </c>
      <c r="AJ141" t="s">
        <v>60</v>
      </c>
      <c r="AL141" s="3" t="s">
        <v>29</v>
      </c>
      <c r="AN141" s="3" t="s">
        <v>29</v>
      </c>
      <c r="AP141" s="3" t="s">
        <v>143</v>
      </c>
      <c r="AS141" s="3" t="s">
        <v>30</v>
      </c>
      <c r="AT141" s="3"/>
      <c r="AU141" s="3" t="s">
        <v>196</v>
      </c>
    </row>
    <row r="142" spans="1:47">
      <c r="A142" t="s">
        <v>583</v>
      </c>
      <c r="B142" s="3" t="s">
        <v>136</v>
      </c>
      <c r="C142" s="3" t="s">
        <v>27</v>
      </c>
      <c r="D142" s="3" t="s">
        <v>18</v>
      </c>
      <c r="E142" s="3" t="s">
        <v>29</v>
      </c>
      <c r="F142" s="3" t="s">
        <v>28</v>
      </c>
      <c r="G142" s="4">
        <f t="shared" ca="1" si="3"/>
        <v>44265.406385532406</v>
      </c>
      <c r="H142" s="3" t="s">
        <v>229</v>
      </c>
      <c r="I142" s="3"/>
      <c r="J142" s="3" t="s">
        <v>189</v>
      </c>
      <c r="K142" s="3" t="s">
        <v>229</v>
      </c>
      <c r="L142" s="3" t="s">
        <v>61</v>
      </c>
      <c r="M142" s="3" t="s">
        <v>704</v>
      </c>
      <c r="N142" s="3" t="s">
        <v>61</v>
      </c>
      <c r="P142" s="3" t="s">
        <v>61</v>
      </c>
      <c r="Q142" s="3" t="s">
        <v>61</v>
      </c>
      <c r="R142" s="3"/>
      <c r="S142" s="3"/>
      <c r="T142" s="3" t="s">
        <v>61</v>
      </c>
      <c r="U142" s="3" t="s">
        <v>269</v>
      </c>
      <c r="V142" s="3" t="s">
        <v>591</v>
      </c>
      <c r="W142" s="3" t="s">
        <v>63</v>
      </c>
      <c r="X142" s="3" t="s">
        <v>699</v>
      </c>
      <c r="Y142" s="3" t="s">
        <v>63</v>
      </c>
      <c r="Z142" t="s">
        <v>286</v>
      </c>
      <c r="AB142" s="3" t="s">
        <v>61</v>
      </c>
      <c r="AE142" t="s">
        <v>59</v>
      </c>
      <c r="AH142" s="3" t="s">
        <v>61</v>
      </c>
      <c r="AI142" s="3" t="s">
        <v>269</v>
      </c>
      <c r="AJ142" t="s">
        <v>60</v>
      </c>
      <c r="AL142" s="3" t="s">
        <v>29</v>
      </c>
      <c r="AN142" s="3" t="s">
        <v>29</v>
      </c>
      <c r="AP142" s="3" t="s">
        <v>143</v>
      </c>
      <c r="AS142" s="3" t="s">
        <v>30</v>
      </c>
      <c r="AT142" s="3"/>
      <c r="AU142" s="3" t="s">
        <v>196</v>
      </c>
    </row>
    <row r="143" spans="1:47">
      <c r="A143" t="s">
        <v>583</v>
      </c>
      <c r="B143" s="3" t="s">
        <v>136</v>
      </c>
      <c r="C143" s="3" t="s">
        <v>27</v>
      </c>
      <c r="D143" s="3" t="s">
        <v>18</v>
      </c>
      <c r="E143" s="3" t="s">
        <v>29</v>
      </c>
      <c r="F143" s="3" t="s">
        <v>28</v>
      </c>
      <c r="G143" s="4">
        <f t="shared" ca="1" si="3"/>
        <v>44265.406385532406</v>
      </c>
      <c r="H143" s="3" t="s">
        <v>229</v>
      </c>
      <c r="I143" s="3"/>
      <c r="J143" s="3" t="s">
        <v>189</v>
      </c>
      <c r="K143" s="3" t="s">
        <v>229</v>
      </c>
      <c r="L143" s="3" t="s">
        <v>61</v>
      </c>
      <c r="M143" s="3" t="s">
        <v>712</v>
      </c>
      <c r="N143" s="3" t="s">
        <v>756</v>
      </c>
      <c r="P143" s="3" t="s">
        <v>61</v>
      </c>
      <c r="Q143" s="3" t="s">
        <v>61</v>
      </c>
      <c r="R143" s="3"/>
      <c r="S143" s="3"/>
      <c r="T143" s="3" t="s">
        <v>61</v>
      </c>
      <c r="U143" s="3" t="s">
        <v>68</v>
      </c>
      <c r="V143" s="3" t="s">
        <v>29</v>
      </c>
      <c r="W143" s="3" t="s">
        <v>63</v>
      </c>
      <c r="X143" s="3" t="s">
        <v>699</v>
      </c>
      <c r="Y143" s="3" t="s">
        <v>29</v>
      </c>
      <c r="Z143" t="s">
        <v>286</v>
      </c>
      <c r="AB143" s="3" t="s">
        <v>61</v>
      </c>
      <c r="AE143" t="s">
        <v>59</v>
      </c>
      <c r="AH143" s="3" t="s">
        <v>95</v>
      </c>
      <c r="AI143" s="3" t="s">
        <v>29</v>
      </c>
      <c r="AJ143" t="s">
        <v>60</v>
      </c>
      <c r="AL143" s="3" t="s">
        <v>29</v>
      </c>
      <c r="AN143" s="3" t="s">
        <v>29</v>
      </c>
      <c r="AP143" s="3" t="s">
        <v>143</v>
      </c>
      <c r="AS143" s="3" t="s">
        <v>30</v>
      </c>
      <c r="AT143" s="3"/>
      <c r="AU143" s="3" t="s">
        <v>585</v>
      </c>
    </row>
    <row r="144" spans="1:47">
      <c r="A144" t="s">
        <v>583</v>
      </c>
      <c r="B144" s="3" t="s">
        <v>136</v>
      </c>
      <c r="C144" s="3" t="s">
        <v>27</v>
      </c>
      <c r="D144" s="3" t="s">
        <v>18</v>
      </c>
      <c r="E144" s="3" t="s">
        <v>29</v>
      </c>
      <c r="F144" s="3" t="s">
        <v>28</v>
      </c>
      <c r="G144" s="4">
        <f t="shared" ca="1" si="3"/>
        <v>44265.406385532406</v>
      </c>
      <c r="H144" s="3" t="s">
        <v>229</v>
      </c>
      <c r="I144" s="3"/>
      <c r="J144" s="3" t="s">
        <v>671</v>
      </c>
      <c r="K144" s="3" t="s">
        <v>229</v>
      </c>
      <c r="L144" s="3" t="s">
        <v>61</v>
      </c>
      <c r="M144" s="3" t="s">
        <v>712</v>
      </c>
      <c r="N144" s="3" t="s">
        <v>756</v>
      </c>
      <c r="P144" s="3" t="s">
        <v>61</v>
      </c>
      <c r="Q144" s="3" t="s">
        <v>61</v>
      </c>
      <c r="R144" s="3" t="s">
        <v>716</v>
      </c>
      <c r="S144" s="3" t="s">
        <v>755</v>
      </c>
      <c r="T144" s="3" t="s">
        <v>61</v>
      </c>
      <c r="U144" s="3" t="s">
        <v>68</v>
      </c>
      <c r="V144" s="3" t="s">
        <v>29</v>
      </c>
      <c r="W144" s="3" t="s">
        <v>63</v>
      </c>
      <c r="X144" s="3"/>
      <c r="Y144" s="3" t="s">
        <v>29</v>
      </c>
      <c r="Z144" t="s">
        <v>286</v>
      </c>
      <c r="AB144" s="3"/>
      <c r="AE144" t="s">
        <v>59</v>
      </c>
      <c r="AH144" s="3" t="s">
        <v>95</v>
      </c>
      <c r="AI144" s="3" t="s">
        <v>721</v>
      </c>
      <c r="AJ144" t="s">
        <v>60</v>
      </c>
      <c r="AL144" s="3" t="s">
        <v>29</v>
      </c>
      <c r="AN144" s="3" t="s">
        <v>29</v>
      </c>
      <c r="AP144" s="3" t="s">
        <v>143</v>
      </c>
      <c r="AS144" s="3" t="s">
        <v>30</v>
      </c>
      <c r="AT144" s="3"/>
      <c r="AU144" s="3" t="s">
        <v>682</v>
      </c>
    </row>
    <row r="145" spans="1:47">
      <c r="A145" t="s">
        <v>583</v>
      </c>
      <c r="B145" s="3" t="s">
        <v>136</v>
      </c>
      <c r="C145" s="3" t="s">
        <v>27</v>
      </c>
      <c r="D145" s="3" t="s">
        <v>18</v>
      </c>
      <c r="E145" s="3" t="s">
        <v>29</v>
      </c>
      <c r="F145" s="3" t="s">
        <v>28</v>
      </c>
      <c r="G145" s="4">
        <f t="shared" ca="1" si="3"/>
        <v>44265.406385532406</v>
      </c>
      <c r="H145" s="3" t="s">
        <v>229</v>
      </c>
      <c r="I145" s="3"/>
      <c r="J145" s="3" t="s">
        <v>189</v>
      </c>
      <c r="K145" s="3" t="s">
        <v>229</v>
      </c>
      <c r="L145" s="3" t="s">
        <v>61</v>
      </c>
      <c r="M145" s="3" t="s">
        <v>704</v>
      </c>
      <c r="N145" s="3" t="s">
        <v>714</v>
      </c>
      <c r="P145" s="3" t="s">
        <v>61</v>
      </c>
      <c r="Q145" s="3" t="s">
        <v>61</v>
      </c>
      <c r="R145" s="3"/>
      <c r="S145" s="3"/>
      <c r="T145" s="3" t="s">
        <v>61</v>
      </c>
      <c r="U145" s="3" t="s">
        <v>269</v>
      </c>
      <c r="V145" s="3" t="s">
        <v>718</v>
      </c>
      <c r="W145" s="3" t="s">
        <v>63</v>
      </c>
      <c r="X145" s="3" t="s">
        <v>699</v>
      </c>
      <c r="Y145" s="3" t="s">
        <v>63</v>
      </c>
      <c r="Z145" t="s">
        <v>286</v>
      </c>
      <c r="AB145" s="3" t="s">
        <v>61</v>
      </c>
      <c r="AE145" t="s">
        <v>59</v>
      </c>
      <c r="AH145" s="3" t="s">
        <v>95</v>
      </c>
      <c r="AI145" s="3" t="s">
        <v>91</v>
      </c>
      <c r="AJ145" t="s">
        <v>60</v>
      </c>
      <c r="AL145" s="3" t="s">
        <v>29</v>
      </c>
      <c r="AN145" s="3" t="s">
        <v>29</v>
      </c>
      <c r="AP145" s="3" t="s">
        <v>143</v>
      </c>
      <c r="AS145" s="3" t="s">
        <v>30</v>
      </c>
      <c r="AT145" s="3"/>
      <c r="AU145" s="3" t="s">
        <v>585</v>
      </c>
    </row>
    <row r="146" spans="1:47">
      <c r="A146" t="s">
        <v>583</v>
      </c>
      <c r="B146" s="3" t="s">
        <v>136</v>
      </c>
      <c r="C146" s="3" t="s">
        <v>27</v>
      </c>
      <c r="D146" s="3" t="s">
        <v>18</v>
      </c>
      <c r="E146" s="3" t="s">
        <v>29</v>
      </c>
      <c r="F146" s="3" t="s">
        <v>28</v>
      </c>
      <c r="G146" s="4">
        <f t="shared" ca="1" si="3"/>
        <v>44265.406385532406</v>
      </c>
      <c r="H146" s="3" t="s">
        <v>229</v>
      </c>
      <c r="I146" s="3"/>
      <c r="J146" s="3" t="s">
        <v>672</v>
      </c>
      <c r="K146" s="3" t="s">
        <v>229</v>
      </c>
      <c r="L146" s="3" t="s">
        <v>61</v>
      </c>
      <c r="M146" s="3" t="s">
        <v>704</v>
      </c>
      <c r="N146" s="3" t="s">
        <v>714</v>
      </c>
      <c r="P146" s="3" t="s">
        <v>61</v>
      </c>
      <c r="Q146" s="3" t="s">
        <v>61</v>
      </c>
      <c r="R146" s="3" t="s">
        <v>717</v>
      </c>
      <c r="S146" s="3" t="s">
        <v>756</v>
      </c>
      <c r="T146" s="3" t="s">
        <v>61</v>
      </c>
      <c r="U146" s="3" t="s">
        <v>269</v>
      </c>
      <c r="V146" s="3" t="s">
        <v>718</v>
      </c>
      <c r="W146" s="3" t="s">
        <v>63</v>
      </c>
      <c r="X146" s="3"/>
      <c r="Y146" s="3" t="s">
        <v>63</v>
      </c>
      <c r="Z146" t="s">
        <v>286</v>
      </c>
      <c r="AB146" s="3"/>
      <c r="AE146" t="s">
        <v>59</v>
      </c>
      <c r="AH146" s="3" t="s">
        <v>95</v>
      </c>
      <c r="AI146" s="3" t="s">
        <v>91</v>
      </c>
      <c r="AJ146" t="s">
        <v>60</v>
      </c>
      <c r="AL146" s="3" t="s">
        <v>29</v>
      </c>
      <c r="AN146" s="3" t="s">
        <v>29</v>
      </c>
      <c r="AP146" s="3" t="s">
        <v>143</v>
      </c>
      <c r="AS146" s="3" t="s">
        <v>30</v>
      </c>
      <c r="AT146" s="3"/>
      <c r="AU146" s="3" t="s">
        <v>681</v>
      </c>
    </row>
    <row r="147" spans="1:47">
      <c r="A147" t="s">
        <v>276</v>
      </c>
      <c r="B147" s="3" t="s">
        <v>136</v>
      </c>
      <c r="C147" s="3" t="s">
        <v>27</v>
      </c>
      <c r="D147" s="3" t="s">
        <v>18</v>
      </c>
      <c r="E147" s="3" t="s">
        <v>29</v>
      </c>
      <c r="F147" s="3" t="s">
        <v>28</v>
      </c>
      <c r="G147" s="4">
        <f t="shared" ca="1" si="3"/>
        <v>44265.406385532406</v>
      </c>
      <c r="H147" s="3" t="s">
        <v>228</v>
      </c>
      <c r="I147" s="3"/>
      <c r="J147" s="3" t="s">
        <v>189</v>
      </c>
      <c r="K147" s="3" t="s">
        <v>228</v>
      </c>
      <c r="L147" s="3" t="s">
        <v>91</v>
      </c>
      <c r="M147" s="3" t="s">
        <v>723</v>
      </c>
      <c r="N147" s="3" t="s">
        <v>269</v>
      </c>
      <c r="P147" s="3" t="s">
        <v>91</v>
      </c>
      <c r="Q147" s="3" t="s">
        <v>91</v>
      </c>
      <c r="R147" s="3"/>
      <c r="S147" s="3"/>
      <c r="T147" s="3" t="s">
        <v>91</v>
      </c>
      <c r="U147" s="3" t="s">
        <v>769</v>
      </c>
      <c r="V147" s="3" t="s">
        <v>68</v>
      </c>
      <c r="W147" s="3" t="s">
        <v>63</v>
      </c>
      <c r="X147" s="3" t="s">
        <v>699</v>
      </c>
      <c r="Y147" s="3" t="s">
        <v>29</v>
      </c>
      <c r="Z147" t="s">
        <v>286</v>
      </c>
      <c r="AB147" s="3" t="s">
        <v>91</v>
      </c>
      <c r="AE147" t="s">
        <v>59</v>
      </c>
      <c r="AH147" s="3" t="s">
        <v>68</v>
      </c>
      <c r="AI147" s="3" t="s">
        <v>29</v>
      </c>
      <c r="AJ147" t="s">
        <v>60</v>
      </c>
      <c r="AL147" s="3" t="s">
        <v>29</v>
      </c>
      <c r="AN147" s="3" t="s">
        <v>29</v>
      </c>
      <c r="AP147" s="3" t="s">
        <v>143</v>
      </c>
      <c r="AS147" s="3" t="s">
        <v>30</v>
      </c>
      <c r="AT147" s="3"/>
      <c r="AU147" s="3" t="s">
        <v>196</v>
      </c>
    </row>
    <row r="148" spans="1:47">
      <c r="A148" t="s">
        <v>276</v>
      </c>
      <c r="B148" s="3" t="s">
        <v>136</v>
      </c>
      <c r="C148" s="3" t="s">
        <v>27</v>
      </c>
      <c r="D148" s="3" t="s">
        <v>18</v>
      </c>
      <c r="E148" s="3" t="s">
        <v>29</v>
      </c>
      <c r="F148" s="3" t="s">
        <v>28</v>
      </c>
      <c r="G148" s="4">
        <f t="shared" ca="1" si="3"/>
        <v>44265.406385532406</v>
      </c>
      <c r="H148" s="3" t="s">
        <v>228</v>
      </c>
      <c r="I148" s="3"/>
      <c r="J148" s="3" t="s">
        <v>189</v>
      </c>
      <c r="K148" s="3" t="s">
        <v>228</v>
      </c>
      <c r="L148" s="3" t="s">
        <v>91</v>
      </c>
      <c r="M148" s="3" t="s">
        <v>723</v>
      </c>
      <c r="N148" s="3" t="s">
        <v>269</v>
      </c>
      <c r="P148" s="3" t="s">
        <v>91</v>
      </c>
      <c r="Q148" s="3" t="s">
        <v>91</v>
      </c>
      <c r="R148" s="3"/>
      <c r="S148" s="3"/>
      <c r="T148" s="3" t="s">
        <v>91</v>
      </c>
      <c r="U148" s="3" t="s">
        <v>68</v>
      </c>
      <c r="V148" s="3" t="s">
        <v>266</v>
      </c>
      <c r="W148" s="3" t="s">
        <v>63</v>
      </c>
      <c r="X148" s="3" t="s">
        <v>699</v>
      </c>
      <c r="Y148" s="3" t="s">
        <v>29</v>
      </c>
      <c r="Z148" t="s">
        <v>286</v>
      </c>
      <c r="AB148" s="3" t="s">
        <v>91</v>
      </c>
      <c r="AE148" t="s">
        <v>59</v>
      </c>
      <c r="AH148" s="3" t="s">
        <v>197</v>
      </c>
      <c r="AI148" s="3" t="s">
        <v>91</v>
      </c>
      <c r="AJ148" t="s">
        <v>60</v>
      </c>
      <c r="AL148" s="3" t="s">
        <v>29</v>
      </c>
      <c r="AN148" s="3" t="s">
        <v>29</v>
      </c>
      <c r="AP148" s="3" t="s">
        <v>143</v>
      </c>
      <c r="AS148" s="3" t="s">
        <v>30</v>
      </c>
      <c r="AT148" s="3"/>
      <c r="AU148" s="3" t="s">
        <v>196</v>
      </c>
    </row>
    <row r="149" spans="1:47">
      <c r="A149" t="s">
        <v>276</v>
      </c>
      <c r="B149" s="3" t="s">
        <v>136</v>
      </c>
      <c r="C149" s="3" t="s">
        <v>27</v>
      </c>
      <c r="D149" s="3" t="s">
        <v>18</v>
      </c>
      <c r="E149" s="3" t="s">
        <v>29</v>
      </c>
      <c r="F149" s="3" t="s">
        <v>28</v>
      </c>
      <c r="G149" s="4">
        <f t="shared" ca="1" si="3"/>
        <v>44265.406385532406</v>
      </c>
      <c r="H149" s="3" t="s">
        <v>228</v>
      </c>
      <c r="I149" s="3"/>
      <c r="J149" s="3" t="s">
        <v>189</v>
      </c>
      <c r="K149" s="3" t="s">
        <v>228</v>
      </c>
      <c r="L149" s="3" t="s">
        <v>91</v>
      </c>
      <c r="M149" s="3" t="s">
        <v>724</v>
      </c>
      <c r="N149" s="3" t="s">
        <v>269</v>
      </c>
      <c r="P149" s="3" t="s">
        <v>91</v>
      </c>
      <c r="Q149" s="3" t="s">
        <v>91</v>
      </c>
      <c r="R149" s="3"/>
      <c r="S149" s="3"/>
      <c r="T149" s="3" t="s">
        <v>91</v>
      </c>
      <c r="U149" s="3" t="s">
        <v>68</v>
      </c>
      <c r="V149" s="3" t="s">
        <v>197</v>
      </c>
      <c r="W149" s="3" t="s">
        <v>63</v>
      </c>
      <c r="X149" s="3" t="s">
        <v>699</v>
      </c>
      <c r="Y149" s="3" t="s">
        <v>29</v>
      </c>
      <c r="Z149" t="s">
        <v>286</v>
      </c>
      <c r="AB149" s="3" t="s">
        <v>91</v>
      </c>
      <c r="AE149" t="s">
        <v>59</v>
      </c>
      <c r="AH149" s="3" t="s">
        <v>197</v>
      </c>
      <c r="AI149" s="3" t="s">
        <v>91</v>
      </c>
      <c r="AJ149" t="s">
        <v>60</v>
      </c>
      <c r="AL149" s="3" t="s">
        <v>29</v>
      </c>
      <c r="AN149" s="3" t="s">
        <v>29</v>
      </c>
      <c r="AP149" s="3" t="s">
        <v>143</v>
      </c>
      <c r="AS149" s="3" t="s">
        <v>30</v>
      </c>
      <c r="AT149" s="3"/>
      <c r="AU149" s="3" t="s">
        <v>488</v>
      </c>
    </row>
    <row r="150" spans="1:47">
      <c r="A150" t="s">
        <v>276</v>
      </c>
      <c r="B150" s="3" t="s">
        <v>136</v>
      </c>
      <c r="C150" s="3" t="s">
        <v>27</v>
      </c>
      <c r="D150" s="3" t="s">
        <v>18</v>
      </c>
      <c r="E150" s="3" t="s">
        <v>29</v>
      </c>
      <c r="F150" s="3" t="s">
        <v>28</v>
      </c>
      <c r="G150" s="4">
        <f t="shared" ca="1" si="3"/>
        <v>44265.406385532406</v>
      </c>
      <c r="H150" s="3" t="s">
        <v>228</v>
      </c>
      <c r="I150" s="3"/>
      <c r="J150" s="3" t="s">
        <v>189</v>
      </c>
      <c r="K150" s="3" t="s">
        <v>228</v>
      </c>
      <c r="L150" s="3" t="s">
        <v>91</v>
      </c>
      <c r="M150" s="3" t="s">
        <v>746</v>
      </c>
      <c r="N150" s="3" t="s">
        <v>91</v>
      </c>
      <c r="P150" s="3" t="s">
        <v>91</v>
      </c>
      <c r="Q150" s="3" t="s">
        <v>91</v>
      </c>
      <c r="R150" s="3"/>
      <c r="S150" s="3"/>
      <c r="T150" s="3" t="s">
        <v>91</v>
      </c>
      <c r="U150" s="3" t="s">
        <v>29</v>
      </c>
      <c r="V150" s="3" t="s">
        <v>322</v>
      </c>
      <c r="W150" s="3" t="s">
        <v>63</v>
      </c>
      <c r="X150" s="3" t="s">
        <v>720</v>
      </c>
      <c r="Y150" s="3" t="s">
        <v>29</v>
      </c>
      <c r="Z150" t="s">
        <v>286</v>
      </c>
      <c r="AB150" s="3" t="s">
        <v>91</v>
      </c>
      <c r="AE150" t="s">
        <v>59</v>
      </c>
      <c r="AH150" s="3" t="s">
        <v>324</v>
      </c>
      <c r="AI150" s="3" t="s">
        <v>770</v>
      </c>
      <c r="AJ150" t="s">
        <v>60</v>
      </c>
      <c r="AL150" s="3" t="s">
        <v>29</v>
      </c>
      <c r="AN150" s="3" t="s">
        <v>29</v>
      </c>
      <c r="AP150" s="3" t="s">
        <v>143</v>
      </c>
      <c r="AS150" s="3" t="s">
        <v>30</v>
      </c>
      <c r="AT150" s="3"/>
      <c r="AU150" s="3" t="s">
        <v>196</v>
      </c>
    </row>
    <row r="151" spans="1:47">
      <c r="A151" t="s">
        <v>276</v>
      </c>
      <c r="B151" s="3" t="s">
        <v>136</v>
      </c>
      <c r="C151" s="3" t="s">
        <v>27</v>
      </c>
      <c r="D151" s="3" t="s">
        <v>18</v>
      </c>
      <c r="E151" s="3" t="s">
        <v>29</v>
      </c>
      <c r="F151" s="3" t="s">
        <v>28</v>
      </c>
      <c r="G151" s="4">
        <f t="shared" ca="1" si="3"/>
        <v>44265.406385532406</v>
      </c>
      <c r="H151" s="3" t="s">
        <v>228</v>
      </c>
      <c r="I151" s="3"/>
      <c r="J151" s="3" t="s">
        <v>189</v>
      </c>
      <c r="K151" s="3" t="s">
        <v>228</v>
      </c>
      <c r="L151" s="3" t="s">
        <v>91</v>
      </c>
      <c r="M151" s="3" t="s">
        <v>747</v>
      </c>
      <c r="N151" s="3" t="s">
        <v>91</v>
      </c>
      <c r="P151" s="3" t="s">
        <v>91</v>
      </c>
      <c r="Q151" s="3" t="s">
        <v>91</v>
      </c>
      <c r="R151" s="3"/>
      <c r="S151" s="3"/>
      <c r="T151" s="3" t="s">
        <v>91</v>
      </c>
      <c r="U151" s="3" t="s">
        <v>29</v>
      </c>
      <c r="V151" s="3" t="s">
        <v>323</v>
      </c>
      <c r="W151" s="3" t="s">
        <v>63</v>
      </c>
      <c r="X151" s="3" t="s">
        <v>720</v>
      </c>
      <c r="Y151" s="3" t="s">
        <v>29</v>
      </c>
      <c r="Z151" t="s">
        <v>286</v>
      </c>
      <c r="AB151" s="3" t="s">
        <v>91</v>
      </c>
      <c r="AE151" t="s">
        <v>59</v>
      </c>
      <c r="AH151" s="3" t="s">
        <v>91</v>
      </c>
      <c r="AI151" s="3" t="s">
        <v>770</v>
      </c>
      <c r="AJ151" t="s">
        <v>60</v>
      </c>
      <c r="AL151" s="3" t="s">
        <v>29</v>
      </c>
      <c r="AN151" s="3" t="s">
        <v>29</v>
      </c>
      <c r="AP151" s="3" t="s">
        <v>143</v>
      </c>
      <c r="AS151" s="3" t="s">
        <v>30</v>
      </c>
      <c r="AT151" s="3"/>
      <c r="AU151" s="3" t="s">
        <v>196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opLeftCell="G1" workbookViewId="0">
      <selection activeCell="B11" sqref="B11"/>
    </sheetView>
  </sheetViews>
  <sheetFormatPr defaultRowHeight="14.25"/>
  <cols>
    <col min="6" max="6" width="16.125" customWidth="1"/>
    <col min="7" max="7" width="16.375" customWidth="1"/>
    <col min="13" max="13" width="14.125" customWidth="1"/>
    <col min="14" max="14" width="10.625" customWidth="1"/>
    <col min="15" max="15" width="16.25" customWidth="1"/>
  </cols>
  <sheetData>
    <row r="1" spans="1:20" ht="15.75">
      <c r="A1" t="s">
        <v>459</v>
      </c>
      <c r="B1" t="s">
        <v>0</v>
      </c>
      <c r="C1" t="s">
        <v>2</v>
      </c>
      <c r="D1" t="s">
        <v>4</v>
      </c>
      <c r="E1" t="s">
        <v>7</v>
      </c>
      <c r="F1" t="s">
        <v>5</v>
      </c>
      <c r="G1" t="s">
        <v>11</v>
      </c>
      <c r="H1" t="s">
        <v>6</v>
      </c>
      <c r="I1" t="s">
        <v>115</v>
      </c>
      <c r="J1" t="s">
        <v>31</v>
      </c>
      <c r="K1" t="s">
        <v>33</v>
      </c>
      <c r="L1" t="s">
        <v>93</v>
      </c>
      <c r="M1" t="s">
        <v>150</v>
      </c>
      <c r="N1" t="s">
        <v>92</v>
      </c>
      <c r="O1" t="s">
        <v>151</v>
      </c>
      <c r="P1" t="s">
        <v>461</v>
      </c>
      <c r="Q1" t="s">
        <v>15</v>
      </c>
      <c r="R1" t="s">
        <v>16</v>
      </c>
      <c r="S1" s="1" t="s">
        <v>17</v>
      </c>
      <c r="T1" t="s">
        <v>120</v>
      </c>
    </row>
    <row r="2" spans="1:20">
      <c r="B2" t="s">
        <v>1</v>
      </c>
      <c r="C2" t="s">
        <v>3</v>
      </c>
      <c r="D2" t="s">
        <v>1</v>
      </c>
      <c r="E2" t="s">
        <v>8</v>
      </c>
      <c r="F2" t="s">
        <v>1</v>
      </c>
      <c r="G2" t="s">
        <v>12</v>
      </c>
      <c r="H2" t="s">
        <v>1</v>
      </c>
      <c r="I2" t="s">
        <v>9</v>
      </c>
      <c r="J2" t="s">
        <v>10</v>
      </c>
      <c r="K2" t="s">
        <v>13</v>
      </c>
      <c r="L2" t="s">
        <v>10</v>
      </c>
      <c r="M2" t="s">
        <v>35</v>
      </c>
      <c r="N2" t="s">
        <v>10</v>
      </c>
      <c r="O2" t="s">
        <v>10</v>
      </c>
      <c r="P2" t="s">
        <v>462</v>
      </c>
      <c r="Q2" t="s">
        <v>13</v>
      </c>
      <c r="R2" t="s">
        <v>13</v>
      </c>
      <c r="S2" t="s">
        <v>10</v>
      </c>
      <c r="T2" t="s">
        <v>121</v>
      </c>
    </row>
    <row r="3" spans="1:20">
      <c r="B3" s="2" t="s">
        <v>18</v>
      </c>
      <c r="C3" s="2" t="s">
        <v>19</v>
      </c>
      <c r="D3" s="2" t="s">
        <v>20</v>
      </c>
      <c r="E3" s="2" t="s">
        <v>23</v>
      </c>
      <c r="F3" s="2" t="s">
        <v>21</v>
      </c>
      <c r="G3" s="2" t="s">
        <v>24</v>
      </c>
      <c r="H3" s="2" t="s">
        <v>22</v>
      </c>
      <c r="I3" s="2" t="s">
        <v>127</v>
      </c>
      <c r="J3" s="3" t="s">
        <v>29</v>
      </c>
      <c r="K3" s="3" t="s">
        <v>69</v>
      </c>
      <c r="L3" s="3" t="s">
        <v>100</v>
      </c>
      <c r="M3" s="3" t="s">
        <v>169</v>
      </c>
      <c r="N3" s="3" t="s">
        <v>102</v>
      </c>
      <c r="O3" s="3" t="s">
        <v>174</v>
      </c>
      <c r="P3" s="3" t="s">
        <v>463</v>
      </c>
      <c r="Q3" s="3" t="s">
        <v>107</v>
      </c>
      <c r="R3" s="3" t="s">
        <v>108</v>
      </c>
      <c r="S3" s="2" t="s">
        <v>25</v>
      </c>
      <c r="T3" s="7" t="s">
        <v>120</v>
      </c>
    </row>
    <row r="4" spans="1:20">
      <c r="A4" t="s">
        <v>465</v>
      </c>
      <c r="B4" s="3" t="s">
        <v>26</v>
      </c>
      <c r="C4" s="3" t="s">
        <v>27</v>
      </c>
      <c r="D4" s="3" t="s">
        <v>19</v>
      </c>
      <c r="E4" s="3" t="s">
        <v>29</v>
      </c>
      <c r="F4" s="3" t="s">
        <v>28</v>
      </c>
      <c r="G4" s="4">
        <f t="shared" ref="G4" ca="1" si="0">NOW()</f>
        <v>44265.406385532406</v>
      </c>
      <c r="H4" s="3" t="s">
        <v>229</v>
      </c>
      <c r="I4" s="3"/>
      <c r="J4" s="3" t="s">
        <v>229</v>
      </c>
      <c r="K4" s="3" t="s">
        <v>457</v>
      </c>
      <c r="L4" s="3"/>
      <c r="M4" s="3" t="s">
        <v>460</v>
      </c>
      <c r="N4" s="3" t="s">
        <v>439</v>
      </c>
      <c r="O4" t="s">
        <v>464</v>
      </c>
      <c r="Q4" s="3" t="s">
        <v>143</v>
      </c>
      <c r="T4" s="3" t="s">
        <v>466</v>
      </c>
    </row>
    <row r="5" spans="1:20"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Q5" s="3"/>
      <c r="T5" s="3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A5" sqref="A5"/>
    </sheetView>
  </sheetViews>
  <sheetFormatPr defaultRowHeight="14.25"/>
  <cols>
    <col min="6" max="6" width="15.375" customWidth="1"/>
  </cols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115</v>
      </c>
      <c r="I1" t="s">
        <v>198</v>
      </c>
      <c r="J1" t="s">
        <v>199</v>
      </c>
      <c r="K1" t="s">
        <v>211</v>
      </c>
      <c r="L1" t="s">
        <v>151</v>
      </c>
      <c r="M1" s="1" t="s">
        <v>17</v>
      </c>
      <c r="N1" t="s">
        <v>156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157</v>
      </c>
    </row>
    <row r="3" spans="1:14">
      <c r="A3" s="2" t="s">
        <v>158</v>
      </c>
      <c r="B3" s="2" t="s">
        <v>159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205</v>
      </c>
      <c r="J3" s="3" t="s">
        <v>206</v>
      </c>
      <c r="K3" s="2" t="s">
        <v>212</v>
      </c>
      <c r="L3" s="3" t="s">
        <v>174</v>
      </c>
      <c r="M3" s="2" t="s">
        <v>134</v>
      </c>
      <c r="N3" s="7" t="s">
        <v>135</v>
      </c>
    </row>
    <row r="4" spans="1:14">
      <c r="A4" s="3" t="s">
        <v>136</v>
      </c>
      <c r="B4" s="3" t="s">
        <v>137</v>
      </c>
      <c r="C4" s="3" t="s">
        <v>213</v>
      </c>
      <c r="D4" s="3" t="s">
        <v>160</v>
      </c>
      <c r="E4" s="3" t="s">
        <v>28</v>
      </c>
      <c r="F4" s="4">
        <f t="shared" ref="F4:F5" ca="1" si="0">NOW()</f>
        <v>44265.406385532406</v>
      </c>
      <c r="G4" s="3" t="s">
        <v>230</v>
      </c>
      <c r="H4" s="3"/>
      <c r="I4" s="3"/>
      <c r="J4" t="s">
        <v>109</v>
      </c>
      <c r="K4" s="3" t="s">
        <v>91</v>
      </c>
      <c r="L4" t="s">
        <v>484</v>
      </c>
      <c r="M4" s="3" t="s">
        <v>145</v>
      </c>
      <c r="N4" s="3" t="s">
        <v>485</v>
      </c>
    </row>
    <row r="5" spans="1:14">
      <c r="A5" s="3" t="s">
        <v>136</v>
      </c>
      <c r="B5" s="3" t="s">
        <v>137</v>
      </c>
      <c r="C5" s="3" t="s">
        <v>213</v>
      </c>
      <c r="D5" s="3" t="s">
        <v>160</v>
      </c>
      <c r="E5" s="3" t="s">
        <v>139</v>
      </c>
      <c r="F5" s="4">
        <f t="shared" ca="1" si="0"/>
        <v>44265.406385532406</v>
      </c>
      <c r="G5" s="3" t="s">
        <v>235</v>
      </c>
      <c r="H5" s="3"/>
      <c r="I5" s="3"/>
      <c r="J5" t="s">
        <v>109</v>
      </c>
      <c r="K5" s="3" t="s">
        <v>483</v>
      </c>
      <c r="L5" t="s">
        <v>484</v>
      </c>
      <c r="M5" s="3" t="s">
        <v>145</v>
      </c>
      <c r="N5" s="3" t="s">
        <v>485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XFD4"/>
    </sheetView>
  </sheetViews>
  <sheetFormatPr defaultRowHeight="14.25"/>
  <sheetData>
    <row r="1" spans="1:14" ht="15.75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115</v>
      </c>
      <c r="I1" t="s">
        <v>198</v>
      </c>
      <c r="J1" t="s">
        <v>199</v>
      </c>
      <c r="K1" t="s">
        <v>200</v>
      </c>
      <c r="L1" t="s">
        <v>151</v>
      </c>
      <c r="M1" s="1" t="s">
        <v>17</v>
      </c>
      <c r="N1" t="s">
        <v>201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202</v>
      </c>
    </row>
    <row r="3" spans="1:14">
      <c r="A3" s="2" t="s">
        <v>203</v>
      </c>
      <c r="B3" s="2" t="s">
        <v>204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205</v>
      </c>
      <c r="J3" s="3" t="s">
        <v>206</v>
      </c>
      <c r="K3" s="2" t="s">
        <v>207</v>
      </c>
      <c r="L3" s="3" t="s">
        <v>174</v>
      </c>
      <c r="M3" s="2" t="s">
        <v>134</v>
      </c>
      <c r="N3" s="7" t="s">
        <v>135</v>
      </c>
    </row>
    <row r="4" spans="1:14">
      <c r="A4" s="3" t="s">
        <v>136</v>
      </c>
      <c r="B4" s="3" t="s">
        <v>137</v>
      </c>
      <c r="C4" s="3" t="s">
        <v>208</v>
      </c>
      <c r="D4" s="3" t="s">
        <v>209</v>
      </c>
      <c r="E4" s="3" t="s">
        <v>139</v>
      </c>
      <c r="F4" s="4">
        <f t="shared" ref="F4" ca="1" si="0">NOW()</f>
        <v>44265.406385532406</v>
      </c>
      <c r="G4" s="3" t="s">
        <v>231</v>
      </c>
      <c r="H4" s="3" t="s">
        <v>209</v>
      </c>
      <c r="I4" s="3" t="s">
        <v>189</v>
      </c>
      <c r="J4" t="s">
        <v>193</v>
      </c>
      <c r="K4" s="3" t="s">
        <v>209</v>
      </c>
      <c r="M4" s="3" t="s">
        <v>145</v>
      </c>
      <c r="N4" s="3" t="s">
        <v>210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req1</vt:lpstr>
      <vt:lpstr>rtn1</vt:lpstr>
      <vt:lpstr>req</vt:lpstr>
      <vt:lpstr>rtn</vt:lpstr>
      <vt:lpstr>req2</vt:lpstr>
      <vt:lpstr>rtn2</vt:lpstr>
      <vt:lpstr>casedescription</vt:lpstr>
      <vt:lpstr>NewOrderSingle</vt:lpstr>
      <vt:lpstr>OrderCancelRequest</vt:lpstr>
      <vt:lpstr>OrderCancelReplaceRequest</vt:lpstr>
      <vt:lpstr>OnRspUserLogin</vt:lpstr>
      <vt:lpstr>ExecutionReport1</vt:lpstr>
      <vt:lpstr>ExecutionReport</vt:lpstr>
      <vt:lpstr>OrderCancelReject</vt:lpstr>
      <vt:lpstr>BusinessMessageReject</vt:lpstr>
      <vt:lpstr>Reject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2021-03-10T01:45:36Z</dcterms:modified>
</cp:coreProperties>
</file>