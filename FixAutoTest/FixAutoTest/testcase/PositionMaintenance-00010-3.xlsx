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770" tabRatio="726" firstSheet="4" activeTab="4"/>
  </bookViews>
  <sheets>
    <sheet name="req1" sheetId="4" r:id="rId1"/>
    <sheet name="rtn1" sheetId="6" r:id="rId2"/>
    <sheet name="req2" sheetId="23" r:id="rId3"/>
    <sheet name="rtn2" sheetId="24" r:id="rId4"/>
    <sheet name="casedescription" sheetId="21" r:id="rId5"/>
    <sheet name="NewOrderSingle" sheetId="2" r:id="rId6"/>
    <sheet name="OnRspUserLogin" sheetId="8" r:id="rId7"/>
    <sheet name="PositionMaintenanceRequest" sheetId="27" r:id="rId8"/>
    <sheet name="PositionMaintenanceReport" sheetId="28" r:id="rId9"/>
    <sheet name="ExecutionReport" sheetId="20" r:id="rId10"/>
    <sheet name="BusinessMessageReject" sheetId="12" r:id="rId11"/>
    <sheet name="Reject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8" l="1"/>
  <c r="F19" i="27"/>
  <c r="B26" i="6"/>
  <c r="D26" i="6"/>
  <c r="B17" i="4"/>
  <c r="B17" i="21"/>
  <c r="G26" i="28"/>
  <c r="G25" i="28"/>
  <c r="B24" i="6"/>
  <c r="B25" i="6"/>
  <c r="D24" i="6"/>
  <c r="D25" i="6"/>
  <c r="B16" i="4"/>
  <c r="F18" i="27"/>
  <c r="B16" i="21"/>
  <c r="D16" i="21"/>
  <c r="G24" i="28"/>
  <c r="G23" i="28"/>
  <c r="F17" i="27"/>
  <c r="D22" i="6"/>
  <c r="B22" i="6" s="1"/>
  <c r="D23" i="6"/>
  <c r="B23" i="6" s="1"/>
  <c r="B15" i="4"/>
  <c r="D15" i="4"/>
  <c r="B15" i="21"/>
  <c r="D15" i="21"/>
  <c r="G22" i="28"/>
  <c r="G21" i="28"/>
  <c r="F16" i="27"/>
  <c r="D21" i="6"/>
  <c r="B21" i="6" s="1"/>
  <c r="G20" i="28"/>
  <c r="B20" i="6"/>
  <c r="D19" i="6"/>
  <c r="B19" i="6" s="1"/>
  <c r="D20" i="6"/>
  <c r="B13" i="4"/>
  <c r="B14" i="4"/>
  <c r="D13" i="4"/>
  <c r="D14" i="4"/>
  <c r="F15" i="27"/>
  <c r="D13" i="21"/>
  <c r="B13" i="21" s="1"/>
  <c r="D14" i="21"/>
  <c r="B14" i="21" s="1"/>
  <c r="G19" i="28"/>
  <c r="G18" i="28"/>
  <c r="F14" i="27"/>
  <c r="D17" i="6"/>
  <c r="B17" i="6" s="1"/>
  <c r="D18" i="6"/>
  <c r="B18" i="6" s="1"/>
  <c r="B12" i="4"/>
  <c r="D12" i="4"/>
  <c r="D12" i="21"/>
  <c r="B12" i="21" s="1"/>
  <c r="D10" i="4"/>
  <c r="B10" i="4" s="1"/>
  <c r="D11" i="4"/>
  <c r="B11" i="4" s="1"/>
  <c r="I8" i="4"/>
  <c r="G8" i="4" s="1"/>
  <c r="I9" i="4"/>
  <c r="G9" i="4" s="1"/>
  <c r="D16" i="6" l="1"/>
  <c r="B16" i="6" s="1"/>
  <c r="G17" i="28"/>
  <c r="F13" i="27"/>
  <c r="B11" i="21"/>
  <c r="D10" i="21"/>
  <c r="D11" i="21"/>
  <c r="G16" i="28" l="1"/>
  <c r="D13" i="6"/>
  <c r="B13" i="6" s="1"/>
  <c r="D14" i="6"/>
  <c r="B14" i="6" s="1"/>
  <c r="D15" i="6"/>
  <c r="B15" i="6" s="1"/>
  <c r="D5" i="4"/>
  <c r="D6" i="4"/>
  <c r="D7" i="4"/>
  <c r="D8" i="4"/>
  <c r="D9" i="4"/>
  <c r="B9" i="4"/>
  <c r="D9" i="21"/>
  <c r="B9" i="21" s="1"/>
  <c r="B10" i="21"/>
  <c r="F12" i="27"/>
  <c r="G15" i="28"/>
  <c r="G14" i="28"/>
  <c r="F11" i="27"/>
  <c r="G13" i="28" l="1"/>
  <c r="B8" i="4"/>
  <c r="B3" i="4"/>
  <c r="B4" i="4"/>
  <c r="B5" i="4"/>
  <c r="B6" i="4"/>
  <c r="B7" i="4"/>
  <c r="D9" i="6"/>
  <c r="B9" i="6" s="1"/>
  <c r="D10" i="6"/>
  <c r="B10" i="6" s="1"/>
  <c r="D11" i="6"/>
  <c r="B11" i="6" s="1"/>
  <c r="D12" i="6"/>
  <c r="B12" i="6" s="1"/>
  <c r="F10" i="27"/>
  <c r="B8" i="21"/>
  <c r="D8" i="21"/>
  <c r="G12" i="28"/>
  <c r="G11" i="28"/>
  <c r="G10" i="28"/>
  <c r="F9" i="27"/>
  <c r="F8" i="27"/>
  <c r="F7" i="27"/>
  <c r="B5" i="21"/>
  <c r="B6" i="21"/>
  <c r="D5" i="21"/>
  <c r="D6" i="21"/>
  <c r="D7" i="21"/>
  <c r="B7" i="21" s="1"/>
  <c r="G9" i="28"/>
  <c r="G8" i="28"/>
  <c r="F6" i="27"/>
  <c r="D7" i="6"/>
  <c r="B7" i="6" s="1"/>
  <c r="D8" i="6"/>
  <c r="B8" i="6"/>
  <c r="D4" i="6"/>
  <c r="B4" i="6" s="1"/>
  <c r="D5" i="6"/>
  <c r="D6" i="6"/>
  <c r="B5" i="6"/>
  <c r="B6" i="6"/>
  <c r="D4" i="4"/>
  <c r="D4" i="21"/>
  <c r="B4" i="21" s="1"/>
  <c r="G7" i="28"/>
  <c r="G5" i="28"/>
  <c r="G6" i="28"/>
  <c r="F5" i="27"/>
  <c r="D3" i="6"/>
  <c r="B3" i="6" s="1"/>
  <c r="G4" i="28" l="1"/>
  <c r="D3" i="4" l="1"/>
  <c r="F5" i="2"/>
  <c r="D3" i="21"/>
  <c r="B3" i="21" s="1"/>
  <c r="F4" i="27"/>
  <c r="F4" i="12" l="1"/>
  <c r="D2" i="24"/>
  <c r="B2" i="24" s="1"/>
  <c r="B65" i="24"/>
  <c r="B61" i="24"/>
  <c r="B57" i="24"/>
  <c r="B53" i="24"/>
  <c r="B49" i="24"/>
  <c r="B45" i="24"/>
  <c r="B41" i="24"/>
  <c r="B37" i="24"/>
  <c r="B33" i="24"/>
  <c r="B29" i="24"/>
  <c r="B25" i="24"/>
  <c r="B21" i="24"/>
  <c r="B17" i="24"/>
  <c r="B13" i="24"/>
  <c r="B12" i="24"/>
  <c r="B9" i="24"/>
  <c r="B8" i="24"/>
  <c r="B5" i="24"/>
  <c r="B4" i="24"/>
  <c r="B68" i="24"/>
  <c r="B67" i="24"/>
  <c r="B66" i="24"/>
  <c r="B64" i="24"/>
  <c r="B63" i="24"/>
  <c r="B62" i="24"/>
  <c r="B60" i="24"/>
  <c r="B59" i="24"/>
  <c r="B58" i="24"/>
  <c r="B56" i="24"/>
  <c r="B55" i="24"/>
  <c r="B54" i="24"/>
  <c r="B52" i="24"/>
  <c r="B51" i="24"/>
  <c r="B50" i="24"/>
  <c r="B48" i="24"/>
  <c r="B47" i="24"/>
  <c r="B46" i="24"/>
  <c r="B44" i="24"/>
  <c r="B43" i="24"/>
  <c r="B42" i="24"/>
  <c r="B40" i="24"/>
  <c r="B39" i="24"/>
  <c r="B38" i="24"/>
  <c r="B36" i="24"/>
  <c r="B35" i="24"/>
  <c r="B34" i="24"/>
  <c r="B32" i="24"/>
  <c r="B31" i="24"/>
  <c r="B30" i="24"/>
  <c r="B28" i="24"/>
  <c r="B27" i="24"/>
  <c r="B26" i="24"/>
  <c r="B24" i="24"/>
  <c r="B23" i="24"/>
  <c r="B22" i="24"/>
  <c r="B20" i="24"/>
  <c r="B19" i="24"/>
  <c r="B18" i="24"/>
  <c r="B16" i="24"/>
  <c r="B15" i="24"/>
  <c r="B14" i="24"/>
  <c r="B11" i="24"/>
  <c r="B10" i="24"/>
  <c r="B7" i="24"/>
  <c r="B6" i="24"/>
  <c r="B3" i="24"/>
  <c r="B13" i="23"/>
  <c r="B9" i="23"/>
  <c r="B5" i="23"/>
  <c r="B3" i="23"/>
  <c r="B16" i="23"/>
  <c r="B15" i="23"/>
  <c r="B14" i="23"/>
  <c r="B12" i="23"/>
  <c r="B11" i="23"/>
  <c r="B10" i="23"/>
  <c r="B8" i="23"/>
  <c r="B7" i="23"/>
  <c r="B6" i="23"/>
  <c r="B4" i="23"/>
  <c r="B2" i="23"/>
  <c r="D2" i="4" l="1"/>
  <c r="D2" i="21"/>
  <c r="B2" i="21" l="1"/>
  <c r="G4" i="20"/>
  <c r="B2" i="4"/>
  <c r="F4" i="2"/>
  <c r="D2" i="6"/>
  <c r="B2" i="6" s="1"/>
  <c r="F5" i="12"/>
  <c r="F4" i="11"/>
  <c r="F4" i="8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sharedStrings.xml><?xml version="1.0" encoding="utf-8"?>
<sst xmlns="http://schemas.openxmlformats.org/spreadsheetml/2006/main" count="1626" uniqueCount="422">
  <si>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</si>
  <si>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</si>
  <si>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</si>
  <si>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</si>
  <si>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</si>
  <si>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</si>
  <si>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</si>
  <si>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</si>
  <si>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</si>
  <si>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</si>
  <si>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</si>
  <si>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</si>
  <si>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</si>
  <si>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</si>
  <si>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</si>
  <si>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</si>
  <si>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</si>
  <si>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</si>
  <si>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</si>
  <si>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</si>
  <si>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</si>
  <si>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</si>
  <si>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</si>
  <si>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</si>
  <si>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</si>
  <si>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</si>
  <si>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</si>
  <si>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</si>
  <si>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</si>
  <si>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</si>
  <si>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</si>
  <si>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</si>
  <si>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</si>
  <si>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</si>
  <si>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</si>
  <si>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</si>
  <si>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</si>
  <si>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</si>
  <si>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</si>
  <si>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</si>
  <si>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</si>
  <si>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</si>
  <si>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</si>
  <si>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</si>
  <si>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</si>
  <si>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</si>
  <si>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</si>
  <si>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</si>
  <si>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</si>
  <si>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</si>
  <si>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</si>
  <si>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</si>
  <si>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</si>
  <si>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</si>
  <si>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</si>
  <si>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</si>
  <si>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</si>
  <si>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</si>
  <si>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</si>
  <si>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</si>
  <si>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</si>
  <si>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</si>
  <si>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</si>
  <si>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</si>
  <si>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</si>
  <si>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</si>
  <si>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</si>
  <si>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</si>
  <si>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</si>
  <si>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</si>
  <si>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</si>
  <si>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</si>
  <si>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</si>
  <si>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</si>
  <si>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</si>
  <si>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</si>
  <si>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</si>
  <si>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</si>
  <si>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</si>
  <si>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</si>
  <si>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</si>
  <si>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</si>
  <si>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</si>
  <si>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</si>
  <si>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</si>
  <si>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</si>
  <si>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</si>
  <si>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</si>
  <si>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</si>
  <si>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</si>
  <si>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</si>
  <si>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OrderID</t>
  </si>
  <si>
    <t>OrderCancelRequest</t>
  </si>
  <si>
    <t>37</t>
    <phoneticPr fontId="2" type="noConversion"/>
  </si>
  <si>
    <t>20004</t>
    <phoneticPr fontId="2" type="noConversion"/>
  </si>
  <si>
    <t>20005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</si>
  <si>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</si>
  <si>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</si>
  <si>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</si>
  <si>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</si>
  <si>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</si>
  <si>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</si>
  <si>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</si>
  <si>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</si>
  <si>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</si>
  <si>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</si>
  <si>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</si>
  <si>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</si>
  <si>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</si>
  <si>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</si>
  <si>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</si>
  <si>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</si>
  <si>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</si>
  <si>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</si>
  <si>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</si>
  <si>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</si>
  <si>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</si>
  <si>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</si>
  <si>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</si>
  <si>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</si>
  <si>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</si>
  <si>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</si>
  <si>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</si>
  <si>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</si>
  <si>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</si>
  <si>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</si>
  <si>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</si>
  <si>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</si>
  <si>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</si>
  <si>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</si>
  <si>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</si>
  <si>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</si>
  <si>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</si>
  <si>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</si>
  <si>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</si>
  <si>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</si>
  <si>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</si>
  <si>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</si>
  <si>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</si>
  <si>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</si>
  <si>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</si>
  <si>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</si>
  <si>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</si>
  <si>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</si>
  <si>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</si>
  <si>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</si>
  <si>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</si>
  <si>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</si>
  <si>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</si>
  <si>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</si>
  <si>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39</t>
    <phoneticPr fontId="2" type="noConversion"/>
  </si>
  <si>
    <t>58</t>
    <phoneticPr fontId="2" type="noConversion"/>
  </si>
  <si>
    <t>75</t>
    <phoneticPr fontId="2" type="noConversion"/>
  </si>
  <si>
    <t>99</t>
    <phoneticPr fontId="2" type="noConversion"/>
  </si>
  <si>
    <t>150</t>
    <phoneticPr fontId="2" type="noConversion"/>
  </si>
  <si>
    <t>151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</si>
  <si>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</si>
  <si>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</si>
  <si>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</si>
  <si>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61441</t>
    <phoneticPr fontId="2" type="noConversion"/>
  </si>
  <si>
    <t>cu1202</t>
    <phoneticPr fontId="2" type="noConversion"/>
  </si>
  <si>
    <t>['35','40','54','77','44','38','39','150','20001','59','55','1','56','116']</t>
    <phoneticPr fontId="2" type="noConversion"/>
  </si>
  <si>
    <t>RefSeqNum</t>
  </si>
  <si>
    <t>RefMsgType</t>
  </si>
  <si>
    <t>SessionRejectReason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</si>
  <si>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</si>
  <si>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</si>
  <si>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</si>
  <si>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</si>
  <si>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</si>
  <si>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</si>
  <si>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</si>
  <si>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3</t>
    <phoneticPr fontId="2" type="noConversion"/>
  </si>
  <si>
    <t>1</t>
    <phoneticPr fontId="2" type="noConversion"/>
  </si>
  <si>
    <t>['35','372','373']</t>
    <phoneticPr fontId="2" type="noConversion"/>
  </si>
  <si>
    <t>BusinessRejectReason</t>
  </si>
  <si>
    <t>380</t>
    <phoneticPr fontId="2" type="noConversion"/>
  </si>
  <si>
    <t>j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</si>
  <si>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</si>
  <si>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</si>
  <si>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</si>
  <si>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</si>
  <si>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OrderCancelReplaceRequest</t>
  </si>
  <si>
    <t>2</t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</si>
  <si>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</si>
  <si>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</si>
  <si>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</si>
  <si>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</si>
  <si>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</si>
  <si>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</si>
  <si>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00010</t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</si>
  <si>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</si>
  <si>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</si>
  <si>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</si>
  <si>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</si>
  <si>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</si>
  <si>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5</t>
    <phoneticPr fontId="2" type="noConversion"/>
  </si>
  <si>
    <t>ReqList</t>
    <phoneticPr fontId="2" type="noConversion"/>
  </si>
  <si>
    <t>NewOrderSingle</t>
    <phoneticPr fontId="2" type="noConversion"/>
  </si>
  <si>
    <t>N</t>
    <phoneticPr fontId="2" type="noConversion"/>
  </si>
  <si>
    <t>CaseNo</t>
    <phoneticPr fontId="2" type="noConversion"/>
  </si>
  <si>
    <t>SheetName</t>
    <phoneticPr fontId="2" type="noConversion"/>
  </si>
  <si>
    <t>RowNum</t>
    <phoneticPr fontId="2" type="noConversion"/>
  </si>
  <si>
    <t>rb1205</t>
    <phoneticPr fontId="2" type="noConversion"/>
  </si>
  <si>
    <t>100</t>
    <phoneticPr fontId="2" type="noConversion"/>
  </si>
  <si>
    <t>5000</t>
    <phoneticPr fontId="2" type="noConversion"/>
  </si>
  <si>
    <t>104</t>
  </si>
  <si>
    <t>102</t>
    <phoneticPr fontId="2" type="noConversion"/>
  </si>
  <si>
    <t>F</t>
    <phoneticPr fontId="2" type="noConversion"/>
  </si>
  <si>
    <t>4444</t>
    <phoneticPr fontId="2" type="noConversion"/>
  </si>
  <si>
    <t>106</t>
    <phoneticPr fontId="2" type="noConversion"/>
  </si>
  <si>
    <t>tag11</t>
    <phoneticPr fontId="2" type="noConversion"/>
  </si>
  <si>
    <t>0</t>
    <phoneticPr fontId="2" type="noConversion"/>
  </si>
  <si>
    <t>Other:The original order is being processed</t>
    <phoneticPr fontId="2" type="noConversion"/>
  </si>
  <si>
    <t>['35','56','372','380']</t>
    <phoneticPr fontId="2" type="noConversion"/>
  </si>
  <si>
    <t>20012</t>
    <phoneticPr fontId="2" type="noConversion"/>
  </si>
  <si>
    <t>SplitOrginRef</t>
    <phoneticPr fontId="2" type="noConversion"/>
  </si>
  <si>
    <t xml:space="preserve">String </t>
    <phoneticPr fontId="2" type="noConversion"/>
  </si>
  <si>
    <t>C</t>
    <phoneticPr fontId="2" type="noConversion"/>
  </si>
  <si>
    <t>31</t>
    <phoneticPr fontId="2" type="noConversion"/>
  </si>
  <si>
    <t>32</t>
    <phoneticPr fontId="2" type="noConversion"/>
  </si>
  <si>
    <t>Price</t>
    <phoneticPr fontId="2" type="noConversion"/>
  </si>
  <si>
    <t>Qty</t>
    <phoneticPr fontId="2" type="noConversion"/>
  </si>
  <si>
    <t>LastQty成交价格</t>
    <phoneticPr fontId="2" type="noConversion"/>
  </si>
  <si>
    <t>LastPx成交数量</t>
    <phoneticPr fontId="2" type="noConversion"/>
  </si>
  <si>
    <t>PosTransType</t>
  </si>
  <si>
    <t>PosReqID</t>
  </si>
  <si>
    <t>PosMaintAction</t>
  </si>
  <si>
    <t>OrigPosReqRefID</t>
  </si>
  <si>
    <t>PosMaintRptRefID</t>
  </si>
  <si>
    <t>ClearingBusinessDate</t>
  </si>
  <si>
    <t>NoPositions</t>
  </si>
  <si>
    <t>PosType</t>
  </si>
  <si>
    <t>LongQty</t>
  </si>
  <si>
    <t>ExecCloseFlag</t>
  </si>
  <si>
    <t>8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</si>
  <si>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</si>
  <si>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</si>
  <si>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</si>
  <si>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</si>
  <si>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116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</si>
  <si>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</si>
  <si>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</si>
  <si>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</si>
  <si>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77</t>
    <phoneticPr fontId="2" type="noConversion"/>
  </si>
  <si>
    <t>709</t>
    <phoneticPr fontId="2" type="noConversion"/>
  </si>
  <si>
    <t>710</t>
    <phoneticPr fontId="2" type="noConversion"/>
  </si>
  <si>
    <t>712</t>
    <phoneticPr fontId="2" type="noConversion"/>
  </si>
  <si>
    <t>713</t>
    <phoneticPr fontId="2" type="noConversion"/>
  </si>
  <si>
    <t>714</t>
    <phoneticPr fontId="2" type="noConversion"/>
  </si>
  <si>
    <t>715</t>
    <phoneticPr fontId="2" type="noConversion"/>
  </si>
  <si>
    <t>453</t>
    <phoneticPr fontId="2" type="noConversion"/>
  </si>
  <si>
    <t>448</t>
    <phoneticPr fontId="2" type="noConversion"/>
  </si>
  <si>
    <t>452</t>
    <phoneticPr fontId="2" type="noConversion"/>
  </si>
  <si>
    <t>4481</t>
  </si>
  <si>
    <t>4521</t>
  </si>
  <si>
    <t>702</t>
    <phoneticPr fontId="2" type="noConversion"/>
  </si>
  <si>
    <t>703</t>
    <phoneticPr fontId="2" type="noConversion"/>
  </si>
  <si>
    <t>704</t>
    <phoneticPr fontId="2" type="noConversion"/>
  </si>
  <si>
    <t>20001</t>
    <phoneticPr fontId="2" type="noConversion"/>
  </si>
  <si>
    <t>20011</t>
    <phoneticPr fontId="2" type="noConversion"/>
  </si>
  <si>
    <t>FIX.4.2</t>
    <phoneticPr fontId="2" type="noConversion"/>
  </si>
  <si>
    <t>111</t>
    <phoneticPr fontId="2" type="noConversion"/>
  </si>
  <si>
    <t>AL</t>
    <phoneticPr fontId="2" type="noConversion"/>
  </si>
  <si>
    <t>16422</t>
    <phoneticPr fontId="2" type="noConversion"/>
  </si>
  <si>
    <t>4444</t>
    <phoneticPr fontId="2" type="noConversion"/>
  </si>
  <si>
    <t>1</t>
    <phoneticPr fontId="2" type="noConversion"/>
  </si>
  <si>
    <t>n</t>
    <phoneticPr fontId="2" type="noConversion"/>
  </si>
  <si>
    <t>EX</t>
    <phoneticPr fontId="2" type="noConversion"/>
  </si>
  <si>
    <t>0</t>
    <phoneticPr fontId="2" type="noConversion"/>
  </si>
  <si>
    <t>150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</si>
  <si>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</si>
  <si>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</si>
  <si>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</si>
  <si>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</si>
  <si>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fu1205p4800</t>
    <phoneticPr fontId="2" type="noConversion"/>
  </si>
  <si>
    <t>PositionMaintenanceRequest</t>
  </si>
  <si>
    <t>fu1205c4800行权平昨1手，投机。头寸自动平仓</t>
    <phoneticPr fontId="2" type="noConversion"/>
  </si>
  <si>
    <t>fu1205c4800</t>
    <phoneticPr fontId="2" type="noConversion"/>
  </si>
  <si>
    <t>F</t>
    <phoneticPr fontId="2" type="noConversion"/>
  </si>
  <si>
    <t>PosMaintRptID</t>
  </si>
  <si>
    <t>PosMaintStatus</t>
  </si>
  <si>
    <t>ExecResult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</si>
  <si>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</si>
  <si>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</si>
  <si>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</si>
  <si>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</si>
  <si>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</si>
  <si>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</si>
  <si>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</si>
  <si>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</si>
  <si>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116</t>
    <phoneticPr fontId="2" type="noConversion"/>
  </si>
  <si>
    <t>56</t>
    <phoneticPr fontId="2" type="noConversion"/>
  </si>
  <si>
    <t>55</t>
    <phoneticPr fontId="2" type="noConversion"/>
  </si>
  <si>
    <t>60</t>
    <phoneticPr fontId="2" type="noConversion"/>
  </si>
  <si>
    <t>709</t>
    <phoneticPr fontId="2" type="noConversion"/>
  </si>
  <si>
    <t>710</t>
    <phoneticPr fontId="2" type="noConversion"/>
  </si>
  <si>
    <t>712</t>
    <phoneticPr fontId="2" type="noConversion"/>
  </si>
  <si>
    <t>713</t>
    <phoneticPr fontId="2" type="noConversion"/>
  </si>
  <si>
    <t>715</t>
    <phoneticPr fontId="2" type="noConversion"/>
  </si>
  <si>
    <t>721</t>
    <phoneticPr fontId="2" type="noConversion"/>
  </si>
  <si>
    <t>722</t>
    <phoneticPr fontId="2" type="noConversion"/>
  </si>
  <si>
    <t>453</t>
    <phoneticPr fontId="2" type="noConversion"/>
  </si>
  <si>
    <t>448</t>
    <phoneticPr fontId="2" type="noConversion"/>
  </si>
  <si>
    <t>702</t>
    <phoneticPr fontId="2" type="noConversion"/>
  </si>
  <si>
    <t>703</t>
    <phoneticPr fontId="2" type="noConversion"/>
  </si>
  <si>
    <t>704</t>
    <phoneticPr fontId="2" type="noConversion"/>
  </si>
  <si>
    <t>20001</t>
    <phoneticPr fontId="2" type="noConversion"/>
  </si>
  <si>
    <t>20004</t>
    <phoneticPr fontId="2" type="noConversion"/>
  </si>
  <si>
    <t>20005</t>
    <phoneticPr fontId="2" type="noConversion"/>
  </si>
  <si>
    <t>20010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</si>
  <si>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</si>
  <si>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</si>
  <si>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</si>
  <si>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FIX.4.2</t>
    <phoneticPr fontId="2" type="noConversion"/>
  </si>
  <si>
    <t>111</t>
    <phoneticPr fontId="2" type="noConversion"/>
  </si>
  <si>
    <t>AM</t>
    <phoneticPr fontId="2" type="noConversion"/>
  </si>
  <si>
    <t>4444</t>
    <phoneticPr fontId="2" type="noConversion"/>
  </si>
  <si>
    <t>16423</t>
    <phoneticPr fontId="2" type="noConversion"/>
  </si>
  <si>
    <t>1</t>
    <phoneticPr fontId="2" type="noConversion"/>
  </si>
  <si>
    <t>1</t>
    <phoneticPr fontId="2" type="noConversion"/>
  </si>
  <si>
    <t>100</t>
    <phoneticPr fontId="2" type="noConversion"/>
  </si>
  <si>
    <t>135</t>
    <phoneticPr fontId="2" type="noConversion"/>
  </si>
  <si>
    <t>00010</t>
    <phoneticPr fontId="2" type="noConversion"/>
  </si>
  <si>
    <t>fu1205c4800</t>
    <phoneticPr fontId="2" type="noConversion"/>
  </si>
  <si>
    <t>100</t>
    <phoneticPr fontId="2" type="noConversion"/>
  </si>
  <si>
    <t>a</t>
    <phoneticPr fontId="2" type="noConversion"/>
  </si>
  <si>
    <t>5</t>
    <phoneticPr fontId="2" type="noConversion"/>
  </si>
  <si>
    <t>PositionMaintenanceReport</t>
    <phoneticPr fontId="2" type="noConversion"/>
  </si>
  <si>
    <t>2</t>
    <phoneticPr fontId="2" type="noConversion"/>
  </si>
  <si>
    <t>101</t>
    <phoneticPr fontId="2" type="noConversion"/>
  </si>
  <si>
    <t>2</t>
    <phoneticPr fontId="2" type="noConversion"/>
  </si>
  <si>
    <t>2</t>
    <phoneticPr fontId="2" type="noConversion"/>
  </si>
  <si>
    <t>0</t>
    <phoneticPr fontId="2" type="noConversion"/>
  </si>
  <si>
    <t>n</t>
    <phoneticPr fontId="2" type="noConversion"/>
  </si>
  <si>
    <t>fu1205p4800</t>
    <phoneticPr fontId="2" type="noConversion"/>
  </si>
  <si>
    <t>102</t>
    <phoneticPr fontId="2" type="noConversion"/>
  </si>
  <si>
    <t>fu1205p4800</t>
    <phoneticPr fontId="2" type="noConversion"/>
  </si>
  <si>
    <t>fu1205c4800不行权平昨2手，套利。头寸不自动平仓。报错</t>
    <phoneticPr fontId="2" type="noConversion"/>
  </si>
  <si>
    <t>fu1205c4800不行权平昨2手，套保。头寸不自动平仓。套保仓位不足</t>
    <phoneticPr fontId="2" type="noConversion"/>
  </si>
  <si>
    <t>fu1205c4800不行权平昨2手，做市商。头寸不自动平仓。报错</t>
    <phoneticPr fontId="2" type="noConversion"/>
  </si>
  <si>
    <t>3</t>
    <phoneticPr fontId="2" type="noConversion"/>
  </si>
  <si>
    <t xml:space="preserve">[CTP:Lack of executive positions] </t>
    <phoneticPr fontId="2" type="noConversion"/>
  </si>
  <si>
    <t>61457</t>
  </si>
  <si>
    <t>61457</t>
    <phoneticPr fontId="2" type="noConversion"/>
  </si>
  <si>
    <t>103</t>
  </si>
  <si>
    <t>105</t>
  </si>
  <si>
    <t>103</t>
    <phoneticPr fontId="2" type="noConversion"/>
  </si>
  <si>
    <t>n</t>
    <phoneticPr fontId="2" type="noConversion"/>
  </si>
  <si>
    <t>5</t>
    <phoneticPr fontId="2" type="noConversion"/>
  </si>
  <si>
    <t>[CTP:The exchange does not support arbitrage order]</t>
    <phoneticPr fontId="2" type="noConversion"/>
  </si>
  <si>
    <t>[CTP:The exchange does not support arbitrage order]</t>
    <phoneticPr fontId="2" type="noConversion"/>
  </si>
  <si>
    <t>106</t>
    <phoneticPr fontId="2" type="noConversion"/>
  </si>
  <si>
    <t>C</t>
    <phoneticPr fontId="2" type="noConversion"/>
  </si>
  <si>
    <t>2</t>
    <phoneticPr fontId="2" type="noConversion"/>
  </si>
  <si>
    <t>3</t>
    <phoneticPr fontId="2" type="noConversion"/>
  </si>
  <si>
    <t>1</t>
    <phoneticPr fontId="2" type="noConversion"/>
  </si>
  <si>
    <t>207</t>
    <phoneticPr fontId="2" type="noConversion"/>
  </si>
  <si>
    <t>16424</t>
    <phoneticPr fontId="2" type="noConversion"/>
  </si>
  <si>
    <t>201</t>
    <phoneticPr fontId="2" type="noConversion"/>
  </si>
  <si>
    <t>3</t>
    <phoneticPr fontId="2" type="noConversion"/>
  </si>
  <si>
    <t>100</t>
    <phoneticPr fontId="2" type="noConversion"/>
  </si>
  <si>
    <t>c</t>
    <phoneticPr fontId="2" type="noConversion"/>
  </si>
  <si>
    <t>202</t>
    <phoneticPr fontId="2" type="noConversion"/>
  </si>
  <si>
    <t>16425</t>
    <phoneticPr fontId="2" type="noConversion"/>
  </si>
  <si>
    <t>CTP:未执行</t>
    <phoneticPr fontId="2" type="noConversion"/>
  </si>
  <si>
    <t>CTP:已取消</t>
  </si>
  <si>
    <t xml:space="preserve">[CTP: The order is full-filled or canceled or unknow and can not be cancelled now] </t>
  </si>
  <si>
    <t>100</t>
    <phoneticPr fontId="2" type="noConversion"/>
  </si>
  <si>
    <t>['35','709','710','712','715','722','703','704','20001','55','56','116']</t>
    <phoneticPr fontId="2" type="noConversion"/>
  </si>
  <si>
    <t>撤销case1的行权，用tag713（=tag710）+frontid+sessionid撤单</t>
    <phoneticPr fontId="2" type="noConversion"/>
  </si>
  <si>
    <t>1000</t>
    <phoneticPr fontId="2" type="noConversion"/>
  </si>
  <si>
    <t xml:space="preserve">[CTP:The Executive declared cancellation can not find the corresponding execution announcement] </t>
    <phoneticPr fontId="2" type="noConversion"/>
  </si>
  <si>
    <t>203</t>
    <phoneticPr fontId="2" type="noConversion"/>
  </si>
  <si>
    <t>1000</t>
    <phoneticPr fontId="2" type="noConversion"/>
  </si>
  <si>
    <t>2</t>
    <phoneticPr fontId="2" type="noConversion"/>
  </si>
  <si>
    <t>1</t>
    <phoneticPr fontId="2" type="noConversion"/>
  </si>
  <si>
    <t>['35','77','709','710','712','722','703','704','20001','20010','55','56','116']</t>
    <phoneticPr fontId="2" type="noConversion"/>
  </si>
  <si>
    <t>caseNo</t>
    <phoneticPr fontId="2" type="noConversion"/>
  </si>
  <si>
    <t>100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</si>
  <si>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</si>
  <si>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</si>
  <si>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</si>
  <si>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2</t>
    <phoneticPr fontId="2" type="noConversion"/>
  </si>
  <si>
    <t>['35','709','710','712','713','715','721','722','703','704','55','56','116']</t>
    <phoneticPr fontId="2" type="noConversion"/>
  </si>
  <si>
    <t>撤销case2的行权，用tag713（=tag710）+frontid+sessionid撤单</t>
    <phoneticPr fontId="2" type="noConversion"/>
  </si>
  <si>
    <t>204</t>
    <phoneticPr fontId="2" type="noConversion"/>
  </si>
  <si>
    <t>2</t>
    <phoneticPr fontId="2" type="noConversion"/>
  </si>
  <si>
    <t>101</t>
    <phoneticPr fontId="2" type="noConversion"/>
  </si>
  <si>
    <t>101</t>
    <phoneticPr fontId="2" type="noConversion"/>
  </si>
  <si>
    <r>
      <t>重复撤销case1的行权，</t>
    </r>
    <r>
      <rPr>
        <b/>
        <sz val="11"/>
        <color theme="1"/>
        <rFont val="等线"/>
        <family val="3"/>
        <charset val="134"/>
        <scheme val="minor"/>
      </rPr>
      <t>这</t>
    </r>
    <r>
      <rPr>
        <b/>
        <sz val="11"/>
        <color theme="1"/>
        <rFont val="等线"/>
        <family val="2"/>
        <scheme val="minor"/>
      </rPr>
      <t>条</t>
    </r>
    <r>
      <rPr>
        <b/>
        <sz val="11"/>
        <color theme="1"/>
        <rFont val="等线"/>
        <family val="3"/>
        <charset val="134"/>
        <scheme val="minor"/>
      </rPr>
      <t>本来回报中tag709应该是1，但写死了错误撤销的时候tag709=2</t>
    </r>
    <phoneticPr fontId="2" type="noConversion"/>
  </si>
  <si>
    <t>2</t>
    <phoneticPr fontId="2" type="noConversion"/>
  </si>
  <si>
    <t>错误撤销case2的行权，用tag713（=tag710）+frontid+sessionid撤单，但是tag713填错了</t>
    <phoneticPr fontId="2" type="noConversion"/>
  </si>
  <si>
    <t>fu1205p4800行权平今2手，投机。头寸自动平仓</t>
    <phoneticPr fontId="2" type="noConversion"/>
  </si>
  <si>
    <t>fu1205c4800不行权平昨2手，投机。头寸不自动平仓。</t>
    <phoneticPr fontId="2" type="noConversion"/>
  </si>
  <si>
    <t>撤销case3的行权，用tag713（=tag710）+frontid+sessionid撤单，释放fu1205p4800的今仓2手</t>
    <phoneticPr fontId="2" type="noConversion"/>
  </si>
  <si>
    <t>fu1205c4800不行权平今2手，投机。头寸不自动平仓。报错，仓位不足，因为fu1205c4800没有今仓。</t>
    <phoneticPr fontId="2" type="noConversion"/>
  </si>
  <si>
    <t>fu1205p4800行权平今2手，投机。头寸自动平仓。仓位不足。此时今买持已经被行权，今卖持无法行权。</t>
    <phoneticPr fontId="2" type="noConversion"/>
  </si>
  <si>
    <t>107</t>
    <phoneticPr fontId="2" type="noConversion"/>
  </si>
  <si>
    <t>fu1205p4800</t>
    <phoneticPr fontId="2" type="noConversion"/>
  </si>
  <si>
    <t>1</t>
    <phoneticPr fontId="2" type="noConversion"/>
  </si>
  <si>
    <t>107</t>
    <phoneticPr fontId="2" type="noConversion"/>
  </si>
  <si>
    <t>205</t>
    <phoneticPr fontId="2" type="noConversion"/>
  </si>
  <si>
    <t>102</t>
    <phoneticPr fontId="2" type="noConversion"/>
  </si>
  <si>
    <t>fu1205p4800</t>
    <phoneticPr fontId="2" type="noConversion"/>
  </si>
  <si>
    <t>102</t>
    <phoneticPr fontId="2" type="noConversion"/>
  </si>
  <si>
    <t>108</t>
  </si>
  <si>
    <t>1</t>
    <phoneticPr fontId="2" type="noConversion"/>
  </si>
  <si>
    <t>CTP:报单已提交</t>
    <phoneticPr fontId="2" type="noConversion"/>
  </si>
  <si>
    <t xml:space="preserve">CTP:未执行 </t>
    <phoneticPr fontId="2" type="noConversion"/>
  </si>
  <si>
    <t>108</t>
    <phoneticPr fontId="2" type="noConversion"/>
  </si>
  <si>
    <t>1</t>
    <phoneticPr fontId="2" type="noConversion"/>
  </si>
  <si>
    <t>2</t>
    <phoneticPr fontId="2" type="noConversion"/>
  </si>
  <si>
    <t>2</t>
    <phoneticPr fontId="2" type="noConversion"/>
  </si>
  <si>
    <t>撤销case14的执行宣告，用tag714（=tag721）+tag207撤单</t>
    <phoneticPr fontId="2" type="noConversion"/>
  </si>
  <si>
    <t>206</t>
    <phoneticPr fontId="2" type="noConversion"/>
  </si>
  <si>
    <t>SHFE</t>
    <phoneticPr fontId="2" type="noConversion"/>
  </si>
  <si>
    <t>fu1205p4800不行权平今2手，投机，头寸不自动平仓</t>
    <phoneticPr fontId="2" type="noConversion"/>
  </si>
  <si>
    <t>207</t>
    <phoneticPr fontId="2" type="noConversion"/>
  </si>
  <si>
    <t>['35','709','710','712','713','715','722','703','704','55','56','116']</t>
    <phoneticPr fontId="2" type="noConversion"/>
  </si>
  <si>
    <t>再次重复撤销case14的执行宣告，用tag714+tag207。这个不比较回报中的tag721</t>
    <phoneticPr fontId="2" type="noConversion"/>
  </si>
  <si>
    <r>
      <rPr>
        <sz val="12"/>
        <color theme="1"/>
        <rFont val="等线"/>
        <family val="2"/>
      </rPr>
      <t>测试背景：</t>
    </r>
    <r>
      <rPr>
        <sz val="12"/>
        <color theme="1"/>
        <rFont val="TimesNewRoman"/>
      </rPr>
      <t>fu1205c4800</t>
    </r>
    <r>
      <rPr>
        <sz val="12"/>
        <color theme="1"/>
        <rFont val="等线"/>
        <family val="2"/>
      </rPr>
      <t>有昨买持</t>
    </r>
    <r>
      <rPr>
        <sz val="12"/>
        <color theme="1"/>
        <rFont val="TimesNewRoman"/>
        <family val="1"/>
      </rPr>
      <t>10</t>
    </r>
    <r>
      <rPr>
        <sz val="12"/>
        <color theme="1"/>
        <rFont val="等线"/>
        <family val="2"/>
      </rPr>
      <t>手且没有今买持，</t>
    </r>
    <r>
      <rPr>
        <sz val="12"/>
        <color theme="1"/>
        <rFont val="TimesNewRoman"/>
        <family val="1"/>
      </rPr>
      <t>fu1205p4800</t>
    </r>
    <r>
      <rPr>
        <sz val="12"/>
        <color theme="1"/>
        <rFont val="等线"/>
        <family val="2"/>
      </rPr>
      <t>有今买持</t>
    </r>
    <r>
      <rPr>
        <sz val="12"/>
        <color theme="1"/>
        <rFont val="TimesNewRoman"/>
        <family val="1"/>
      </rPr>
      <t>2</t>
    </r>
    <r>
      <rPr>
        <sz val="12"/>
        <color theme="1"/>
        <rFont val="等线"/>
        <family val="2"/>
      </rPr>
      <t>手今卖持</t>
    </r>
    <r>
      <rPr>
        <sz val="12"/>
        <color theme="1"/>
        <rFont val="TimesNewRoman"/>
        <family val="1"/>
      </rPr>
      <t>2</t>
    </r>
    <r>
      <rPr>
        <sz val="12"/>
        <color theme="1"/>
        <rFont val="等线"/>
        <family val="2"/>
      </rPr>
      <t>手且没有昨买持。跑该用例前先跑</t>
    </r>
    <r>
      <rPr>
        <sz val="12"/>
        <color theme="1"/>
        <rFont val="TimesNewRoman"/>
        <family val="1"/>
      </rPr>
      <t>Position.xlsx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</si>
</sst>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TimesNewRoman"/>
    </font>
    <font>
      <sz val="12"/>
      <color theme="1"/>
      <name val="等线"/>
      <family val="2"/>
    </font>
    <font>
      <sz val="12"/>
      <color theme="1"/>
      <name val="TimesNew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7" fillId="0" borderId="0" xfId="0" applyFont="1"/>
    <xf numFmtId="0" fontId="8" fillId="0" borderId="0" xfId="0" applyFont="1"/>
    <xf numFmtId="22" fontId="0" fillId="0" borderId="0" xfId="0" quotePrefix="1" applyNumberFormat="1"/>
    <xf numFmtId="0" fontId="9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4" workbookViewId="0">
      <selection activeCell="B17" sqref="B17"/>
    </sheetView>
  </sheetViews>
  <sheetFormatPr defaultRowHeight="14"/>
  <cols>
    <col min="2" max="2" width="28.08203125" customWidth="1"/>
    <col min="3" max="3" width="26.08203125" customWidth="1"/>
    <col min="7" max="7" width="15.25" customWidth="1"/>
    <col min="8" max="8" width="17" customWidth="1"/>
  </cols>
  <sheetData>
    <row r="1" spans="1:9">
      <c r="A1" t="s">
        <v>66</v>
      </c>
      <c r="B1" s="5" t="s">
        <v>64</v>
      </c>
      <c r="C1" s="5" t="s">
        <v>180</v>
      </c>
      <c r="D1" s="5" t="s">
        <v>65</v>
      </c>
      <c r="G1" s="6"/>
    </row>
    <row r="2" spans="1:9">
      <c r="A2">
        <v>1</v>
      </c>
      <c r="B2" s="6" t="str">
        <f t="shared" ref="B2:B8" si="0">HYPERLINK("#"&amp;C2&amp;"!A"&amp;(D2+3),C2)</f>
        <v>PositionMaintenanceRequest</v>
      </c>
      <c r="C2" t="s">
        <v>276</v>
      </c>
      <c r="D2">
        <f>COUNTIF(C$2:C2,C2)</f>
        <v>1</v>
      </c>
      <c r="G2" s="6"/>
    </row>
    <row r="3" spans="1:9">
      <c r="A3">
        <v>2</v>
      </c>
      <c r="B3" s="6" t="str">
        <f t="shared" si="0"/>
        <v>PositionMaintenanceRequest</v>
      </c>
      <c r="C3" t="s">
        <v>276</v>
      </c>
      <c r="D3">
        <f>COUNTIF(C$2:C3,C3)</f>
        <v>2</v>
      </c>
      <c r="G3" s="6"/>
    </row>
    <row r="4" spans="1:9">
      <c r="A4">
        <v>3</v>
      </c>
      <c r="B4" s="6" t="str">
        <f t="shared" si="0"/>
        <v>PositionMaintenanceRequest</v>
      </c>
      <c r="C4" t="s">
        <v>276</v>
      </c>
      <c r="D4">
        <f>COUNTIF(C$2:C4,C4)</f>
        <v>3</v>
      </c>
      <c r="G4" s="6"/>
    </row>
    <row r="5" spans="1:9">
      <c r="A5">
        <v>4</v>
      </c>
      <c r="B5" s="6" t="str">
        <f t="shared" si="0"/>
        <v>PositionMaintenanceRequest</v>
      </c>
      <c r="C5" t="s">
        <v>276</v>
      </c>
      <c r="D5">
        <f>COUNTIF(C$2:C5,C5)</f>
        <v>4</v>
      </c>
      <c r="G5" s="6"/>
    </row>
    <row r="6" spans="1:9">
      <c r="A6">
        <v>5</v>
      </c>
      <c r="B6" s="6" t="str">
        <f t="shared" si="0"/>
        <v>PositionMaintenanceRequest</v>
      </c>
      <c r="C6" t="s">
        <v>276</v>
      </c>
      <c r="D6">
        <f>COUNTIF(C$2:C6,C6)</f>
        <v>5</v>
      </c>
      <c r="G6" s="6"/>
    </row>
    <row r="7" spans="1:9">
      <c r="A7">
        <v>6</v>
      </c>
      <c r="B7" s="6" t="str">
        <f t="shared" si="0"/>
        <v>PositionMaintenanceRequest</v>
      </c>
      <c r="C7" t="s">
        <v>276</v>
      </c>
      <c r="D7">
        <f>COUNTIF(C$2:C7,C7)</f>
        <v>6</v>
      </c>
    </row>
    <row r="8" spans="1:9">
      <c r="A8">
        <v>7</v>
      </c>
      <c r="B8" s="6" t="str">
        <f t="shared" si="0"/>
        <v>PositionMaintenanceRequest</v>
      </c>
      <c r="C8" t="s">
        <v>276</v>
      </c>
      <c r="D8">
        <f>COUNTIF(C$2:C8,C8)</f>
        <v>7</v>
      </c>
      <c r="F8">
        <v>9</v>
      </c>
      <c r="G8" s="6" t="str">
        <f>HYPERLINK("#"&amp;H8&amp;"!A"&amp;(I8+3),H8)</f>
        <v>PositionMaintenanceRequest</v>
      </c>
      <c r="H8" t="s">
        <v>276</v>
      </c>
      <c r="I8">
        <f>COUNTIF(C$2:C10,H8)</f>
        <v>9</v>
      </c>
    </row>
    <row r="9" spans="1:9">
      <c r="A9">
        <v>8</v>
      </c>
      <c r="B9" s="6" t="str">
        <f t="shared" ref="B9" si="1">HYPERLINK("#"&amp;C9&amp;"!A"&amp;(D9+3),C9)</f>
        <v>PositionMaintenanceRequest</v>
      </c>
      <c r="C9" t="s">
        <v>276</v>
      </c>
      <c r="D9">
        <f>COUNTIF(C$2:C9,C9)</f>
        <v>8</v>
      </c>
      <c r="F9">
        <v>10</v>
      </c>
      <c r="G9" s="6" t="str">
        <f t="shared" ref="G9" si="2">HYPERLINK("#"&amp;H9&amp;"!A"&amp;(I9+3),H9)</f>
        <v>PositionMaintenanceRequest</v>
      </c>
      <c r="H9" t="s">
        <v>276</v>
      </c>
      <c r="I9">
        <f>COUNTIF(C$2:C11,H9)</f>
        <v>10</v>
      </c>
    </row>
    <row r="10" spans="1:9">
      <c r="A10">
        <v>9</v>
      </c>
      <c r="B10" s="6" t="str">
        <f>HYPERLINK("#"&amp;C10&amp;"!A"&amp;(D10+3),C10)</f>
        <v>PositionMaintenanceRequest</v>
      </c>
      <c r="C10" t="s">
        <v>276</v>
      </c>
      <c r="D10">
        <f>COUNTIF(C$2:C10,C10)</f>
        <v>9</v>
      </c>
      <c r="G10" s="6"/>
    </row>
    <row r="11" spans="1:9">
      <c r="A11">
        <v>10</v>
      </c>
      <c r="B11" s="6" t="str">
        <f t="shared" ref="B11" si="3">HYPERLINK("#"&amp;C11&amp;"!A"&amp;(D11+3),C11)</f>
        <v>PositionMaintenanceRequest</v>
      </c>
      <c r="C11" t="s">
        <v>276</v>
      </c>
      <c r="D11">
        <f>COUNTIF(C$2:C11,C11)</f>
        <v>10</v>
      </c>
    </row>
    <row r="12" spans="1:9">
      <c r="A12">
        <v>11</v>
      </c>
      <c r="B12" s="6" t="str">
        <f>HYPERLINK("#"&amp;C12&amp;"!A"&amp;(D12+3),C12)</f>
        <v>PositionMaintenanceRequest</v>
      </c>
      <c r="C12" t="s">
        <v>276</v>
      </c>
      <c r="D12">
        <f>COUNTIF(C$2:C12,C12)</f>
        <v>11</v>
      </c>
    </row>
    <row r="13" spans="1:9">
      <c r="A13">
        <v>12</v>
      </c>
      <c r="B13" s="6" t="str">
        <f t="shared" ref="B13" si="4">HYPERLINK("#"&amp;C13&amp;"!A"&amp;(D13+3),C13)</f>
        <v>PositionMaintenanceRequest</v>
      </c>
      <c r="C13" t="s">
        <v>276</v>
      </c>
      <c r="D13">
        <f>COUNTIF(C$2:C13,C13)</f>
        <v>12</v>
      </c>
    </row>
    <row r="14" spans="1:9">
      <c r="A14">
        <v>13</v>
      </c>
      <c r="B14" s="6" t="str">
        <f>HYPERLINK("#"&amp;C14&amp;"!A"&amp;(D14+3),C14)</f>
        <v>PositionMaintenanceRequest</v>
      </c>
      <c r="C14" t="s">
        <v>276</v>
      </c>
      <c r="D14">
        <f>COUNTIF(C$2:C14,C14)</f>
        <v>13</v>
      </c>
    </row>
    <row r="15" spans="1:9">
      <c r="A15">
        <v>14</v>
      </c>
      <c r="B15" s="6" t="str">
        <f>HYPERLINK("#"&amp;C15&amp;"!A"&amp;(D15+3),C15)</f>
        <v>PositionMaintenanceRequest</v>
      </c>
      <c r="C15" t="s">
        <v>276</v>
      </c>
      <c r="D15">
        <f>COUNTIF(C$2:C15,C15)</f>
        <v>14</v>
      </c>
    </row>
    <row r="16" spans="1:9">
      <c r="A16">
        <v>15</v>
      </c>
      <c r="B16" s="6" t="str">
        <f>HYPERLINK("#"&amp;C16&amp;"!A"&amp;(D16+3),C16)</f>
        <v>PositionMaintenanceRequest</v>
      </c>
      <c r="C16" t="s">
        <v>276</v>
      </c>
      <c r="D16">
        <v>15</v>
      </c>
    </row>
    <row r="17" spans="1:7">
      <c r="A17">
        <v>16</v>
      </c>
      <c r="B17" s="6" t="str">
        <f>HYPERLINK("#"&amp;C17&amp;"!A"&amp;(D17+3),C17)</f>
        <v>PositionMaintenanceRequest</v>
      </c>
      <c r="C17" t="s">
        <v>276</v>
      </c>
      <c r="D17">
        <v>16</v>
      </c>
    </row>
    <row r="18" spans="1:7">
      <c r="B18" s="6"/>
    </row>
    <row r="19" spans="1:7">
      <c r="B19" s="6"/>
    </row>
    <row r="20" spans="1:7">
      <c r="B20" s="6"/>
    </row>
    <row r="21" spans="1:7">
      <c r="B21" s="6"/>
    </row>
    <row r="22" spans="1:7">
      <c r="B22" s="6"/>
    </row>
    <row r="23" spans="1:7">
      <c r="B23" s="6"/>
    </row>
    <row r="24" spans="1:7">
      <c r="B24" s="6"/>
    </row>
    <row r="25" spans="1:7">
      <c r="B25" s="6"/>
    </row>
    <row r="26" spans="1:7">
      <c r="B26" s="6"/>
    </row>
    <row r="27" spans="1:7">
      <c r="B27" s="6"/>
      <c r="G27" s="6"/>
    </row>
    <row r="28" spans="1:7">
      <c r="B28" s="6"/>
    </row>
    <row r="29" spans="1:7">
      <c r="B29" s="6"/>
    </row>
    <row r="30" spans="1:7">
      <c r="B30" s="6"/>
    </row>
    <row r="31" spans="1:7">
      <c r="B31" s="6"/>
    </row>
    <row r="32" spans="1:7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opLeftCell="A13" workbookViewId="0">
      <selection activeCell="B26" sqref="B26"/>
    </sheetView>
  </sheetViews>
  <sheetFormatPr defaultRowHeight="14"/>
  <cols>
    <col min="2" max="2" width="16.6640625" customWidth="1"/>
    <col min="3" max="3" width="22.33203125" customWidth="1"/>
    <col min="7" max="7" width="15.4140625" customWidth="1"/>
    <col min="8" max="8" width="17.25" customWidth="1"/>
  </cols>
  <sheetData>
    <row r="1" spans="1:7">
      <c r="A1" t="s">
        <v>66</v>
      </c>
      <c r="B1" s="5" t="s">
        <v>64</v>
      </c>
      <c r="C1" s="5" t="s">
        <v>180</v>
      </c>
      <c r="D1" s="5" t="s">
        <v>65</v>
      </c>
    </row>
    <row r="2" spans="1:7">
      <c r="A2">
        <v>0</v>
      </c>
      <c r="B2" s="6" t="str">
        <f>HYPERLINK("#"&amp;C2&amp;"!A"&amp;(D2+3),C2)</f>
        <v>OnRspUserLogin</v>
      </c>
      <c r="C2" t="s">
        <v>178</v>
      </c>
      <c r="D2">
        <f>COUNTIF(C$2:C2,C2)</f>
        <v>1</v>
      </c>
    </row>
    <row r="3" spans="1:7" ht="18.75" customHeight="1">
      <c r="A3">
        <v>1</v>
      </c>
      <c r="B3" s="6" t="str">
        <f>HYPERLINK("#"&amp;C3&amp;"!A"&amp;(D3+3),C3)</f>
        <v>PositionMaintenanceReport</v>
      </c>
      <c r="C3" t="s">
        <v>328</v>
      </c>
      <c r="D3">
        <f>COUNTIF(C$2:C3,C3)</f>
        <v>1</v>
      </c>
    </row>
    <row r="4" spans="1:7">
      <c r="A4">
        <v>1</v>
      </c>
      <c r="B4" s="6" t="str">
        <f t="shared" ref="B4:B6" si="0">HYPERLINK("#"&amp;C4&amp;"!A"&amp;(D4+3),C4)</f>
        <v>PositionMaintenanceReport</v>
      </c>
      <c r="C4" t="s">
        <v>328</v>
      </c>
      <c r="D4">
        <f>COUNTIF(C$2:C4,C4)</f>
        <v>2</v>
      </c>
      <c r="G4" s="6"/>
    </row>
    <row r="5" spans="1:7">
      <c r="A5">
        <v>2</v>
      </c>
      <c r="B5" s="6" t="str">
        <f t="shared" si="0"/>
        <v>PositionMaintenanceReport</v>
      </c>
      <c r="C5" t="s">
        <v>328</v>
      </c>
      <c r="D5">
        <f>COUNTIF(C$2:C5,C5)</f>
        <v>3</v>
      </c>
    </row>
    <row r="6" spans="1:7">
      <c r="A6">
        <v>2</v>
      </c>
      <c r="B6" s="6" t="str">
        <f t="shared" si="0"/>
        <v>PositionMaintenanceReport</v>
      </c>
      <c r="C6" t="s">
        <v>328</v>
      </c>
      <c r="D6">
        <f>COUNTIF(C$2:C6,C6)</f>
        <v>4</v>
      </c>
      <c r="G6" s="6"/>
    </row>
    <row r="7" spans="1:7">
      <c r="A7">
        <v>3</v>
      </c>
      <c r="B7" s="6" t="str">
        <f t="shared" ref="B7:B18" si="1">HYPERLINK("#"&amp;C7&amp;"!A"&amp;(D7+3),C7)</f>
        <v>PositionMaintenanceReport</v>
      </c>
      <c r="C7" t="s">
        <v>328</v>
      </c>
      <c r="D7">
        <f>COUNTIF(C$2:C7,C7)</f>
        <v>5</v>
      </c>
    </row>
    <row r="8" spans="1:7">
      <c r="A8">
        <v>3</v>
      </c>
      <c r="B8" s="6" t="str">
        <f t="shared" si="1"/>
        <v>PositionMaintenanceReport</v>
      </c>
      <c r="C8" t="s">
        <v>328</v>
      </c>
      <c r="D8">
        <f>COUNTIF(C$2:C8,C8)</f>
        <v>6</v>
      </c>
    </row>
    <row r="9" spans="1:7">
      <c r="A9">
        <v>4</v>
      </c>
      <c r="B9" s="6" t="str">
        <f t="shared" si="1"/>
        <v>PositionMaintenanceReport</v>
      </c>
      <c r="C9" t="s">
        <v>328</v>
      </c>
      <c r="D9">
        <f>COUNTIF(C$2:C9,C9)</f>
        <v>7</v>
      </c>
    </row>
    <row r="10" spans="1:7">
      <c r="A10">
        <v>5</v>
      </c>
      <c r="B10" s="6" t="str">
        <f t="shared" si="1"/>
        <v>PositionMaintenanceReport</v>
      </c>
      <c r="C10" t="s">
        <v>328</v>
      </c>
      <c r="D10">
        <f>COUNTIF(C$2:C10,C10)</f>
        <v>8</v>
      </c>
    </row>
    <row r="11" spans="1:7">
      <c r="A11">
        <v>6</v>
      </c>
      <c r="B11" s="6" t="str">
        <f t="shared" si="1"/>
        <v>PositionMaintenanceReport</v>
      </c>
      <c r="C11" t="s">
        <v>328</v>
      </c>
      <c r="D11">
        <f>COUNTIF(C$2:C11,C11)</f>
        <v>9</v>
      </c>
    </row>
    <row r="12" spans="1:7">
      <c r="A12">
        <v>7</v>
      </c>
      <c r="B12" s="6" t="str">
        <f t="shared" si="1"/>
        <v>PositionMaintenanceReport</v>
      </c>
      <c r="C12" t="s">
        <v>328</v>
      </c>
      <c r="D12">
        <f>COUNTIF(C$2:C12,C12)</f>
        <v>10</v>
      </c>
    </row>
    <row r="13" spans="1:7">
      <c r="A13">
        <v>8</v>
      </c>
      <c r="B13" s="6" t="str">
        <f t="shared" si="1"/>
        <v>PositionMaintenanceReport</v>
      </c>
      <c r="C13" t="s">
        <v>328</v>
      </c>
      <c r="D13">
        <f>COUNTIF(C$2:C13,C13)</f>
        <v>11</v>
      </c>
    </row>
    <row r="14" spans="1:7">
      <c r="A14">
        <v>8</v>
      </c>
      <c r="B14" s="6" t="str">
        <f t="shared" si="1"/>
        <v>PositionMaintenanceReport</v>
      </c>
      <c r="C14" t="s">
        <v>328</v>
      </c>
      <c r="D14">
        <f>COUNTIF(C$2:C14,C14)</f>
        <v>12</v>
      </c>
    </row>
    <row r="15" spans="1:7" ht="14.4" customHeight="1">
      <c r="A15">
        <v>9</v>
      </c>
      <c r="B15" s="6" t="str">
        <f t="shared" si="1"/>
        <v>PositionMaintenanceReport</v>
      </c>
      <c r="C15" t="s">
        <v>328</v>
      </c>
      <c r="D15">
        <f>COUNTIF(C$2:C15,C15)</f>
        <v>13</v>
      </c>
      <c r="G15" s="6"/>
    </row>
    <row r="16" spans="1:7">
      <c r="A16">
        <v>10</v>
      </c>
      <c r="B16" s="6" t="str">
        <f t="shared" ref="B16" si="2">HYPERLINK("#"&amp;C16&amp;"!A"&amp;(D16+3),C16)</f>
        <v>PositionMaintenanceReport</v>
      </c>
      <c r="C16" t="s">
        <v>328</v>
      </c>
      <c r="D16">
        <f>COUNTIF(C$2:C16,C16)</f>
        <v>14</v>
      </c>
      <c r="G16" s="6"/>
    </row>
    <row r="17" spans="1:4">
      <c r="A17">
        <v>11</v>
      </c>
      <c r="B17" s="6" t="str">
        <f t="shared" si="1"/>
        <v>PositionMaintenanceReport</v>
      </c>
      <c r="C17" t="s">
        <v>328</v>
      </c>
      <c r="D17">
        <f>COUNTIF(C$2:C17,C17)</f>
        <v>15</v>
      </c>
    </row>
    <row r="18" spans="1:4" ht="14.5" customHeight="1">
      <c r="A18">
        <v>11</v>
      </c>
      <c r="B18" s="6" t="str">
        <f t="shared" si="1"/>
        <v>PositionMaintenanceReport</v>
      </c>
      <c r="C18" t="s">
        <v>328</v>
      </c>
      <c r="D18">
        <f>COUNTIF(C$2:C18,C18)</f>
        <v>16</v>
      </c>
    </row>
    <row r="19" spans="1:4">
      <c r="A19">
        <v>12</v>
      </c>
      <c r="B19" s="6" t="str">
        <f t="shared" ref="B19:B26" si="3">HYPERLINK("#"&amp;C19&amp;"!A"&amp;(D19+3),C19)</f>
        <v>PositionMaintenanceReport</v>
      </c>
      <c r="C19" t="s">
        <v>328</v>
      </c>
      <c r="D19">
        <f>COUNTIF(C$2:C19,C19)</f>
        <v>17</v>
      </c>
    </row>
    <row r="20" spans="1:4">
      <c r="A20">
        <v>13</v>
      </c>
      <c r="B20" s="6" t="str">
        <f t="shared" si="3"/>
        <v>PositionMaintenanceReport</v>
      </c>
      <c r="C20" t="s">
        <v>328</v>
      </c>
      <c r="D20">
        <f>COUNTIF(C$2:C20,C20)</f>
        <v>18</v>
      </c>
    </row>
    <row r="21" spans="1:4">
      <c r="A21">
        <v>13</v>
      </c>
      <c r="B21" s="6" t="str">
        <f t="shared" si="3"/>
        <v>PositionMaintenanceReport</v>
      </c>
      <c r="C21" t="s">
        <v>328</v>
      </c>
      <c r="D21">
        <f>COUNTIF(C$2:C21,C21)</f>
        <v>19</v>
      </c>
    </row>
    <row r="22" spans="1:4">
      <c r="A22">
        <v>14</v>
      </c>
      <c r="B22" s="6" t="str">
        <f t="shared" si="3"/>
        <v>PositionMaintenanceReport</v>
      </c>
      <c r="C22" t="s">
        <v>328</v>
      </c>
      <c r="D22">
        <f>COUNTIF(C$2:C22,C22)</f>
        <v>20</v>
      </c>
    </row>
    <row r="23" spans="1:4">
      <c r="A23">
        <v>14</v>
      </c>
      <c r="B23" s="6" t="str">
        <f t="shared" si="3"/>
        <v>PositionMaintenanceReport</v>
      </c>
      <c r="C23" t="s">
        <v>328</v>
      </c>
      <c r="D23">
        <f>COUNTIF(C$2:C23,C23)</f>
        <v>21</v>
      </c>
    </row>
    <row r="24" spans="1:4">
      <c r="A24">
        <v>15</v>
      </c>
      <c r="B24" s="6" t="str">
        <f t="shared" si="3"/>
        <v>PositionMaintenanceReport</v>
      </c>
      <c r="C24" t="s">
        <v>328</v>
      </c>
      <c r="D24">
        <f>COUNTIF(C$2:C24,C24)</f>
        <v>22</v>
      </c>
    </row>
    <row r="25" spans="1:4">
      <c r="A25">
        <v>15</v>
      </c>
      <c r="B25" s="6" t="str">
        <f t="shared" si="3"/>
        <v>PositionMaintenanceReport</v>
      </c>
      <c r="C25" t="s">
        <v>328</v>
      </c>
      <c r="D25">
        <f>COUNTIF(C$2:C25,C25)</f>
        <v>23</v>
      </c>
    </row>
    <row r="26" spans="1:4">
      <c r="A26">
        <v>16</v>
      </c>
      <c r="B26" s="6" t="str">
        <f t="shared" si="3"/>
        <v>PositionMaintenanceReport</v>
      </c>
      <c r="C26" t="s">
        <v>328</v>
      </c>
      <c r="D26">
        <f>COUNTIF(C$2:C26,C26)</f>
        <v>24</v>
      </c>
    </row>
    <row r="27" spans="1:4">
      <c r="B27" s="6"/>
    </row>
    <row r="28" spans="1:4">
      <c r="B28" s="6"/>
    </row>
    <row r="29" spans="1:4">
      <c r="B29" s="6"/>
    </row>
    <row r="30" spans="1:4">
      <c r="B30" s="6"/>
    </row>
    <row r="31" spans="1:4">
      <c r="B31" s="6"/>
    </row>
    <row r="32" spans="1:4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5">
      <c r="B49" s="6"/>
    </row>
    <row r="50" spans="2:5">
      <c r="B50" s="6"/>
    </row>
    <row r="51" spans="2:5">
      <c r="B51" s="6"/>
    </row>
    <row r="52" spans="2:5">
      <c r="B52" s="6"/>
    </row>
    <row r="53" spans="2:5">
      <c r="B53" s="6"/>
    </row>
    <row r="54" spans="2:5">
      <c r="B54" s="6"/>
    </row>
    <row r="55" spans="2:5">
      <c r="B55" s="6"/>
    </row>
    <row r="56" spans="2:5">
      <c r="B56" s="6"/>
    </row>
    <row r="57" spans="2:5">
      <c r="B57" s="6"/>
    </row>
    <row r="58" spans="2:5">
      <c r="B58" s="6"/>
    </row>
    <row r="59" spans="2:5">
      <c r="B59" s="6"/>
    </row>
    <row r="60" spans="2:5">
      <c r="B60" s="6"/>
    </row>
    <row r="61" spans="2:5">
      <c r="B61" s="6"/>
    </row>
    <row r="62" spans="2:5">
      <c r="B62" s="6"/>
      <c r="E62" s="8"/>
    </row>
    <row r="63" spans="2:5">
      <c r="B63" s="6"/>
      <c r="E63" s="9"/>
    </row>
    <row r="64" spans="2:5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18" sqref="B18"/>
    </sheetView>
  </sheetViews>
  <sheetFormatPr defaultRowHeight="14"/>
  <cols>
    <col min="2" max="2" width="19.58203125" customWidth="1"/>
    <col min="3" max="3" width="19.1640625" customWidth="1"/>
    <col min="4" max="4" width="14.75" customWidth="1"/>
  </cols>
  <sheetData>
    <row r="1" spans="1:5">
      <c r="A1" t="s">
        <v>66</v>
      </c>
      <c r="B1" s="5" t="s">
        <v>64</v>
      </c>
      <c r="C1" s="5" t="s">
        <v>180</v>
      </c>
      <c r="D1" s="5" t="s">
        <v>65</v>
      </c>
    </row>
    <row r="2" spans="1:5" ht="14.5" customHeight="1">
      <c r="A2">
        <v>21</v>
      </c>
      <c r="B2" s="6" t="str">
        <f t="shared" ref="B2:B16" si="0">HYPERLINK("#"&amp;C2&amp;"!A"&amp;(D2+3),C2)</f>
        <v>NewOrderSingle</v>
      </c>
      <c r="C2" t="s">
        <v>181</v>
      </c>
      <c r="D2">
        <v>9</v>
      </c>
      <c r="E2">
        <v>1</v>
      </c>
    </row>
    <row r="3" spans="1:5">
      <c r="A3">
        <v>22</v>
      </c>
      <c r="B3" s="6" t="str">
        <f t="shared" si="0"/>
        <v>OrderCancelReplaceRequest</v>
      </c>
      <c r="C3" t="s">
        <v>182</v>
      </c>
      <c r="D3">
        <v>12</v>
      </c>
      <c r="E3">
        <v>2</v>
      </c>
    </row>
    <row r="4" spans="1:5">
      <c r="A4">
        <v>23</v>
      </c>
      <c r="B4" s="6" t="str">
        <f t="shared" si="0"/>
        <v>OrderCancelReplaceRequest</v>
      </c>
      <c r="C4" t="s">
        <v>182</v>
      </c>
      <c r="D4">
        <v>13</v>
      </c>
      <c r="E4">
        <v>3</v>
      </c>
    </row>
    <row r="5" spans="1:5">
      <c r="A5">
        <v>24</v>
      </c>
      <c r="B5" s="6" t="str">
        <f t="shared" si="0"/>
        <v>OrderCancelReplaceRequest</v>
      </c>
      <c r="C5" t="s">
        <v>182</v>
      </c>
      <c r="D5">
        <v>14</v>
      </c>
      <c r="E5">
        <v>4</v>
      </c>
    </row>
    <row r="6" spans="1:5">
      <c r="A6">
        <v>25</v>
      </c>
      <c r="B6" s="6" t="str">
        <f t="shared" si="0"/>
        <v>OrderCancelRequest</v>
      </c>
      <c r="C6" t="s">
        <v>92</v>
      </c>
      <c r="D6">
        <v>2</v>
      </c>
      <c r="E6">
        <v>5</v>
      </c>
    </row>
    <row r="7" spans="1:5">
      <c r="A7">
        <v>26</v>
      </c>
      <c r="B7" s="6" t="str">
        <f t="shared" si="0"/>
        <v>OrderCancelRequest</v>
      </c>
      <c r="C7" t="s">
        <v>92</v>
      </c>
      <c r="D7">
        <v>3</v>
      </c>
      <c r="E7">
        <v>6</v>
      </c>
    </row>
    <row r="8" spans="1:5">
      <c r="A8">
        <v>27</v>
      </c>
      <c r="B8" s="6" t="str">
        <f t="shared" si="0"/>
        <v>NewOrderSingle</v>
      </c>
      <c r="C8" t="s">
        <v>181</v>
      </c>
      <c r="D8">
        <v>10</v>
      </c>
      <c r="E8">
        <v>7</v>
      </c>
    </row>
    <row r="9" spans="1:5">
      <c r="A9">
        <v>28</v>
      </c>
      <c r="B9" s="6" t="str">
        <f t="shared" si="0"/>
        <v>NewOrderSingle</v>
      </c>
      <c r="C9" t="s">
        <v>181</v>
      </c>
      <c r="D9">
        <v>11</v>
      </c>
      <c r="E9">
        <v>8</v>
      </c>
    </row>
    <row r="10" spans="1:5">
      <c r="A10">
        <v>29</v>
      </c>
      <c r="B10" s="6" t="str">
        <f t="shared" si="0"/>
        <v>OrderCancelReplaceRequest</v>
      </c>
      <c r="C10" t="s">
        <v>182</v>
      </c>
      <c r="D10">
        <v>15</v>
      </c>
      <c r="E10">
        <v>9</v>
      </c>
    </row>
    <row r="11" spans="1:5">
      <c r="A11">
        <v>30</v>
      </c>
      <c r="B11" s="6" t="str">
        <f t="shared" si="0"/>
        <v>OrderCancelRequest</v>
      </c>
      <c r="C11" t="s">
        <v>92</v>
      </c>
      <c r="D11">
        <v>4</v>
      </c>
      <c r="E11">
        <v>10</v>
      </c>
    </row>
    <row r="12" spans="1:5">
      <c r="A12">
        <v>31</v>
      </c>
      <c r="B12" s="6" t="str">
        <f t="shared" si="0"/>
        <v>OrderCancelRequest</v>
      </c>
      <c r="C12" t="s">
        <v>92</v>
      </c>
      <c r="D12">
        <v>5</v>
      </c>
      <c r="E12">
        <v>11</v>
      </c>
    </row>
    <row r="13" spans="1:5">
      <c r="A13">
        <v>32</v>
      </c>
      <c r="B13" s="6" t="str">
        <f t="shared" si="0"/>
        <v>NewOrderSingle</v>
      </c>
      <c r="C13" t="s">
        <v>181</v>
      </c>
      <c r="D13">
        <v>12</v>
      </c>
      <c r="E13">
        <v>12</v>
      </c>
    </row>
    <row r="14" spans="1:5">
      <c r="A14">
        <v>33</v>
      </c>
      <c r="B14" s="6" t="str">
        <f t="shared" si="0"/>
        <v>OrderCancelReplaceRequest</v>
      </c>
      <c r="C14" t="s">
        <v>182</v>
      </c>
      <c r="D14">
        <v>16</v>
      </c>
      <c r="E14">
        <v>13</v>
      </c>
    </row>
    <row r="15" spans="1:5">
      <c r="A15">
        <v>34</v>
      </c>
      <c r="B15" s="6" t="str">
        <f t="shared" si="0"/>
        <v>OrderCancelRequest</v>
      </c>
      <c r="C15" t="s">
        <v>92</v>
      </c>
      <c r="D15">
        <v>6</v>
      </c>
      <c r="E15">
        <v>14</v>
      </c>
    </row>
    <row r="16" spans="1:5">
      <c r="A16">
        <v>35</v>
      </c>
      <c r="B16" s="6" t="str">
        <f t="shared" si="0"/>
        <v>OrderCancelRequest</v>
      </c>
      <c r="C16" t="s">
        <v>92</v>
      </c>
      <c r="D16">
        <v>7</v>
      </c>
      <c r="E16">
        <v>15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H11" sqref="H11"/>
    </sheetView>
  </sheetViews>
  <sheetFormatPr defaultRowHeight="14"/>
  <cols>
    <col min="2" max="2" width="17" customWidth="1"/>
    <col min="3" max="3" width="17.4140625" customWidth="1"/>
    <col min="4" max="4" width="12.75" customWidth="1"/>
  </cols>
  <sheetData>
    <row r="1" spans="1:4">
      <c r="A1" t="s">
        <v>66</v>
      </c>
      <c r="B1" s="5" t="s">
        <v>64</v>
      </c>
      <c r="C1" s="5" t="s">
        <v>180</v>
      </c>
      <c r="D1" s="5" t="s">
        <v>65</v>
      </c>
    </row>
    <row r="2" spans="1:4">
      <c r="A2">
        <v>0</v>
      </c>
      <c r="B2" s="6" t="str">
        <f>HYPERLINK("#"&amp;C2&amp;"!A"&amp;(D2+3),C2)</f>
        <v>OnRspUserLogin</v>
      </c>
      <c r="C2" t="s">
        <v>178</v>
      </c>
      <c r="D2">
        <f>COUNTIF(C$2:C2,C2)</f>
        <v>1</v>
      </c>
    </row>
    <row r="3" spans="1:4">
      <c r="A3">
        <v>21</v>
      </c>
      <c r="B3" s="6" t="str">
        <f t="shared" ref="B3:B66" si="0">HYPERLINK("#"&amp;C3&amp;"!A"&amp;(D3+3),C3)</f>
        <v>ExecutionReport</v>
      </c>
      <c r="C3" t="s">
        <v>179</v>
      </c>
      <c r="D3">
        <v>59</v>
      </c>
    </row>
    <row r="4" spans="1:4">
      <c r="A4">
        <v>21</v>
      </c>
      <c r="B4" s="6" t="str">
        <f t="shared" si="0"/>
        <v>ExecutionReport</v>
      </c>
      <c r="C4" t="s">
        <v>179</v>
      </c>
      <c r="D4">
        <v>60</v>
      </c>
    </row>
    <row r="5" spans="1:4">
      <c r="A5">
        <v>22</v>
      </c>
      <c r="B5" s="6" t="str">
        <f t="shared" si="0"/>
        <v>ExecutionReport</v>
      </c>
      <c r="C5" t="s">
        <v>179</v>
      </c>
      <c r="D5">
        <v>61</v>
      </c>
    </row>
    <row r="6" spans="1:4">
      <c r="A6">
        <v>22</v>
      </c>
      <c r="B6" s="6" t="str">
        <f t="shared" si="0"/>
        <v>ExecutionReport</v>
      </c>
      <c r="C6" t="s">
        <v>179</v>
      </c>
      <c r="D6">
        <v>62</v>
      </c>
    </row>
    <row r="7" spans="1:4">
      <c r="A7">
        <v>22</v>
      </c>
      <c r="B7" s="6" t="str">
        <f t="shared" si="0"/>
        <v>ExecutionReport</v>
      </c>
      <c r="C7" t="s">
        <v>179</v>
      </c>
      <c r="D7">
        <v>63</v>
      </c>
    </row>
    <row r="8" spans="1:4">
      <c r="A8">
        <v>22</v>
      </c>
      <c r="B8" s="6" t="str">
        <f t="shared" si="0"/>
        <v>ExecutionReport</v>
      </c>
      <c r="C8" t="s">
        <v>179</v>
      </c>
      <c r="D8">
        <v>64</v>
      </c>
    </row>
    <row r="9" spans="1:4">
      <c r="A9">
        <v>22</v>
      </c>
      <c r="B9" s="6" t="str">
        <f t="shared" si="0"/>
        <v>ExecutionReport</v>
      </c>
      <c r="C9" t="s">
        <v>179</v>
      </c>
      <c r="D9">
        <v>65</v>
      </c>
    </row>
    <row r="10" spans="1:4">
      <c r="A10">
        <v>22</v>
      </c>
      <c r="B10" s="6" t="str">
        <f t="shared" si="0"/>
        <v>ExecutionReport</v>
      </c>
      <c r="C10" t="s">
        <v>179</v>
      </c>
      <c r="D10">
        <v>66</v>
      </c>
    </row>
    <row r="11" spans="1:4">
      <c r="A11">
        <v>22</v>
      </c>
      <c r="B11" s="6" t="str">
        <f t="shared" si="0"/>
        <v>ExecutionReport</v>
      </c>
      <c r="C11" t="s">
        <v>179</v>
      </c>
      <c r="D11">
        <v>67</v>
      </c>
    </row>
    <row r="12" spans="1:4">
      <c r="A12">
        <v>23</v>
      </c>
      <c r="B12" s="6" t="str">
        <f t="shared" si="0"/>
        <v>ExecutionReport</v>
      </c>
      <c r="C12" t="s">
        <v>179</v>
      </c>
      <c r="D12">
        <v>68</v>
      </c>
    </row>
    <row r="13" spans="1:4">
      <c r="A13">
        <v>23</v>
      </c>
      <c r="B13" s="6" t="str">
        <f t="shared" si="0"/>
        <v>ExecutionReport</v>
      </c>
      <c r="C13" t="s">
        <v>179</v>
      </c>
      <c r="D13">
        <v>69</v>
      </c>
    </row>
    <row r="14" spans="1:4">
      <c r="A14">
        <v>23</v>
      </c>
      <c r="B14" s="6" t="str">
        <f t="shared" si="0"/>
        <v>ExecutionReport</v>
      </c>
      <c r="C14" t="s">
        <v>179</v>
      </c>
      <c r="D14">
        <v>70</v>
      </c>
    </row>
    <row r="15" spans="1:4">
      <c r="A15">
        <v>23</v>
      </c>
      <c r="B15" s="6" t="str">
        <f t="shared" si="0"/>
        <v>ExecutionReport</v>
      </c>
      <c r="C15" t="s">
        <v>179</v>
      </c>
      <c r="D15">
        <v>71</v>
      </c>
    </row>
    <row r="16" spans="1:4">
      <c r="A16">
        <v>23</v>
      </c>
      <c r="B16" s="6" t="str">
        <f t="shared" si="0"/>
        <v>ExecutionReport</v>
      </c>
      <c r="C16" t="s">
        <v>179</v>
      </c>
      <c r="D16">
        <v>72</v>
      </c>
    </row>
    <row r="17" spans="1:4">
      <c r="A17">
        <v>24</v>
      </c>
      <c r="B17" s="6" t="str">
        <f t="shared" si="0"/>
        <v>ExecutionReport</v>
      </c>
      <c r="C17" t="s">
        <v>179</v>
      </c>
      <c r="D17">
        <v>73</v>
      </c>
    </row>
    <row r="18" spans="1:4">
      <c r="A18">
        <v>24</v>
      </c>
      <c r="B18" s="6" t="str">
        <f t="shared" si="0"/>
        <v>ExecutionReport</v>
      </c>
      <c r="C18" t="s">
        <v>179</v>
      </c>
      <c r="D18">
        <v>74</v>
      </c>
    </row>
    <row r="19" spans="1:4">
      <c r="A19">
        <v>24</v>
      </c>
      <c r="B19" s="6" t="str">
        <f t="shared" si="0"/>
        <v>ExecutionReport</v>
      </c>
      <c r="C19" t="s">
        <v>179</v>
      </c>
      <c r="D19">
        <v>75</v>
      </c>
    </row>
    <row r="20" spans="1:4">
      <c r="A20">
        <v>24</v>
      </c>
      <c r="B20" s="6" t="str">
        <f t="shared" si="0"/>
        <v>ExecutionReport</v>
      </c>
      <c r="C20" t="s">
        <v>179</v>
      </c>
      <c r="D20">
        <v>76</v>
      </c>
    </row>
    <row r="21" spans="1:4">
      <c r="A21">
        <v>24</v>
      </c>
      <c r="B21" s="6" t="str">
        <f t="shared" si="0"/>
        <v>ExecutionReport</v>
      </c>
      <c r="C21" t="s">
        <v>179</v>
      </c>
      <c r="D21">
        <v>77</v>
      </c>
    </row>
    <row r="22" spans="1:4">
      <c r="A22">
        <v>24</v>
      </c>
      <c r="B22" s="6" t="str">
        <f t="shared" si="0"/>
        <v>ExecutionReport</v>
      </c>
      <c r="C22" t="s">
        <v>179</v>
      </c>
      <c r="D22">
        <v>78</v>
      </c>
    </row>
    <row r="23" spans="1:4">
      <c r="A23">
        <v>24</v>
      </c>
      <c r="B23" s="6" t="str">
        <f t="shared" si="0"/>
        <v>ExecutionReport</v>
      </c>
      <c r="C23" t="s">
        <v>179</v>
      </c>
      <c r="D23">
        <v>79</v>
      </c>
    </row>
    <row r="24" spans="1:4">
      <c r="A24">
        <v>25</v>
      </c>
      <c r="B24" s="6" t="str">
        <f t="shared" si="0"/>
        <v>ExecutionReport</v>
      </c>
      <c r="C24" t="s">
        <v>179</v>
      </c>
      <c r="D24">
        <v>80</v>
      </c>
    </row>
    <row r="25" spans="1:4">
      <c r="A25">
        <v>25</v>
      </c>
      <c r="B25" s="6" t="str">
        <f t="shared" si="0"/>
        <v>ExecutionReport</v>
      </c>
      <c r="C25" t="s">
        <v>179</v>
      </c>
      <c r="D25">
        <v>81</v>
      </c>
    </row>
    <row r="26" spans="1:4">
      <c r="A26">
        <v>25</v>
      </c>
      <c r="B26" s="6" t="str">
        <f t="shared" si="0"/>
        <v>ExecutionReport</v>
      </c>
      <c r="C26" t="s">
        <v>179</v>
      </c>
      <c r="D26">
        <v>82</v>
      </c>
    </row>
    <row r="27" spans="1:4">
      <c r="A27">
        <v>26</v>
      </c>
      <c r="B27" s="6" t="str">
        <f t="shared" si="0"/>
        <v>ExecutionReport</v>
      </c>
      <c r="C27" t="s">
        <v>179</v>
      </c>
      <c r="D27">
        <v>83</v>
      </c>
    </row>
    <row r="28" spans="1:4">
      <c r="A28">
        <v>26</v>
      </c>
      <c r="B28" s="6" t="str">
        <f t="shared" si="0"/>
        <v>ExecutionReport</v>
      </c>
      <c r="C28" t="s">
        <v>179</v>
      </c>
      <c r="D28">
        <v>84</v>
      </c>
    </row>
    <row r="29" spans="1:4">
      <c r="A29">
        <v>26</v>
      </c>
      <c r="B29" s="6" t="str">
        <f t="shared" si="0"/>
        <v>ExecutionReport</v>
      </c>
      <c r="C29" t="s">
        <v>179</v>
      </c>
      <c r="D29">
        <v>85</v>
      </c>
    </row>
    <row r="30" spans="1:4">
      <c r="A30">
        <v>27</v>
      </c>
      <c r="B30" s="6" t="str">
        <f t="shared" si="0"/>
        <v>ExecutionReport</v>
      </c>
      <c r="C30" t="s">
        <v>179</v>
      </c>
      <c r="D30">
        <v>86</v>
      </c>
    </row>
    <row r="31" spans="1:4">
      <c r="A31">
        <v>27</v>
      </c>
      <c r="B31" s="6" t="str">
        <f t="shared" si="0"/>
        <v>ExecutionReport</v>
      </c>
      <c r="C31" t="s">
        <v>179</v>
      </c>
      <c r="D31">
        <v>87</v>
      </c>
    </row>
    <row r="32" spans="1:4">
      <c r="A32">
        <v>27</v>
      </c>
      <c r="B32" s="6" t="str">
        <f t="shared" si="0"/>
        <v>ExecutionReport</v>
      </c>
      <c r="C32" t="s">
        <v>179</v>
      </c>
      <c r="D32">
        <v>88</v>
      </c>
    </row>
    <row r="33" spans="1:4">
      <c r="A33">
        <v>27</v>
      </c>
      <c r="B33" s="6" t="str">
        <f t="shared" si="0"/>
        <v>ExecutionReport</v>
      </c>
      <c r="C33" t="s">
        <v>179</v>
      </c>
      <c r="D33">
        <v>89</v>
      </c>
    </row>
    <row r="34" spans="1:4">
      <c r="A34">
        <v>27</v>
      </c>
      <c r="B34" s="6" t="str">
        <f t="shared" si="0"/>
        <v>ExecutionReport</v>
      </c>
      <c r="C34" t="s">
        <v>179</v>
      </c>
      <c r="D34">
        <v>90</v>
      </c>
    </row>
    <row r="35" spans="1:4">
      <c r="A35">
        <v>27</v>
      </c>
      <c r="B35" s="6" t="str">
        <f t="shared" si="0"/>
        <v>ExecutionReport</v>
      </c>
      <c r="C35" t="s">
        <v>179</v>
      </c>
      <c r="D35">
        <v>91</v>
      </c>
    </row>
    <row r="36" spans="1:4">
      <c r="A36">
        <v>27</v>
      </c>
      <c r="B36" s="6" t="str">
        <f t="shared" si="0"/>
        <v>ExecutionReport</v>
      </c>
      <c r="C36" t="s">
        <v>179</v>
      </c>
      <c r="D36">
        <v>92</v>
      </c>
    </row>
    <row r="37" spans="1:4">
      <c r="A37">
        <v>28</v>
      </c>
      <c r="B37" s="6" t="str">
        <f t="shared" si="0"/>
        <v>ExecutionReport</v>
      </c>
      <c r="C37" t="s">
        <v>179</v>
      </c>
      <c r="D37">
        <v>93</v>
      </c>
    </row>
    <row r="38" spans="1:4">
      <c r="A38">
        <v>28</v>
      </c>
      <c r="B38" s="6" t="str">
        <f t="shared" si="0"/>
        <v>ExecutionReport</v>
      </c>
      <c r="C38" t="s">
        <v>179</v>
      </c>
      <c r="D38">
        <v>94</v>
      </c>
    </row>
    <row r="39" spans="1:4">
      <c r="A39">
        <v>29</v>
      </c>
      <c r="B39" s="6" t="str">
        <f t="shared" si="0"/>
        <v>ExecutionReport</v>
      </c>
      <c r="C39" t="s">
        <v>179</v>
      </c>
      <c r="D39">
        <v>95</v>
      </c>
    </row>
    <row r="40" spans="1:4">
      <c r="A40">
        <v>29</v>
      </c>
      <c r="B40" s="6" t="str">
        <f t="shared" si="0"/>
        <v>ExecutionReport</v>
      </c>
      <c r="C40" t="s">
        <v>179</v>
      </c>
      <c r="D40">
        <v>96</v>
      </c>
    </row>
    <row r="41" spans="1:4">
      <c r="A41">
        <v>29</v>
      </c>
      <c r="B41" s="6" t="str">
        <f t="shared" si="0"/>
        <v>ExecutionReport</v>
      </c>
      <c r="C41" t="s">
        <v>179</v>
      </c>
      <c r="D41">
        <v>97</v>
      </c>
    </row>
    <row r="42" spans="1:4">
      <c r="A42">
        <v>29</v>
      </c>
      <c r="B42" s="6" t="str">
        <f t="shared" si="0"/>
        <v>ExecutionReport</v>
      </c>
      <c r="C42" t="s">
        <v>179</v>
      </c>
      <c r="D42">
        <v>98</v>
      </c>
    </row>
    <row r="43" spans="1:4">
      <c r="A43">
        <v>29</v>
      </c>
      <c r="B43" s="6" t="str">
        <f t="shared" si="0"/>
        <v>ExecutionReport</v>
      </c>
      <c r="C43" t="s">
        <v>179</v>
      </c>
      <c r="D43">
        <v>99</v>
      </c>
    </row>
    <row r="44" spans="1:4">
      <c r="A44">
        <v>29</v>
      </c>
      <c r="B44" s="6" t="str">
        <f t="shared" si="0"/>
        <v>ExecutionReport</v>
      </c>
      <c r="C44" t="s">
        <v>179</v>
      </c>
      <c r="D44">
        <v>100</v>
      </c>
    </row>
    <row r="45" spans="1:4">
      <c r="A45">
        <v>29</v>
      </c>
      <c r="B45" s="6" t="str">
        <f t="shared" si="0"/>
        <v>ExecutionReport</v>
      </c>
      <c r="C45" t="s">
        <v>179</v>
      </c>
      <c r="D45">
        <v>101</v>
      </c>
    </row>
    <row r="46" spans="1:4">
      <c r="A46">
        <v>30</v>
      </c>
      <c r="B46" s="6" t="str">
        <f t="shared" si="0"/>
        <v>ExecutionReport</v>
      </c>
      <c r="C46" t="s">
        <v>179</v>
      </c>
      <c r="D46">
        <v>102</v>
      </c>
    </row>
    <row r="47" spans="1:4">
      <c r="A47">
        <v>30</v>
      </c>
      <c r="B47" s="6" t="str">
        <f t="shared" si="0"/>
        <v>ExecutionReport</v>
      </c>
      <c r="C47" t="s">
        <v>179</v>
      </c>
      <c r="D47">
        <v>103</v>
      </c>
    </row>
    <row r="48" spans="1:4">
      <c r="A48">
        <v>30</v>
      </c>
      <c r="B48" s="6" t="str">
        <f t="shared" si="0"/>
        <v>ExecutionReport</v>
      </c>
      <c r="C48" t="s">
        <v>179</v>
      </c>
      <c r="D48">
        <v>104</v>
      </c>
    </row>
    <row r="49" spans="1:4">
      <c r="A49">
        <v>31</v>
      </c>
      <c r="B49" s="6" t="str">
        <f t="shared" si="0"/>
        <v>ExecutionReport</v>
      </c>
      <c r="C49" t="s">
        <v>179</v>
      </c>
      <c r="D49">
        <v>105</v>
      </c>
    </row>
    <row r="50" spans="1:4">
      <c r="A50">
        <v>31</v>
      </c>
      <c r="B50" s="6" t="str">
        <f t="shared" si="0"/>
        <v>ExecutionReport</v>
      </c>
      <c r="C50" t="s">
        <v>179</v>
      </c>
      <c r="D50">
        <v>106</v>
      </c>
    </row>
    <row r="51" spans="1:4">
      <c r="A51">
        <v>31</v>
      </c>
      <c r="B51" s="6" t="str">
        <f t="shared" si="0"/>
        <v>ExecutionReport</v>
      </c>
      <c r="C51" t="s">
        <v>179</v>
      </c>
      <c r="D51">
        <v>107</v>
      </c>
    </row>
    <row r="52" spans="1:4">
      <c r="A52">
        <v>32</v>
      </c>
      <c r="B52" s="6" t="str">
        <f t="shared" si="0"/>
        <v>ExecutionReport</v>
      </c>
      <c r="C52" t="s">
        <v>179</v>
      </c>
      <c r="D52">
        <v>108</v>
      </c>
    </row>
    <row r="53" spans="1:4">
      <c r="A53">
        <v>32</v>
      </c>
      <c r="B53" s="6" t="str">
        <f t="shared" si="0"/>
        <v>ExecutionReport</v>
      </c>
      <c r="C53" t="s">
        <v>179</v>
      </c>
      <c r="D53">
        <v>109</v>
      </c>
    </row>
    <row r="54" spans="1:4">
      <c r="A54">
        <v>33</v>
      </c>
      <c r="B54" s="6" t="str">
        <f t="shared" si="0"/>
        <v>ExecutionReport</v>
      </c>
      <c r="C54" t="s">
        <v>179</v>
      </c>
      <c r="D54">
        <v>110</v>
      </c>
    </row>
    <row r="55" spans="1:4">
      <c r="A55">
        <v>33</v>
      </c>
      <c r="B55" s="6" t="str">
        <f t="shared" si="0"/>
        <v>ExecutionReport</v>
      </c>
      <c r="C55" t="s">
        <v>179</v>
      </c>
      <c r="D55">
        <v>111</v>
      </c>
    </row>
    <row r="56" spans="1:4">
      <c r="A56">
        <v>33</v>
      </c>
      <c r="B56" s="6" t="str">
        <f t="shared" si="0"/>
        <v>ExecutionReport</v>
      </c>
      <c r="C56" t="s">
        <v>179</v>
      </c>
      <c r="D56">
        <v>112</v>
      </c>
    </row>
    <row r="57" spans="1:4">
      <c r="A57">
        <v>33</v>
      </c>
      <c r="B57" s="6" t="str">
        <f t="shared" si="0"/>
        <v>ExecutionReport</v>
      </c>
      <c r="C57" t="s">
        <v>179</v>
      </c>
      <c r="D57">
        <v>113</v>
      </c>
    </row>
    <row r="58" spans="1:4">
      <c r="A58">
        <v>33</v>
      </c>
      <c r="B58" s="6" t="str">
        <f t="shared" si="0"/>
        <v>ExecutionReport</v>
      </c>
      <c r="C58" t="s">
        <v>179</v>
      </c>
      <c r="D58">
        <v>114</v>
      </c>
    </row>
    <row r="59" spans="1:4">
      <c r="A59">
        <v>33</v>
      </c>
      <c r="B59" s="6" t="str">
        <f t="shared" si="0"/>
        <v>ExecutionReport</v>
      </c>
      <c r="C59" t="s">
        <v>179</v>
      </c>
      <c r="D59">
        <v>115</v>
      </c>
    </row>
    <row r="60" spans="1:4">
      <c r="A60">
        <v>33</v>
      </c>
      <c r="B60" s="6" t="str">
        <f t="shared" si="0"/>
        <v>ExecutionReport</v>
      </c>
      <c r="C60" t="s">
        <v>179</v>
      </c>
      <c r="D60">
        <v>116</v>
      </c>
    </row>
    <row r="61" spans="1:4">
      <c r="A61">
        <v>33</v>
      </c>
      <c r="B61" s="6" t="str">
        <f t="shared" si="0"/>
        <v>ExecutionReport</v>
      </c>
      <c r="C61" t="s">
        <v>179</v>
      </c>
      <c r="D61">
        <v>117</v>
      </c>
    </row>
    <row r="62" spans="1:4">
      <c r="A62">
        <v>33</v>
      </c>
      <c r="B62" s="6" t="str">
        <f t="shared" si="0"/>
        <v>ExecutionReport</v>
      </c>
      <c r="C62" t="s">
        <v>179</v>
      </c>
      <c r="D62">
        <v>118</v>
      </c>
    </row>
    <row r="63" spans="1:4">
      <c r="A63">
        <v>34</v>
      </c>
      <c r="B63" s="6" t="str">
        <f t="shared" si="0"/>
        <v>ExecutionReport</v>
      </c>
      <c r="C63" t="s">
        <v>179</v>
      </c>
      <c r="D63">
        <v>119</v>
      </c>
    </row>
    <row r="64" spans="1:4">
      <c r="A64">
        <v>34</v>
      </c>
      <c r="B64" s="6" t="str">
        <f t="shared" si="0"/>
        <v>ExecutionReport</v>
      </c>
      <c r="C64" t="s">
        <v>179</v>
      </c>
      <c r="D64">
        <v>120</v>
      </c>
    </row>
    <row r="65" spans="1:4">
      <c r="A65">
        <v>34</v>
      </c>
      <c r="B65" s="6" t="str">
        <f t="shared" si="0"/>
        <v>ExecutionReport</v>
      </c>
      <c r="C65" t="s">
        <v>179</v>
      </c>
      <c r="D65">
        <v>121</v>
      </c>
    </row>
    <row r="66" spans="1:4">
      <c r="A66">
        <v>35</v>
      </c>
      <c r="B66" s="6" t="str">
        <f t="shared" si="0"/>
        <v>ExecutionReport</v>
      </c>
      <c r="C66" t="s">
        <v>179</v>
      </c>
      <c r="D66">
        <v>122</v>
      </c>
    </row>
    <row r="67" spans="1:4">
      <c r="A67">
        <v>35</v>
      </c>
      <c r="B67" s="6" t="str">
        <f t="shared" ref="B67:B68" si="1">HYPERLINK("#"&amp;C67&amp;"!A"&amp;(D67+3),C67)</f>
        <v>ExecutionReport</v>
      </c>
      <c r="C67" t="s">
        <v>179</v>
      </c>
      <c r="D67">
        <v>123</v>
      </c>
    </row>
    <row r="68" spans="1:4" ht="13.5" customHeight="1">
      <c r="A68">
        <v>35</v>
      </c>
      <c r="B68" s="6" t="str">
        <f t="shared" si="1"/>
        <v>ExecutionReport</v>
      </c>
      <c r="C68" t="s">
        <v>179</v>
      </c>
      <c r="D68">
        <v>124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E1" sqref="E1"/>
    </sheetView>
  </sheetViews>
  <sheetFormatPr defaultRowHeight="14"/>
  <cols>
    <col min="2" max="2" width="23.9140625" customWidth="1"/>
    <col min="3" max="3" width="24.4140625" customWidth="1"/>
    <col min="10" max="10" width="22.33203125" customWidth="1"/>
  </cols>
  <sheetData>
    <row r="1" spans="1:11" ht="15.5">
      <c r="A1" t="s">
        <v>200</v>
      </c>
      <c r="B1" s="5" t="s">
        <v>201</v>
      </c>
      <c r="C1" s="5" t="s">
        <v>180</v>
      </c>
      <c r="D1" s="5" t="s">
        <v>202</v>
      </c>
      <c r="E1" s="11" t="s">
        <v>421</v>
      </c>
      <c r="K1" t="s">
        <v>211</v>
      </c>
    </row>
    <row r="2" spans="1:11">
      <c r="A2">
        <v>1</v>
      </c>
      <c r="B2" s="6" t="str">
        <f t="shared" ref="B2:B10" si="0">HYPERLINK("#"&amp;C2&amp;"!A"&amp;(D2+3),C2)</f>
        <v>PositionMaintenanceRequest</v>
      </c>
      <c r="C2" t="s">
        <v>276</v>
      </c>
      <c r="D2">
        <f>COUNTIF(C$2:C2,C2)</f>
        <v>1</v>
      </c>
      <c r="E2" t="s">
        <v>277</v>
      </c>
      <c r="K2">
        <v>100</v>
      </c>
    </row>
    <row r="3" spans="1:11">
      <c r="A3">
        <v>2</v>
      </c>
      <c r="B3" s="6" t="str">
        <f t="shared" si="0"/>
        <v>PositionMaintenanceRequest</v>
      </c>
      <c r="C3" t="s">
        <v>276</v>
      </c>
      <c r="D3">
        <f>COUNTIF(C$2:C3,C3)</f>
        <v>2</v>
      </c>
      <c r="E3" t="s">
        <v>394</v>
      </c>
      <c r="F3" s="4"/>
      <c r="K3">
        <v>101</v>
      </c>
    </row>
    <row r="4" spans="1:11">
      <c r="A4">
        <v>3</v>
      </c>
      <c r="B4" s="6" t="str">
        <f t="shared" si="0"/>
        <v>PositionMaintenanceRequest</v>
      </c>
      <c r="C4" t="s">
        <v>276</v>
      </c>
      <c r="D4">
        <f>COUNTIF(C$2:C4,C4)</f>
        <v>3</v>
      </c>
      <c r="E4" t="s">
        <v>393</v>
      </c>
      <c r="F4" s="2"/>
      <c r="K4">
        <v>102</v>
      </c>
    </row>
    <row r="5" spans="1:11">
      <c r="A5">
        <v>4</v>
      </c>
      <c r="B5" s="6" t="str">
        <f t="shared" si="0"/>
        <v>PositionMaintenanceRequest</v>
      </c>
      <c r="C5" t="s">
        <v>276</v>
      </c>
      <c r="D5">
        <f>COUNTIF(C$2:C5,C5)</f>
        <v>4</v>
      </c>
      <c r="E5" t="s">
        <v>338</v>
      </c>
      <c r="F5" s="4"/>
      <c r="K5">
        <v>103</v>
      </c>
    </row>
    <row r="6" spans="1:11">
      <c r="A6">
        <v>5</v>
      </c>
      <c r="B6" s="6" t="str">
        <f t="shared" si="0"/>
        <v>PositionMaintenanceRequest</v>
      </c>
      <c r="C6" t="s">
        <v>276</v>
      </c>
      <c r="D6">
        <f>COUNTIF(C$2:C6,C6)</f>
        <v>5</v>
      </c>
      <c r="E6" t="s">
        <v>339</v>
      </c>
      <c r="F6" s="4"/>
      <c r="K6">
        <v>104</v>
      </c>
    </row>
    <row r="7" spans="1:11">
      <c r="A7">
        <v>6</v>
      </c>
      <c r="B7" s="6" t="str">
        <f t="shared" si="0"/>
        <v>PositionMaintenanceRequest</v>
      </c>
      <c r="C7" t="s">
        <v>276</v>
      </c>
      <c r="D7">
        <f>COUNTIF(C$2:C7,C7)</f>
        <v>6</v>
      </c>
      <c r="E7" t="s">
        <v>340</v>
      </c>
      <c r="F7" s="4"/>
      <c r="K7">
        <v>105</v>
      </c>
    </row>
    <row r="8" spans="1:11">
      <c r="A8">
        <v>7</v>
      </c>
      <c r="B8" s="6" t="str">
        <f t="shared" si="0"/>
        <v>PositionMaintenanceRequest</v>
      </c>
      <c r="C8" t="s">
        <v>276</v>
      </c>
      <c r="D8">
        <f>COUNTIF(C$2:C8,C8)</f>
        <v>7</v>
      </c>
      <c r="E8" t="s">
        <v>396</v>
      </c>
      <c r="F8" s="4"/>
      <c r="K8">
        <v>106</v>
      </c>
    </row>
    <row r="9" spans="1:11">
      <c r="A9">
        <v>8</v>
      </c>
      <c r="B9" s="6" t="str">
        <f t="shared" si="0"/>
        <v>PositionMaintenanceRequest</v>
      </c>
      <c r="C9" t="s">
        <v>276</v>
      </c>
      <c r="D9">
        <f>COUNTIF(C$2:C9,C9)</f>
        <v>8</v>
      </c>
      <c r="E9" t="s">
        <v>370</v>
      </c>
      <c r="F9" s="4"/>
      <c r="K9">
        <v>201</v>
      </c>
    </row>
    <row r="10" spans="1:11">
      <c r="A10">
        <v>9</v>
      </c>
      <c r="B10" s="6" t="str">
        <f t="shared" si="0"/>
        <v>PositionMaintenanceRequest</v>
      </c>
      <c r="C10" t="s">
        <v>276</v>
      </c>
      <c r="D10">
        <f>COUNTIF(C$2:C10,C10)</f>
        <v>9</v>
      </c>
      <c r="E10" t="s">
        <v>390</v>
      </c>
      <c r="F10" s="4"/>
      <c r="K10">
        <v>202</v>
      </c>
    </row>
    <row r="11" spans="1:11">
      <c r="A11">
        <v>10</v>
      </c>
      <c r="B11" s="6" t="str">
        <f t="shared" ref="B11:B13" si="1">HYPERLINK("#"&amp;C11&amp;"!A"&amp;(D11+3),C11)</f>
        <v>PositionMaintenanceRequest</v>
      </c>
      <c r="C11" t="s">
        <v>276</v>
      </c>
      <c r="D11">
        <f>COUNTIF(C$2:C11,C11)</f>
        <v>10</v>
      </c>
      <c r="E11" t="s">
        <v>392</v>
      </c>
      <c r="F11" s="4"/>
      <c r="K11">
        <v>203</v>
      </c>
    </row>
    <row r="12" spans="1:11">
      <c r="A12">
        <v>11</v>
      </c>
      <c r="B12" s="6" t="str">
        <f t="shared" si="1"/>
        <v>PositionMaintenanceRequest</v>
      </c>
      <c r="C12" t="s">
        <v>276</v>
      </c>
      <c r="D12">
        <f>COUNTIF(C$2:C12,C12)</f>
        <v>11</v>
      </c>
      <c r="E12" t="s">
        <v>385</v>
      </c>
      <c r="F12" s="4"/>
      <c r="K12">
        <v>204</v>
      </c>
    </row>
    <row r="13" spans="1:11">
      <c r="A13">
        <v>12</v>
      </c>
      <c r="B13" s="6" t="str">
        <f t="shared" si="1"/>
        <v>PositionMaintenanceRequest</v>
      </c>
      <c r="C13" t="s">
        <v>276</v>
      </c>
      <c r="D13">
        <f>COUNTIF(C$2:C13,C13)</f>
        <v>12</v>
      </c>
      <c r="E13" t="s">
        <v>397</v>
      </c>
      <c r="F13" s="4"/>
      <c r="K13">
        <v>107</v>
      </c>
    </row>
    <row r="14" spans="1:11">
      <c r="A14">
        <v>13</v>
      </c>
      <c r="B14" s="6" t="str">
        <f t="shared" ref="B14:B15" si="2">HYPERLINK("#"&amp;C14&amp;"!A"&amp;(D14+3),C14)</f>
        <v>PositionMaintenanceRequest</v>
      </c>
      <c r="C14" t="s">
        <v>276</v>
      </c>
      <c r="D14">
        <f>COUNTIF(C$2:C14,C14)</f>
        <v>13</v>
      </c>
      <c r="E14" t="s">
        <v>395</v>
      </c>
      <c r="F14" s="4"/>
      <c r="K14">
        <v>205</v>
      </c>
    </row>
    <row r="15" spans="1:11">
      <c r="A15">
        <v>14</v>
      </c>
      <c r="B15" s="6" t="str">
        <f t="shared" si="2"/>
        <v>PositionMaintenanceRequest</v>
      </c>
      <c r="C15" t="s">
        <v>276</v>
      </c>
      <c r="D15">
        <f>COUNTIF(C$2:C15,C15)</f>
        <v>14</v>
      </c>
      <c r="E15" t="s">
        <v>417</v>
      </c>
      <c r="F15" s="4"/>
      <c r="K15">
        <v>108</v>
      </c>
    </row>
    <row r="16" spans="1:11" ht="13.5" customHeight="1">
      <c r="A16">
        <v>15</v>
      </c>
      <c r="B16" s="6" t="str">
        <f t="shared" ref="B16:B17" si="3">HYPERLINK("#"&amp;C16&amp;"!A"&amp;(D16+3),C16)</f>
        <v>PositionMaintenanceRequest</v>
      </c>
      <c r="C16" t="s">
        <v>276</v>
      </c>
      <c r="D16">
        <f>COUNTIF(C$2:C16,C16)</f>
        <v>15</v>
      </c>
      <c r="E16" t="s">
        <v>414</v>
      </c>
      <c r="K16">
        <v>206</v>
      </c>
    </row>
    <row r="17" spans="1:11">
      <c r="A17">
        <v>16</v>
      </c>
      <c r="B17" s="6" t="str">
        <f t="shared" si="3"/>
        <v>PositionMaintenanceRequest</v>
      </c>
      <c r="C17" t="s">
        <v>276</v>
      </c>
      <c r="D17">
        <v>16</v>
      </c>
      <c r="E17" t="s">
        <v>420</v>
      </c>
      <c r="K17">
        <v>207</v>
      </c>
    </row>
    <row r="18" spans="1:11">
      <c r="B18" s="6"/>
    </row>
    <row r="19" spans="1:11">
      <c r="B19" s="6"/>
    </row>
    <row r="20" spans="1:11">
      <c r="B20" s="6"/>
      <c r="E20" s="8"/>
    </row>
    <row r="21" spans="1:11">
      <c r="B21" s="6"/>
      <c r="E21" s="9"/>
    </row>
    <row r="22" spans="1:11">
      <c r="B22" s="6"/>
    </row>
    <row r="23" spans="1:11">
      <c r="B23" s="6"/>
    </row>
    <row r="24" spans="1:11">
      <c r="B24" s="6"/>
    </row>
    <row r="25" spans="1:11">
      <c r="B25" s="6"/>
    </row>
    <row r="26" spans="1:11">
      <c r="B26" s="6"/>
    </row>
    <row r="27" spans="1:11">
      <c r="B27" s="6"/>
    </row>
    <row r="28" spans="1:11">
      <c r="B28" s="6"/>
    </row>
    <row r="29" spans="1:11">
      <c r="B29" s="6"/>
    </row>
    <row r="30" spans="1:11">
      <c r="B30" s="6"/>
    </row>
    <row r="31" spans="1:11">
      <c r="B31" s="6"/>
    </row>
    <row r="32" spans="1:11">
      <c r="B32" s="6"/>
    </row>
    <row r="33" spans="2:5">
      <c r="B33" s="6"/>
    </row>
    <row r="34" spans="2:5">
      <c r="B34" s="6"/>
    </row>
    <row r="35" spans="2:5">
      <c r="B35" s="6"/>
    </row>
    <row r="36" spans="2:5">
      <c r="B36" s="6"/>
    </row>
    <row r="37" spans="2:5">
      <c r="B37" s="6"/>
    </row>
    <row r="38" spans="2:5">
      <c r="B38" s="6"/>
    </row>
    <row r="39" spans="2:5">
      <c r="B39" s="6"/>
    </row>
    <row r="40" spans="2:5">
      <c r="B40" s="6"/>
      <c r="E40" s="8"/>
    </row>
    <row r="41" spans="2:5">
      <c r="B41" s="6"/>
    </row>
    <row r="42" spans="2:5">
      <c r="B42" s="6"/>
    </row>
    <row r="43" spans="2:5">
      <c r="B43" s="6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5"/>
  <sheetViews>
    <sheetView topLeftCell="E1" workbookViewId="0">
      <pane ySplit="3" topLeftCell="A4" activePane="bottomLeft" state="frozen"/>
      <selection pane="bottomLeft" activeCell="H9" sqref="H9"/>
    </sheetView>
  </sheetViews>
  <sheetFormatPr defaultRowHeight="14"/>
  <cols>
    <col min="6" max="6" width="15.75" customWidth="1"/>
    <col min="7" max="7" width="14.6640625" customWidth="1"/>
    <col min="19" max="19" width="13.25" customWidth="1"/>
    <col min="35" max="35" width="14.75" customWidth="1"/>
  </cols>
  <sheetData>
    <row r="1" spans="1:3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102</v>
      </c>
      <c r="H1" t="s">
        <v>6</v>
      </c>
      <c r="I1" t="s">
        <v>31</v>
      </c>
      <c r="J1" t="s">
        <v>54</v>
      </c>
      <c r="K1" t="s">
        <v>33</v>
      </c>
      <c r="L1" t="s">
        <v>134</v>
      </c>
      <c r="M1" t="s">
        <v>53</v>
      </c>
      <c r="N1" t="s">
        <v>87</v>
      </c>
      <c r="O1" t="s">
        <v>39</v>
      </c>
      <c r="P1" t="s">
        <v>34</v>
      </c>
      <c r="Q1" t="s">
        <v>38</v>
      </c>
      <c r="R1" t="s">
        <v>36</v>
      </c>
      <c r="S1" t="s">
        <v>32</v>
      </c>
      <c r="T1" t="s">
        <v>41</v>
      </c>
      <c r="U1" t="s">
        <v>47</v>
      </c>
      <c r="V1" t="s">
        <v>37</v>
      </c>
      <c r="W1" t="s">
        <v>43</v>
      </c>
      <c r="X1" t="s">
        <v>42</v>
      </c>
      <c r="Y1" t="s">
        <v>44</v>
      </c>
      <c r="Z1" t="s">
        <v>99</v>
      </c>
      <c r="AA1" t="s">
        <v>48</v>
      </c>
      <c r="AB1" t="s">
        <v>50</v>
      </c>
      <c r="AC1" t="s">
        <v>51</v>
      </c>
      <c r="AD1" t="s">
        <v>50</v>
      </c>
      <c r="AE1" t="s">
        <v>51</v>
      </c>
      <c r="AF1" t="s">
        <v>55</v>
      </c>
      <c r="AG1" t="s">
        <v>52</v>
      </c>
      <c r="AH1" t="s">
        <v>57</v>
      </c>
      <c r="AI1" t="s">
        <v>189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38</v>
      </c>
      <c r="K2" t="s">
        <v>13</v>
      </c>
      <c r="L2" t="s">
        <v>134</v>
      </c>
      <c r="M2" t="s">
        <v>35</v>
      </c>
      <c r="N2" t="s">
        <v>35</v>
      </c>
      <c r="O2" t="s">
        <v>40</v>
      </c>
      <c r="P2" t="s">
        <v>35</v>
      </c>
      <c r="Q2" t="s">
        <v>38</v>
      </c>
      <c r="R2" t="s">
        <v>35</v>
      </c>
      <c r="S2" t="s">
        <v>10</v>
      </c>
      <c r="T2" t="s">
        <v>35</v>
      </c>
      <c r="U2" t="s">
        <v>46</v>
      </c>
      <c r="V2" t="s">
        <v>35</v>
      </c>
      <c r="W2" t="s">
        <v>38</v>
      </c>
      <c r="X2" t="s">
        <v>40</v>
      </c>
      <c r="Y2" t="s">
        <v>45</v>
      </c>
      <c r="Z2" t="s">
        <v>100</v>
      </c>
      <c r="AA2" t="s">
        <v>49</v>
      </c>
      <c r="AB2" t="s">
        <v>10</v>
      </c>
      <c r="AC2" t="s">
        <v>13</v>
      </c>
      <c r="AD2" t="s">
        <v>10</v>
      </c>
      <c r="AE2" t="s">
        <v>13</v>
      </c>
      <c r="AF2" t="s">
        <v>56</v>
      </c>
      <c r="AG2" t="s">
        <v>14</v>
      </c>
      <c r="AH2" t="s">
        <v>56</v>
      </c>
      <c r="AI2" t="s">
        <v>56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184</v>
      </c>
      <c r="H3" s="2" t="s">
        <v>22</v>
      </c>
      <c r="I3" s="3" t="s">
        <v>63</v>
      </c>
      <c r="J3" s="3" t="s">
        <v>67</v>
      </c>
      <c r="K3" s="3" t="s">
        <v>68</v>
      </c>
      <c r="L3" s="3" t="s">
        <v>187</v>
      </c>
      <c r="M3" s="3" t="s">
        <v>69</v>
      </c>
      <c r="N3" s="3" t="s">
        <v>88</v>
      </c>
      <c r="O3" s="3" t="s">
        <v>70</v>
      </c>
      <c r="P3" s="3" t="s">
        <v>71</v>
      </c>
      <c r="Q3" s="3" t="s">
        <v>72</v>
      </c>
      <c r="R3" s="3" t="s">
        <v>73</v>
      </c>
      <c r="S3" s="3" t="s">
        <v>74</v>
      </c>
      <c r="T3" s="3" t="s">
        <v>75</v>
      </c>
      <c r="U3" s="3" t="s">
        <v>76</v>
      </c>
      <c r="V3" s="3" t="s">
        <v>77</v>
      </c>
      <c r="W3" s="3" t="s">
        <v>78</v>
      </c>
      <c r="X3" s="3" t="s">
        <v>79</v>
      </c>
      <c r="Y3" s="3" t="s">
        <v>80</v>
      </c>
      <c r="Z3">
        <v>432</v>
      </c>
      <c r="AA3" s="3" t="s">
        <v>81</v>
      </c>
      <c r="AB3" s="3" t="s">
        <v>98</v>
      </c>
      <c r="AC3" s="3" t="s">
        <v>97</v>
      </c>
      <c r="AD3" s="3" t="s">
        <v>185</v>
      </c>
      <c r="AE3" s="3" t="s">
        <v>186</v>
      </c>
      <c r="AF3" s="3" t="s">
        <v>82</v>
      </c>
      <c r="AG3" s="3" t="s">
        <v>83</v>
      </c>
      <c r="AH3" s="3" t="s">
        <v>84</v>
      </c>
      <c r="AI3" s="3" t="s">
        <v>188</v>
      </c>
      <c r="AJ3" s="2" t="s">
        <v>25</v>
      </c>
    </row>
    <row r="4" spans="1:36">
      <c r="A4" s="3" t="s">
        <v>26</v>
      </c>
      <c r="B4" s="3" t="s">
        <v>27</v>
      </c>
      <c r="C4" s="3" t="s">
        <v>86</v>
      </c>
      <c r="D4" s="3"/>
      <c r="E4" s="3" t="s">
        <v>190</v>
      </c>
      <c r="F4" s="4">
        <f t="shared" ref="F4:F5" ca="1" si="0">NOW()</f>
        <v>43845.695864583337</v>
      </c>
      <c r="G4" s="4"/>
      <c r="H4" s="3" t="s">
        <v>28</v>
      </c>
      <c r="I4" s="3" t="s">
        <v>190</v>
      </c>
      <c r="J4" s="3" t="s">
        <v>61</v>
      </c>
      <c r="K4" s="3" t="s">
        <v>29</v>
      </c>
      <c r="L4" s="3"/>
      <c r="M4" s="3" t="s">
        <v>61</v>
      </c>
      <c r="N4" s="3" t="s">
        <v>89</v>
      </c>
      <c r="O4" s="3" t="s">
        <v>273</v>
      </c>
      <c r="P4" s="3" t="s">
        <v>62</v>
      </c>
      <c r="Q4" s="3" t="s">
        <v>270</v>
      </c>
      <c r="R4" s="3" t="s">
        <v>58</v>
      </c>
      <c r="S4" t="s">
        <v>275</v>
      </c>
      <c r="T4" s="3" t="s">
        <v>61</v>
      </c>
      <c r="U4" s="3" t="s">
        <v>90</v>
      </c>
      <c r="V4" t="s">
        <v>59</v>
      </c>
      <c r="W4" s="3">
        <v>0</v>
      </c>
      <c r="X4" s="3">
        <v>0</v>
      </c>
      <c r="Y4" t="s">
        <v>60</v>
      </c>
      <c r="AF4" s="3" t="s">
        <v>58</v>
      </c>
      <c r="AG4" t="s">
        <v>199</v>
      </c>
      <c r="AJ4" s="3" t="s">
        <v>30</v>
      </c>
    </row>
    <row r="5" spans="1:36">
      <c r="A5" s="3" t="s">
        <v>26</v>
      </c>
      <c r="B5" s="3" t="s">
        <v>27</v>
      </c>
      <c r="C5" s="3" t="s">
        <v>85</v>
      </c>
      <c r="D5" s="3"/>
      <c r="E5" s="3" t="s">
        <v>190</v>
      </c>
      <c r="F5" s="4">
        <f t="shared" ca="1" si="0"/>
        <v>43845.695864583337</v>
      </c>
      <c r="G5" s="4"/>
      <c r="H5" s="3" t="s">
        <v>28</v>
      </c>
      <c r="I5" s="3" t="s">
        <v>190</v>
      </c>
      <c r="J5" s="3" t="s">
        <v>61</v>
      </c>
      <c r="K5" s="3" t="s">
        <v>271</v>
      </c>
      <c r="L5" s="3"/>
      <c r="M5" s="3" t="s">
        <v>61</v>
      </c>
      <c r="N5" s="3" t="s">
        <v>89</v>
      </c>
      <c r="O5" s="3" t="s">
        <v>274</v>
      </c>
      <c r="P5" s="3" t="s">
        <v>62</v>
      </c>
      <c r="Q5" s="3" t="s">
        <v>270</v>
      </c>
      <c r="R5" s="3" t="s">
        <v>272</v>
      </c>
      <c r="S5" t="s">
        <v>275</v>
      </c>
      <c r="T5" s="3" t="s">
        <v>61</v>
      </c>
      <c r="U5" s="3" t="s">
        <v>90</v>
      </c>
      <c r="V5" t="s">
        <v>59</v>
      </c>
      <c r="W5" s="3">
        <v>0</v>
      </c>
      <c r="X5" s="3">
        <v>0</v>
      </c>
      <c r="Y5" t="s">
        <v>60</v>
      </c>
      <c r="AF5" s="3" t="s">
        <v>58</v>
      </c>
      <c r="AG5" t="s">
        <v>128</v>
      </c>
      <c r="AJ5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opLeftCell="C1" workbookViewId="0">
      <selection activeCell="G6" sqref="G6"/>
    </sheetView>
  </sheetViews>
  <sheetFormatPr defaultRowHeight="14"/>
  <cols>
    <col min="6" max="6" width="16.4140625" bestFit="1" customWidth="1"/>
  </cols>
  <sheetData>
    <row r="1" spans="1:1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15</v>
      </c>
      <c r="N1" t="s">
        <v>16</v>
      </c>
      <c r="O1" s="1" t="s">
        <v>17</v>
      </c>
      <c r="P1" t="s">
        <v>106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107</v>
      </c>
    </row>
    <row r="3" spans="1:16" s="7" customFormat="1">
      <c r="A3" s="2" t="s">
        <v>18</v>
      </c>
      <c r="B3" s="2" t="s">
        <v>19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119</v>
      </c>
      <c r="O3" s="2" t="s">
        <v>120</v>
      </c>
      <c r="P3" s="7" t="s">
        <v>121</v>
      </c>
    </row>
    <row r="4" spans="1:16">
      <c r="A4" s="3" t="s">
        <v>122</v>
      </c>
      <c r="B4" s="3" t="s">
        <v>123</v>
      </c>
      <c r="C4" s="3" t="s">
        <v>124</v>
      </c>
      <c r="D4" s="3" t="s">
        <v>29</v>
      </c>
      <c r="E4" s="3" t="s">
        <v>125</v>
      </c>
      <c r="F4" s="4">
        <f ca="1">NOW()</f>
        <v>43845.695864583337</v>
      </c>
      <c r="G4" s="3" t="s">
        <v>194</v>
      </c>
      <c r="H4" s="3" t="s">
        <v>29</v>
      </c>
      <c r="I4" s="3" t="s">
        <v>126</v>
      </c>
      <c r="J4" s="3" t="s">
        <v>61</v>
      </c>
      <c r="K4" s="3" t="s">
        <v>127</v>
      </c>
      <c r="L4" t="s">
        <v>128</v>
      </c>
      <c r="M4" s="3" t="s">
        <v>129</v>
      </c>
      <c r="N4" s="3" t="s">
        <v>130</v>
      </c>
      <c r="O4" s="3" t="s">
        <v>131</v>
      </c>
      <c r="P4" s="3" t="s">
        <v>132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workbookViewId="0">
      <pane ySplit="3" topLeftCell="A10" activePane="bottomLeft" state="frozen"/>
      <selection pane="bottomLeft" activeCell="M23" sqref="M23"/>
    </sheetView>
  </sheetViews>
  <sheetFormatPr defaultRowHeight="14"/>
  <cols>
    <col min="6" max="6" width="14.33203125" customWidth="1"/>
    <col min="13" max="13" width="9.5" customWidth="1"/>
    <col min="15" max="15" width="10.58203125" customWidth="1"/>
  </cols>
  <sheetData>
    <row r="1" spans="1:30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102</v>
      </c>
      <c r="H1" t="s">
        <v>6</v>
      </c>
      <c r="I1" t="s">
        <v>31</v>
      </c>
      <c r="J1" t="s">
        <v>32</v>
      </c>
      <c r="K1" t="s">
        <v>37</v>
      </c>
      <c r="L1" t="s">
        <v>44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48</v>
      </c>
      <c r="T1" t="s">
        <v>50</v>
      </c>
      <c r="U1" t="s">
        <v>51</v>
      </c>
      <c r="V1" t="s">
        <v>50</v>
      </c>
      <c r="W1" t="s">
        <v>51</v>
      </c>
      <c r="X1" t="s">
        <v>231</v>
      </c>
      <c r="Y1" t="s">
        <v>232</v>
      </c>
      <c r="Z1" t="s">
        <v>233</v>
      </c>
      <c r="AA1" t="s">
        <v>55</v>
      </c>
      <c r="AB1" t="s">
        <v>15</v>
      </c>
      <c r="AC1" t="s">
        <v>16</v>
      </c>
      <c r="AD1" t="s">
        <v>234</v>
      </c>
    </row>
    <row r="2" spans="1:3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10</v>
      </c>
      <c r="K2" t="s">
        <v>35</v>
      </c>
      <c r="L2" t="s">
        <v>45</v>
      </c>
      <c r="M2" t="s">
        <v>13</v>
      </c>
      <c r="N2" t="s">
        <v>10</v>
      </c>
      <c r="O2" t="s">
        <v>13</v>
      </c>
      <c r="P2" t="s">
        <v>10</v>
      </c>
      <c r="Q2" t="s">
        <v>10</v>
      </c>
      <c r="R2" t="s">
        <v>100</v>
      </c>
      <c r="S2" t="s">
        <v>49</v>
      </c>
      <c r="T2" t="s">
        <v>10</v>
      </c>
      <c r="U2" t="s">
        <v>13</v>
      </c>
      <c r="V2" t="s">
        <v>10</v>
      </c>
      <c r="W2" t="s">
        <v>13</v>
      </c>
      <c r="X2" t="s">
        <v>49</v>
      </c>
      <c r="Y2" t="s">
        <v>10</v>
      </c>
      <c r="Z2" t="s">
        <v>40</v>
      </c>
      <c r="AA2" t="s">
        <v>56</v>
      </c>
      <c r="AB2" t="s">
        <v>13</v>
      </c>
      <c r="AC2" t="s">
        <v>13</v>
      </c>
      <c r="AD2" t="s">
        <v>56</v>
      </c>
    </row>
    <row r="3" spans="1:30">
      <c r="A3" s="2" t="s">
        <v>235</v>
      </c>
      <c r="B3" s="2" t="s">
        <v>19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I3" s="3" t="s">
        <v>242</v>
      </c>
      <c r="J3" s="3" t="s">
        <v>243</v>
      </c>
      <c r="K3" s="3" t="s">
        <v>244</v>
      </c>
      <c r="L3" s="3" t="s">
        <v>357</v>
      </c>
      <c r="M3" s="3" t="s">
        <v>245</v>
      </c>
      <c r="N3" s="3" t="s">
        <v>246</v>
      </c>
      <c r="O3" s="3" t="s">
        <v>247</v>
      </c>
      <c r="P3" s="3" t="s">
        <v>248</v>
      </c>
      <c r="Q3" s="3" t="s">
        <v>249</v>
      </c>
      <c r="R3" s="3" t="s">
        <v>250</v>
      </c>
      <c r="S3" s="3" t="s">
        <v>251</v>
      </c>
      <c r="T3" s="3" t="s">
        <v>252</v>
      </c>
      <c r="U3" s="3" t="s">
        <v>253</v>
      </c>
      <c r="V3" t="s">
        <v>254</v>
      </c>
      <c r="W3" t="s">
        <v>255</v>
      </c>
      <c r="X3" s="3" t="s">
        <v>256</v>
      </c>
      <c r="Y3" s="3" t="s">
        <v>257</v>
      </c>
      <c r="Z3" s="3" t="s">
        <v>258</v>
      </c>
      <c r="AA3" s="3" t="s">
        <v>259</v>
      </c>
      <c r="AB3" s="3" t="s">
        <v>308</v>
      </c>
      <c r="AC3" s="3" t="s">
        <v>309</v>
      </c>
      <c r="AD3" s="3" t="s">
        <v>260</v>
      </c>
    </row>
    <row r="4" spans="1:30">
      <c r="A4" s="3" t="s">
        <v>313</v>
      </c>
      <c r="B4" s="3" t="s">
        <v>262</v>
      </c>
      <c r="C4" s="3" t="s">
        <v>263</v>
      </c>
      <c r="D4" s="3"/>
      <c r="E4" s="3" t="s">
        <v>191</v>
      </c>
      <c r="F4" s="4">
        <f t="shared" ref="F4:F19" ca="1" si="0">NOW()</f>
        <v>43845.695864583337</v>
      </c>
      <c r="G4" s="10" t="s">
        <v>264</v>
      </c>
      <c r="H4" s="3" t="s">
        <v>265</v>
      </c>
      <c r="I4" s="3" t="s">
        <v>323</v>
      </c>
      <c r="J4" t="s">
        <v>278</v>
      </c>
      <c r="K4" t="s">
        <v>279</v>
      </c>
      <c r="M4" s="3" t="s">
        <v>242</v>
      </c>
      <c r="N4" s="3" t="s">
        <v>204</v>
      </c>
      <c r="O4" s="3" t="s">
        <v>266</v>
      </c>
      <c r="R4" t="s">
        <v>267</v>
      </c>
      <c r="X4" s="3" t="s">
        <v>242</v>
      </c>
      <c r="Y4" t="s">
        <v>268</v>
      </c>
      <c r="Z4" s="3" t="s">
        <v>242</v>
      </c>
      <c r="AA4" s="3" t="s">
        <v>266</v>
      </c>
      <c r="AD4" s="3" t="s">
        <v>269</v>
      </c>
    </row>
    <row r="5" spans="1:30">
      <c r="A5" s="3" t="s">
        <v>261</v>
      </c>
      <c r="B5" s="3" t="s">
        <v>262</v>
      </c>
      <c r="C5" s="3" t="s">
        <v>263</v>
      </c>
      <c r="D5" s="3"/>
      <c r="E5" s="3" t="s">
        <v>191</v>
      </c>
      <c r="F5" s="4">
        <f t="shared" ca="1" si="0"/>
        <v>43845.695864583337</v>
      </c>
      <c r="G5" s="10" t="s">
        <v>264</v>
      </c>
      <c r="H5" s="3" t="s">
        <v>209</v>
      </c>
      <c r="I5" s="3" t="s">
        <v>323</v>
      </c>
      <c r="J5" t="s">
        <v>278</v>
      </c>
      <c r="K5" t="s">
        <v>279</v>
      </c>
      <c r="M5" s="3" t="s">
        <v>329</v>
      </c>
      <c r="N5" s="3" t="s">
        <v>330</v>
      </c>
      <c r="O5" s="3" t="s">
        <v>266</v>
      </c>
      <c r="R5" t="s">
        <v>267</v>
      </c>
      <c r="X5" s="3" t="s">
        <v>146</v>
      </c>
      <c r="Y5" t="s">
        <v>268</v>
      </c>
      <c r="Z5" s="3" t="s">
        <v>331</v>
      </c>
      <c r="AA5" s="3" t="s">
        <v>266</v>
      </c>
      <c r="AD5" s="3" t="s">
        <v>146</v>
      </c>
    </row>
    <row r="6" spans="1:30">
      <c r="A6" s="3" t="s">
        <v>261</v>
      </c>
      <c r="B6" s="3" t="s">
        <v>262</v>
      </c>
      <c r="C6" s="3" t="s">
        <v>263</v>
      </c>
      <c r="D6" s="3"/>
      <c r="E6" s="3" t="s">
        <v>191</v>
      </c>
      <c r="F6" s="4">
        <f t="shared" ca="1" si="0"/>
        <v>43845.695864583337</v>
      </c>
      <c r="G6" s="10" t="s">
        <v>264</v>
      </c>
      <c r="H6" s="3" t="s">
        <v>209</v>
      </c>
      <c r="I6" s="3" t="s">
        <v>323</v>
      </c>
      <c r="J6" t="s">
        <v>335</v>
      </c>
      <c r="K6" t="s">
        <v>218</v>
      </c>
      <c r="M6" s="3" t="s">
        <v>146</v>
      </c>
      <c r="N6" s="3" t="s">
        <v>336</v>
      </c>
      <c r="O6" s="3" t="s">
        <v>266</v>
      </c>
      <c r="R6" t="s">
        <v>267</v>
      </c>
      <c r="X6" s="3" t="s">
        <v>146</v>
      </c>
      <c r="Y6" t="s">
        <v>268</v>
      </c>
      <c r="Z6" s="3" t="s">
        <v>62</v>
      </c>
      <c r="AA6" s="3" t="s">
        <v>266</v>
      </c>
      <c r="AD6" s="3" t="s">
        <v>269</v>
      </c>
    </row>
    <row r="7" spans="1:30">
      <c r="A7" s="3" t="s">
        <v>261</v>
      </c>
      <c r="B7" s="3" t="s">
        <v>262</v>
      </c>
      <c r="C7" s="3" t="s">
        <v>263</v>
      </c>
      <c r="D7" s="3"/>
      <c r="E7" s="3" t="s">
        <v>191</v>
      </c>
      <c r="F7" s="4">
        <f t="shared" ca="1" si="0"/>
        <v>43845.695864583337</v>
      </c>
      <c r="G7" s="10" t="s">
        <v>264</v>
      </c>
      <c r="H7" s="3" t="s">
        <v>209</v>
      </c>
      <c r="I7" s="3" t="s">
        <v>323</v>
      </c>
      <c r="J7" t="s">
        <v>278</v>
      </c>
      <c r="K7" t="s">
        <v>279</v>
      </c>
      <c r="M7" s="3" t="s">
        <v>329</v>
      </c>
      <c r="N7" s="3" t="s">
        <v>345</v>
      </c>
      <c r="O7" s="3" t="s">
        <v>266</v>
      </c>
      <c r="R7" t="s">
        <v>267</v>
      </c>
      <c r="X7" s="3" t="s">
        <v>146</v>
      </c>
      <c r="Y7" t="s">
        <v>268</v>
      </c>
      <c r="Z7" s="3" t="s">
        <v>331</v>
      </c>
      <c r="AA7" s="3" t="s">
        <v>331</v>
      </c>
      <c r="AD7" s="3" t="s">
        <v>146</v>
      </c>
    </row>
    <row r="8" spans="1:30">
      <c r="A8" s="3" t="s">
        <v>261</v>
      </c>
      <c r="B8" s="3" t="s">
        <v>262</v>
      </c>
      <c r="C8" s="3" t="s">
        <v>263</v>
      </c>
      <c r="D8" s="3"/>
      <c r="E8" s="3" t="s">
        <v>191</v>
      </c>
      <c r="F8" s="4">
        <f t="shared" ca="1" si="0"/>
        <v>43845.695864583337</v>
      </c>
      <c r="G8" s="10" t="s">
        <v>264</v>
      </c>
      <c r="H8" s="3" t="s">
        <v>209</v>
      </c>
      <c r="I8" s="3" t="s">
        <v>323</v>
      </c>
      <c r="J8" t="s">
        <v>278</v>
      </c>
      <c r="K8" t="s">
        <v>279</v>
      </c>
      <c r="M8" s="3" t="s">
        <v>329</v>
      </c>
      <c r="N8" s="3" t="s">
        <v>206</v>
      </c>
      <c r="O8" s="3" t="s">
        <v>266</v>
      </c>
      <c r="R8" t="s">
        <v>267</v>
      </c>
      <c r="X8" s="3" t="s">
        <v>146</v>
      </c>
      <c r="Y8" t="s">
        <v>268</v>
      </c>
      <c r="Z8" s="3" t="s">
        <v>183</v>
      </c>
      <c r="AA8" s="3" t="s">
        <v>355</v>
      </c>
      <c r="AD8" s="3" t="s">
        <v>146</v>
      </c>
    </row>
    <row r="9" spans="1:30">
      <c r="A9" s="3" t="s">
        <v>261</v>
      </c>
      <c r="B9" s="3" t="s">
        <v>262</v>
      </c>
      <c r="C9" s="3" t="s">
        <v>263</v>
      </c>
      <c r="D9" s="3"/>
      <c r="E9" s="3" t="s">
        <v>191</v>
      </c>
      <c r="F9" s="4">
        <f t="shared" ca="1" si="0"/>
        <v>43845.695864583337</v>
      </c>
      <c r="G9" s="10" t="s">
        <v>264</v>
      </c>
      <c r="H9" s="3" t="s">
        <v>209</v>
      </c>
      <c r="I9" s="3" t="s">
        <v>323</v>
      </c>
      <c r="J9" t="s">
        <v>278</v>
      </c>
      <c r="K9" t="s">
        <v>279</v>
      </c>
      <c r="M9" s="3" t="s">
        <v>329</v>
      </c>
      <c r="N9" s="3" t="s">
        <v>346</v>
      </c>
      <c r="O9" s="3" t="s">
        <v>266</v>
      </c>
      <c r="R9" t="s">
        <v>267</v>
      </c>
      <c r="X9" s="3" t="s">
        <v>146</v>
      </c>
      <c r="Y9" t="s">
        <v>268</v>
      </c>
      <c r="Z9" s="3" t="s">
        <v>183</v>
      </c>
      <c r="AA9" s="3" t="s">
        <v>196</v>
      </c>
      <c r="AD9" s="3" t="s">
        <v>146</v>
      </c>
    </row>
    <row r="10" spans="1:30">
      <c r="A10" s="3" t="s">
        <v>261</v>
      </c>
      <c r="B10" s="3" t="s">
        <v>262</v>
      </c>
      <c r="C10" s="3" t="s">
        <v>263</v>
      </c>
      <c r="D10" s="3"/>
      <c r="E10" s="3" t="s">
        <v>191</v>
      </c>
      <c r="F10" s="4">
        <f t="shared" ca="1" si="0"/>
        <v>43845.695864583337</v>
      </c>
      <c r="G10" s="10" t="s">
        <v>264</v>
      </c>
      <c r="H10" s="3" t="s">
        <v>209</v>
      </c>
      <c r="I10" s="3" t="s">
        <v>323</v>
      </c>
      <c r="J10" t="s">
        <v>278</v>
      </c>
      <c r="K10" t="s">
        <v>353</v>
      </c>
      <c r="M10" s="3" t="s">
        <v>329</v>
      </c>
      <c r="N10" s="3" t="s">
        <v>352</v>
      </c>
      <c r="O10" s="3" t="s">
        <v>266</v>
      </c>
      <c r="R10" t="s">
        <v>267</v>
      </c>
      <c r="X10" s="3" t="s">
        <v>146</v>
      </c>
      <c r="Y10" t="s">
        <v>268</v>
      </c>
      <c r="Z10" s="3" t="s">
        <v>354</v>
      </c>
      <c r="AA10" s="3" t="s">
        <v>356</v>
      </c>
      <c r="AD10" s="3" t="s">
        <v>146</v>
      </c>
    </row>
    <row r="11" spans="1:30">
      <c r="A11" s="3" t="s">
        <v>261</v>
      </c>
      <c r="B11" s="3" t="s">
        <v>262</v>
      </c>
      <c r="C11" s="3" t="s">
        <v>263</v>
      </c>
      <c r="D11" s="3"/>
      <c r="E11" s="3" t="s">
        <v>191</v>
      </c>
      <c r="F11" s="4">
        <f t="shared" ca="1" si="0"/>
        <v>43845.695864583337</v>
      </c>
      <c r="G11" s="10" t="s">
        <v>358</v>
      </c>
      <c r="H11" s="3" t="s">
        <v>209</v>
      </c>
      <c r="I11" s="3" t="s">
        <v>323</v>
      </c>
      <c r="J11" t="s">
        <v>278</v>
      </c>
      <c r="M11" s="3" t="s">
        <v>376</v>
      </c>
      <c r="N11" s="3" t="s">
        <v>359</v>
      </c>
      <c r="O11" s="3" t="s">
        <v>360</v>
      </c>
      <c r="P11" s="3" t="s">
        <v>379</v>
      </c>
      <c r="Q11" s="3"/>
      <c r="R11" t="s">
        <v>267</v>
      </c>
      <c r="X11" s="3"/>
      <c r="Z11" s="3"/>
      <c r="AA11" s="3"/>
      <c r="AD11" s="3"/>
    </row>
    <row r="12" spans="1:30">
      <c r="A12" s="3" t="s">
        <v>261</v>
      </c>
      <c r="B12" s="3" t="s">
        <v>262</v>
      </c>
      <c r="C12" s="3" t="s">
        <v>263</v>
      </c>
      <c r="D12" s="3"/>
      <c r="E12" s="3" t="s">
        <v>191</v>
      </c>
      <c r="F12" s="4">
        <f t="shared" ca="1" si="0"/>
        <v>43845.695864583337</v>
      </c>
      <c r="G12" s="10" t="s">
        <v>358</v>
      </c>
      <c r="H12" s="3" t="s">
        <v>209</v>
      </c>
      <c r="I12" s="3" t="s">
        <v>323</v>
      </c>
      <c r="J12" t="s">
        <v>278</v>
      </c>
      <c r="M12" s="3" t="s">
        <v>146</v>
      </c>
      <c r="N12" s="3" t="s">
        <v>363</v>
      </c>
      <c r="O12" s="3" t="s">
        <v>360</v>
      </c>
      <c r="P12" s="3" t="s">
        <v>361</v>
      </c>
      <c r="Q12" s="3" t="s">
        <v>382</v>
      </c>
      <c r="R12" t="s">
        <v>267</v>
      </c>
      <c r="X12" s="3"/>
      <c r="Z12" s="3"/>
      <c r="AA12" s="3"/>
      <c r="AD12" s="3"/>
    </row>
    <row r="13" spans="1:30">
      <c r="A13" s="3" t="s">
        <v>122</v>
      </c>
      <c r="B13" s="3" t="s">
        <v>123</v>
      </c>
      <c r="C13" s="3" t="s">
        <v>263</v>
      </c>
      <c r="D13" s="3"/>
      <c r="E13" s="3" t="s">
        <v>191</v>
      </c>
      <c r="F13" s="4">
        <f t="shared" ca="1" si="0"/>
        <v>43845.695864583337</v>
      </c>
      <c r="G13" s="10" t="s">
        <v>358</v>
      </c>
      <c r="H13" s="3" t="s">
        <v>209</v>
      </c>
      <c r="I13" s="3" t="s">
        <v>191</v>
      </c>
      <c r="J13" t="s">
        <v>278</v>
      </c>
      <c r="M13" s="3" t="s">
        <v>271</v>
      </c>
      <c r="N13" s="3" t="s">
        <v>373</v>
      </c>
      <c r="O13" s="3" t="s">
        <v>172</v>
      </c>
      <c r="P13" s="3" t="s">
        <v>371</v>
      </c>
      <c r="Q13" s="3" t="s">
        <v>383</v>
      </c>
      <c r="R13" t="s">
        <v>267</v>
      </c>
      <c r="X13" s="3"/>
      <c r="Z13" s="3"/>
      <c r="AA13" s="3"/>
      <c r="AD13" s="3"/>
    </row>
    <row r="14" spans="1:30">
      <c r="A14" s="3" t="s">
        <v>122</v>
      </c>
      <c r="B14" s="3" t="s">
        <v>123</v>
      </c>
      <c r="C14" s="3" t="s">
        <v>263</v>
      </c>
      <c r="D14" s="3"/>
      <c r="E14" s="3" t="s">
        <v>191</v>
      </c>
      <c r="F14" s="4">
        <f t="shared" ca="1" si="0"/>
        <v>43845.695864583337</v>
      </c>
      <c r="G14" s="10" t="s">
        <v>358</v>
      </c>
      <c r="H14" s="3" t="s">
        <v>209</v>
      </c>
      <c r="I14" s="3" t="s">
        <v>191</v>
      </c>
      <c r="J14" t="s">
        <v>278</v>
      </c>
      <c r="M14" s="3" t="s">
        <v>271</v>
      </c>
      <c r="N14" s="3" t="s">
        <v>386</v>
      </c>
      <c r="O14" s="3" t="s">
        <v>172</v>
      </c>
      <c r="P14" s="3" t="s">
        <v>330</v>
      </c>
      <c r="Q14" s="3"/>
      <c r="R14" t="s">
        <v>267</v>
      </c>
      <c r="X14" s="3"/>
      <c r="Z14" s="3"/>
      <c r="AA14" s="3"/>
      <c r="AD14" s="3"/>
    </row>
    <row r="15" spans="1:30">
      <c r="A15" s="3" t="s">
        <v>122</v>
      </c>
      <c r="B15" s="3" t="s">
        <v>123</v>
      </c>
      <c r="C15" s="3" t="s">
        <v>263</v>
      </c>
      <c r="D15" s="3"/>
      <c r="E15" s="3" t="s">
        <v>191</v>
      </c>
      <c r="F15" s="4">
        <f t="shared" ca="1" si="0"/>
        <v>43845.695864583337</v>
      </c>
      <c r="G15" s="10" t="s">
        <v>264</v>
      </c>
      <c r="H15" s="3" t="s">
        <v>209</v>
      </c>
      <c r="I15" s="3" t="s">
        <v>191</v>
      </c>
      <c r="J15" t="s">
        <v>275</v>
      </c>
      <c r="K15" t="s">
        <v>218</v>
      </c>
      <c r="M15" s="3" t="s">
        <v>146</v>
      </c>
      <c r="N15" s="3" t="s">
        <v>398</v>
      </c>
      <c r="O15" s="3" t="s">
        <v>146</v>
      </c>
      <c r="R15" t="s">
        <v>267</v>
      </c>
      <c r="X15" s="3" t="s">
        <v>146</v>
      </c>
      <c r="Y15" t="s">
        <v>268</v>
      </c>
      <c r="Z15" s="3" t="s">
        <v>62</v>
      </c>
      <c r="AA15" s="3" t="s">
        <v>146</v>
      </c>
      <c r="AD15" s="3" t="s">
        <v>212</v>
      </c>
    </row>
    <row r="16" spans="1:30">
      <c r="A16" s="3" t="s">
        <v>122</v>
      </c>
      <c r="B16" s="3" t="s">
        <v>123</v>
      </c>
      <c r="C16" s="3" t="s">
        <v>263</v>
      </c>
      <c r="D16" s="3"/>
      <c r="E16" s="3" t="s">
        <v>191</v>
      </c>
      <c r="F16" s="4">
        <f t="shared" ca="1" si="0"/>
        <v>43845.695864583337</v>
      </c>
      <c r="G16" s="10" t="s">
        <v>358</v>
      </c>
      <c r="H16" s="3" t="s">
        <v>209</v>
      </c>
      <c r="I16" s="3" t="s">
        <v>191</v>
      </c>
      <c r="J16" t="s">
        <v>275</v>
      </c>
      <c r="M16" s="3" t="s">
        <v>146</v>
      </c>
      <c r="N16" s="3" t="s">
        <v>402</v>
      </c>
      <c r="O16" s="3" t="s">
        <v>172</v>
      </c>
      <c r="P16" s="3" t="s">
        <v>207</v>
      </c>
      <c r="Q16" s="3"/>
      <c r="R16" t="s">
        <v>267</v>
      </c>
      <c r="X16" s="3"/>
      <c r="Z16" s="3"/>
      <c r="AA16" s="3"/>
      <c r="AD16" s="3"/>
    </row>
    <row r="17" spans="1:30">
      <c r="A17" s="3" t="s">
        <v>122</v>
      </c>
      <c r="B17" s="3" t="s">
        <v>123</v>
      </c>
      <c r="C17" s="3" t="s">
        <v>263</v>
      </c>
      <c r="D17" s="3"/>
      <c r="E17" s="3" t="s">
        <v>191</v>
      </c>
      <c r="F17" s="4">
        <f t="shared" ca="1" si="0"/>
        <v>43845.695864583337</v>
      </c>
      <c r="G17" s="10" t="s">
        <v>264</v>
      </c>
      <c r="H17" s="3" t="s">
        <v>209</v>
      </c>
      <c r="I17" s="3" t="s">
        <v>191</v>
      </c>
      <c r="J17" t="s">
        <v>275</v>
      </c>
      <c r="K17" t="s">
        <v>218</v>
      </c>
      <c r="M17" s="3" t="s">
        <v>271</v>
      </c>
      <c r="N17" s="3" t="s">
        <v>116</v>
      </c>
      <c r="O17" s="3" t="s">
        <v>146</v>
      </c>
      <c r="R17" t="s">
        <v>267</v>
      </c>
      <c r="X17" s="3" t="s">
        <v>146</v>
      </c>
      <c r="Y17" t="s">
        <v>268</v>
      </c>
      <c r="Z17" s="3" t="s">
        <v>62</v>
      </c>
      <c r="AA17" s="3" t="s">
        <v>146</v>
      </c>
      <c r="AD17" s="3" t="s">
        <v>407</v>
      </c>
    </row>
    <row r="18" spans="1:30">
      <c r="A18" s="3" t="s">
        <v>122</v>
      </c>
      <c r="B18" s="3" t="s">
        <v>123</v>
      </c>
      <c r="C18" s="3" t="s">
        <v>263</v>
      </c>
      <c r="D18" s="3"/>
      <c r="E18" s="3" t="s">
        <v>191</v>
      </c>
      <c r="F18" s="4">
        <f t="shared" ca="1" si="0"/>
        <v>43845.695864583337</v>
      </c>
      <c r="G18" s="10" t="s">
        <v>358</v>
      </c>
      <c r="H18" s="3" t="s">
        <v>209</v>
      </c>
      <c r="I18" s="3" t="s">
        <v>191</v>
      </c>
      <c r="J18" t="s">
        <v>275</v>
      </c>
      <c r="L18" t="s">
        <v>416</v>
      </c>
      <c r="M18" s="3" t="s">
        <v>271</v>
      </c>
      <c r="N18" s="3" t="s">
        <v>415</v>
      </c>
      <c r="O18" s="3" t="s">
        <v>172</v>
      </c>
      <c r="P18" s="3" t="s">
        <v>212</v>
      </c>
      <c r="Q18" s="3"/>
      <c r="R18" t="s">
        <v>267</v>
      </c>
      <c r="X18" s="3"/>
      <c r="Z18" s="3"/>
      <c r="AA18" s="3"/>
      <c r="AB18" s="3"/>
      <c r="AC18" s="3"/>
      <c r="AD18" s="3"/>
    </row>
    <row r="19" spans="1:30">
      <c r="A19" s="3" t="s">
        <v>122</v>
      </c>
      <c r="B19" s="3" t="s">
        <v>123</v>
      </c>
      <c r="C19" s="3" t="s">
        <v>263</v>
      </c>
      <c r="D19" s="3"/>
      <c r="E19" s="3" t="s">
        <v>191</v>
      </c>
      <c r="F19" s="4">
        <f t="shared" ca="1" si="0"/>
        <v>43845.695864583337</v>
      </c>
      <c r="G19" s="10" t="s">
        <v>358</v>
      </c>
      <c r="H19" s="3" t="s">
        <v>209</v>
      </c>
      <c r="I19" s="3" t="s">
        <v>191</v>
      </c>
      <c r="J19" t="s">
        <v>275</v>
      </c>
      <c r="L19" t="s">
        <v>416</v>
      </c>
      <c r="M19" s="3" t="s">
        <v>271</v>
      </c>
      <c r="N19" s="3" t="s">
        <v>418</v>
      </c>
      <c r="O19" s="3" t="s">
        <v>172</v>
      </c>
      <c r="P19" s="3" t="s">
        <v>212</v>
      </c>
      <c r="Q19" s="3"/>
      <c r="R19" t="s">
        <v>267</v>
      </c>
      <c r="X19" s="3"/>
      <c r="Z19" s="3"/>
      <c r="AA19" s="3"/>
      <c r="AB19" s="3"/>
      <c r="AC19" s="3"/>
      <c r="AD19" s="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AH27" sqref="AH27"/>
    </sheetView>
  </sheetViews>
  <sheetFormatPr defaultRowHeight="14"/>
  <cols>
    <col min="7" max="7" width="15.5" customWidth="1"/>
    <col min="11" max="11" width="17.5" customWidth="1"/>
    <col min="20" max="20" width="11.5" customWidth="1"/>
  </cols>
  <sheetData>
    <row r="1" spans="1:34">
      <c r="A1" t="s">
        <v>378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102</v>
      </c>
      <c r="I1" t="s">
        <v>6</v>
      </c>
      <c r="J1" t="s">
        <v>32</v>
      </c>
      <c r="K1" t="s">
        <v>137</v>
      </c>
      <c r="L1" t="s">
        <v>47</v>
      </c>
      <c r="M1" t="s">
        <v>37</v>
      </c>
      <c r="N1" t="s">
        <v>225</v>
      </c>
      <c r="O1" t="s">
        <v>226</v>
      </c>
      <c r="P1" t="s">
        <v>227</v>
      </c>
      <c r="Q1" t="s">
        <v>228</v>
      </c>
      <c r="R1" t="s">
        <v>230</v>
      </c>
      <c r="S1" t="s">
        <v>280</v>
      </c>
      <c r="T1" t="s">
        <v>281</v>
      </c>
      <c r="U1" t="s">
        <v>48</v>
      </c>
      <c r="V1" t="s">
        <v>50</v>
      </c>
      <c r="W1" t="s">
        <v>51</v>
      </c>
      <c r="X1" t="s">
        <v>50</v>
      </c>
      <c r="Y1" t="s">
        <v>51</v>
      </c>
      <c r="Z1" t="s">
        <v>231</v>
      </c>
      <c r="AA1" t="s">
        <v>232</v>
      </c>
      <c r="AB1" t="s">
        <v>233</v>
      </c>
      <c r="AC1" t="s">
        <v>55</v>
      </c>
      <c r="AD1" t="s">
        <v>15</v>
      </c>
      <c r="AE1" t="s">
        <v>16</v>
      </c>
      <c r="AF1" t="s">
        <v>282</v>
      </c>
      <c r="AG1" s="1" t="s">
        <v>17</v>
      </c>
      <c r="AH1" t="s">
        <v>283</v>
      </c>
    </row>
    <row r="2" spans="1:34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10</v>
      </c>
      <c r="I2" t="s">
        <v>1</v>
      </c>
      <c r="J2" t="s">
        <v>10</v>
      </c>
      <c r="K2" t="s">
        <v>10</v>
      </c>
      <c r="L2" t="s">
        <v>46</v>
      </c>
      <c r="M2" t="s">
        <v>35</v>
      </c>
      <c r="N2" t="s">
        <v>13</v>
      </c>
      <c r="O2" t="s">
        <v>10</v>
      </c>
      <c r="P2" t="s">
        <v>13</v>
      </c>
      <c r="Q2" t="s">
        <v>10</v>
      </c>
      <c r="R2" t="s">
        <v>100</v>
      </c>
      <c r="S2" t="s">
        <v>10</v>
      </c>
      <c r="T2" t="s">
        <v>10</v>
      </c>
      <c r="U2" t="s">
        <v>49</v>
      </c>
      <c r="V2" t="s">
        <v>10</v>
      </c>
      <c r="W2" t="s">
        <v>13</v>
      </c>
      <c r="X2" t="s">
        <v>10</v>
      </c>
      <c r="Y2" t="s">
        <v>13</v>
      </c>
      <c r="Z2" t="s">
        <v>49</v>
      </c>
      <c r="AA2" t="s">
        <v>10</v>
      </c>
      <c r="AB2" t="s">
        <v>40</v>
      </c>
      <c r="AC2" t="s">
        <v>56</v>
      </c>
      <c r="AD2" t="s">
        <v>13</v>
      </c>
      <c r="AE2" t="s">
        <v>13</v>
      </c>
      <c r="AF2" t="s">
        <v>56</v>
      </c>
      <c r="AG2" t="s">
        <v>10</v>
      </c>
      <c r="AH2" t="s">
        <v>284</v>
      </c>
    </row>
    <row r="3" spans="1:34">
      <c r="B3" s="2" t="s">
        <v>285</v>
      </c>
      <c r="C3" s="2" t="s">
        <v>286</v>
      </c>
      <c r="D3" s="2" t="s">
        <v>287</v>
      </c>
      <c r="E3" s="2" t="s">
        <v>288</v>
      </c>
      <c r="F3" s="2" t="s">
        <v>289</v>
      </c>
      <c r="G3" s="2" t="s">
        <v>290</v>
      </c>
      <c r="H3" s="2" t="s">
        <v>291</v>
      </c>
      <c r="I3" s="2" t="s">
        <v>292</v>
      </c>
      <c r="J3" s="3" t="s">
        <v>293</v>
      </c>
      <c r="K3" s="3" t="s">
        <v>151</v>
      </c>
      <c r="L3" s="3" t="s">
        <v>294</v>
      </c>
      <c r="M3" s="3" t="s">
        <v>77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97</v>
      </c>
      <c r="X3" t="s">
        <v>254</v>
      </c>
      <c r="Y3" t="s">
        <v>255</v>
      </c>
      <c r="Z3" s="3" t="s">
        <v>304</v>
      </c>
      <c r="AA3" s="3" t="s">
        <v>305</v>
      </c>
      <c r="AB3" s="3" t="s">
        <v>306</v>
      </c>
      <c r="AC3" s="3" t="s">
        <v>307</v>
      </c>
      <c r="AD3" s="3" t="s">
        <v>308</v>
      </c>
      <c r="AE3" s="3" t="s">
        <v>309</v>
      </c>
      <c r="AF3" s="3" t="s">
        <v>310</v>
      </c>
      <c r="AG3" s="2" t="s">
        <v>311</v>
      </c>
      <c r="AH3" s="7" t="s">
        <v>312</v>
      </c>
    </row>
    <row r="4" spans="1:34">
      <c r="A4">
        <v>1</v>
      </c>
      <c r="B4" s="3" t="s">
        <v>314</v>
      </c>
      <c r="C4" s="3" t="s">
        <v>315</v>
      </c>
      <c r="D4" s="3" t="s">
        <v>316</v>
      </c>
      <c r="E4" s="3"/>
      <c r="F4" s="3" t="s">
        <v>317</v>
      </c>
      <c r="G4" s="4">
        <f t="shared" ref="G4:G27" ca="1" si="0">NOW()</f>
        <v>43845.695864583337</v>
      </c>
      <c r="H4" s="10" t="s">
        <v>344</v>
      </c>
      <c r="I4" s="3" t="s">
        <v>191</v>
      </c>
      <c r="J4" t="s">
        <v>324</v>
      </c>
      <c r="K4" t="s">
        <v>408</v>
      </c>
      <c r="M4" t="s">
        <v>208</v>
      </c>
      <c r="N4" s="3" t="s">
        <v>146</v>
      </c>
      <c r="O4" s="3" t="s">
        <v>325</v>
      </c>
      <c r="P4" s="3" t="s">
        <v>319</v>
      </c>
      <c r="T4" s="3" t="s">
        <v>327</v>
      </c>
      <c r="Z4" s="3" t="s">
        <v>319</v>
      </c>
      <c r="AA4" t="s">
        <v>268</v>
      </c>
      <c r="AB4" s="3" t="s">
        <v>146</v>
      </c>
      <c r="AC4" s="3" t="s">
        <v>320</v>
      </c>
      <c r="AD4" s="3" t="s">
        <v>321</v>
      </c>
      <c r="AF4" s="3" t="s">
        <v>326</v>
      </c>
      <c r="AG4" s="3" t="s">
        <v>322</v>
      </c>
      <c r="AH4" s="3" t="s">
        <v>377</v>
      </c>
    </row>
    <row r="5" spans="1:34">
      <c r="A5">
        <v>1</v>
      </c>
      <c r="B5" s="3" t="s">
        <v>314</v>
      </c>
      <c r="C5" s="3" t="s">
        <v>315</v>
      </c>
      <c r="D5" s="3" t="s">
        <v>316</v>
      </c>
      <c r="E5" s="3"/>
      <c r="F5" s="3" t="s">
        <v>317</v>
      </c>
      <c r="G5" s="4">
        <f t="shared" ca="1" si="0"/>
        <v>43845.695864583337</v>
      </c>
      <c r="H5" s="10" t="s">
        <v>344</v>
      </c>
      <c r="I5" s="3" t="s">
        <v>191</v>
      </c>
      <c r="J5" t="s">
        <v>324</v>
      </c>
      <c r="K5" t="s">
        <v>409</v>
      </c>
      <c r="M5" t="s">
        <v>208</v>
      </c>
      <c r="N5" s="3" t="s">
        <v>146</v>
      </c>
      <c r="O5" s="3" t="s">
        <v>325</v>
      </c>
      <c r="P5" s="3" t="s">
        <v>319</v>
      </c>
      <c r="T5" s="3" t="s">
        <v>333</v>
      </c>
      <c r="Z5" s="3" t="s">
        <v>319</v>
      </c>
      <c r="AA5" t="s">
        <v>268</v>
      </c>
      <c r="AB5" s="3" t="s">
        <v>146</v>
      </c>
      <c r="AC5" s="3" t="s">
        <v>320</v>
      </c>
      <c r="AD5" s="3" t="s">
        <v>321</v>
      </c>
      <c r="AF5" s="3" t="s">
        <v>334</v>
      </c>
      <c r="AG5" s="3" t="s">
        <v>322</v>
      </c>
      <c r="AH5" s="3" t="s">
        <v>377</v>
      </c>
    </row>
    <row r="6" spans="1:34">
      <c r="A6">
        <v>2</v>
      </c>
      <c r="B6" s="3" t="s">
        <v>314</v>
      </c>
      <c r="C6" s="3" t="s">
        <v>315</v>
      </c>
      <c r="D6" s="3" t="s">
        <v>316</v>
      </c>
      <c r="E6" s="3"/>
      <c r="F6" s="3" t="s">
        <v>317</v>
      </c>
      <c r="G6" s="4">
        <f t="shared" ca="1" si="0"/>
        <v>43845.695864583337</v>
      </c>
      <c r="H6" s="10" t="s">
        <v>343</v>
      </c>
      <c r="I6" s="3" t="s">
        <v>191</v>
      </c>
      <c r="J6" t="s">
        <v>324</v>
      </c>
      <c r="K6" t="s">
        <v>408</v>
      </c>
      <c r="M6" t="s">
        <v>208</v>
      </c>
      <c r="N6" s="3" t="s">
        <v>332</v>
      </c>
      <c r="O6" s="3" t="s">
        <v>330</v>
      </c>
      <c r="P6" s="3" t="s">
        <v>319</v>
      </c>
      <c r="T6" s="3" t="s">
        <v>327</v>
      </c>
      <c r="Z6" s="3" t="s">
        <v>319</v>
      </c>
      <c r="AA6" t="s">
        <v>268</v>
      </c>
      <c r="AB6" s="3" t="s">
        <v>62</v>
      </c>
      <c r="AC6" s="3" t="s">
        <v>320</v>
      </c>
      <c r="AD6" s="3" t="s">
        <v>321</v>
      </c>
      <c r="AF6" s="3" t="s">
        <v>326</v>
      </c>
      <c r="AG6" s="3" t="s">
        <v>322</v>
      </c>
      <c r="AH6" s="3" t="s">
        <v>377</v>
      </c>
    </row>
    <row r="7" spans="1:34">
      <c r="A7">
        <v>2</v>
      </c>
      <c r="B7" s="3" t="s">
        <v>314</v>
      </c>
      <c r="C7" s="3" t="s">
        <v>315</v>
      </c>
      <c r="D7" s="3" t="s">
        <v>316</v>
      </c>
      <c r="E7" s="3"/>
      <c r="F7" s="3" t="s">
        <v>317</v>
      </c>
      <c r="G7" s="4">
        <f t="shared" ca="1" si="0"/>
        <v>43845.695864583337</v>
      </c>
      <c r="H7" s="10" t="s">
        <v>343</v>
      </c>
      <c r="I7" s="3" t="s">
        <v>191</v>
      </c>
      <c r="J7" t="s">
        <v>324</v>
      </c>
      <c r="K7" t="s">
        <v>409</v>
      </c>
      <c r="M7" t="s">
        <v>208</v>
      </c>
      <c r="N7" s="3" t="s">
        <v>332</v>
      </c>
      <c r="O7" s="3" t="s">
        <v>330</v>
      </c>
      <c r="P7" s="3" t="s">
        <v>319</v>
      </c>
      <c r="T7" s="3" t="s">
        <v>333</v>
      </c>
      <c r="Z7" s="3" t="s">
        <v>319</v>
      </c>
      <c r="AA7" t="s">
        <v>268</v>
      </c>
      <c r="AB7" s="3" t="s">
        <v>62</v>
      </c>
      <c r="AC7" s="3" t="s">
        <v>320</v>
      </c>
      <c r="AD7" s="3" t="s">
        <v>321</v>
      </c>
      <c r="AF7" s="3" t="s">
        <v>334</v>
      </c>
      <c r="AG7" s="3" t="s">
        <v>322</v>
      </c>
      <c r="AH7" s="3" t="s">
        <v>377</v>
      </c>
    </row>
    <row r="8" spans="1:34">
      <c r="A8">
        <v>3</v>
      </c>
      <c r="B8" s="3" t="s">
        <v>314</v>
      </c>
      <c r="C8" s="3" t="s">
        <v>315</v>
      </c>
      <c r="D8" s="3" t="s">
        <v>316</v>
      </c>
      <c r="E8" s="3"/>
      <c r="F8" s="3" t="s">
        <v>317</v>
      </c>
      <c r="G8" s="4">
        <f t="shared" ca="1" si="0"/>
        <v>43845.695864583337</v>
      </c>
      <c r="H8" s="10" t="s">
        <v>343</v>
      </c>
      <c r="I8" s="3" t="s">
        <v>191</v>
      </c>
      <c r="J8" t="s">
        <v>337</v>
      </c>
      <c r="K8" t="s">
        <v>408</v>
      </c>
      <c r="M8" t="s">
        <v>218</v>
      </c>
      <c r="N8" s="3" t="s">
        <v>146</v>
      </c>
      <c r="O8" s="3" t="s">
        <v>207</v>
      </c>
      <c r="P8" s="3" t="s">
        <v>319</v>
      </c>
      <c r="T8" s="3" t="s">
        <v>327</v>
      </c>
      <c r="Z8" s="3" t="s">
        <v>319</v>
      </c>
      <c r="AA8" t="s">
        <v>268</v>
      </c>
      <c r="AB8" s="3" t="s">
        <v>183</v>
      </c>
      <c r="AC8" s="3" t="s">
        <v>320</v>
      </c>
      <c r="AD8" s="3" t="s">
        <v>321</v>
      </c>
      <c r="AF8" s="3" t="s">
        <v>326</v>
      </c>
      <c r="AG8" s="3" t="s">
        <v>322</v>
      </c>
      <c r="AH8" s="3" t="s">
        <v>377</v>
      </c>
    </row>
    <row r="9" spans="1:34">
      <c r="A9">
        <v>3</v>
      </c>
      <c r="B9" s="3" t="s">
        <v>314</v>
      </c>
      <c r="C9" s="3" t="s">
        <v>315</v>
      </c>
      <c r="D9" s="3" t="s">
        <v>316</v>
      </c>
      <c r="E9" s="3"/>
      <c r="F9" s="3" t="s">
        <v>317</v>
      </c>
      <c r="G9" s="4">
        <f t="shared" ca="1" si="0"/>
        <v>43845.695864583337</v>
      </c>
      <c r="H9" s="10" t="s">
        <v>343</v>
      </c>
      <c r="I9" s="3" t="s">
        <v>191</v>
      </c>
      <c r="J9" t="s">
        <v>335</v>
      </c>
      <c r="K9" t="s">
        <v>409</v>
      </c>
      <c r="M9" t="s">
        <v>218</v>
      </c>
      <c r="N9" s="3" t="s">
        <v>146</v>
      </c>
      <c r="O9" s="3" t="s">
        <v>207</v>
      </c>
      <c r="P9" s="3" t="s">
        <v>319</v>
      </c>
      <c r="T9" s="3" t="s">
        <v>333</v>
      </c>
      <c r="Z9" s="3" t="s">
        <v>319</v>
      </c>
      <c r="AA9" t="s">
        <v>268</v>
      </c>
      <c r="AB9" s="3" t="s">
        <v>183</v>
      </c>
      <c r="AC9" s="3" t="s">
        <v>320</v>
      </c>
      <c r="AD9" s="3" t="s">
        <v>321</v>
      </c>
      <c r="AF9" s="3" t="s">
        <v>334</v>
      </c>
      <c r="AG9" s="3" t="s">
        <v>322</v>
      </c>
      <c r="AH9" s="3" t="s">
        <v>377</v>
      </c>
    </row>
    <row r="10" spans="1:34">
      <c r="A10">
        <v>4</v>
      </c>
      <c r="B10" s="3" t="s">
        <v>314</v>
      </c>
      <c r="C10" s="3" t="s">
        <v>315</v>
      </c>
      <c r="D10" s="3" t="s">
        <v>316</v>
      </c>
      <c r="E10" s="3"/>
      <c r="F10" s="3" t="s">
        <v>317</v>
      </c>
      <c r="G10" s="4">
        <f t="shared" ca="1" si="0"/>
        <v>43845.695864583337</v>
      </c>
      <c r="H10" s="10" t="s">
        <v>318</v>
      </c>
      <c r="I10" s="3" t="s">
        <v>191</v>
      </c>
      <c r="J10" t="s">
        <v>324</v>
      </c>
      <c r="K10" t="s">
        <v>350</v>
      </c>
      <c r="N10" s="3" t="s">
        <v>332</v>
      </c>
      <c r="O10" s="3" t="s">
        <v>347</v>
      </c>
      <c r="P10" s="3" t="s">
        <v>319</v>
      </c>
      <c r="R10" t="s">
        <v>348</v>
      </c>
      <c r="T10" s="3" t="s">
        <v>62</v>
      </c>
      <c r="Z10" s="3" t="s">
        <v>319</v>
      </c>
      <c r="AA10" t="s">
        <v>268</v>
      </c>
      <c r="AB10" s="3" t="s">
        <v>62</v>
      </c>
      <c r="AC10" s="3" t="s">
        <v>331</v>
      </c>
      <c r="AD10" s="3" t="s">
        <v>61</v>
      </c>
      <c r="AF10" s="3"/>
      <c r="AG10" s="3" t="s">
        <v>322</v>
      </c>
      <c r="AH10" s="3" t="s">
        <v>369</v>
      </c>
    </row>
    <row r="11" spans="1:34">
      <c r="A11">
        <v>5</v>
      </c>
      <c r="B11" s="3" t="s">
        <v>314</v>
      </c>
      <c r="C11" s="3" t="s">
        <v>315</v>
      </c>
      <c r="D11" s="3" t="s">
        <v>316</v>
      </c>
      <c r="E11" s="3"/>
      <c r="F11" s="3" t="s">
        <v>317</v>
      </c>
      <c r="G11" s="4">
        <f t="shared" ca="1" si="0"/>
        <v>43845.695864583337</v>
      </c>
      <c r="H11" s="10" t="s">
        <v>318</v>
      </c>
      <c r="I11" s="3" t="s">
        <v>191</v>
      </c>
      <c r="J11" t="s">
        <v>324</v>
      </c>
      <c r="K11" t="s">
        <v>342</v>
      </c>
      <c r="N11" s="3" t="s">
        <v>332</v>
      </c>
      <c r="O11" s="3" t="s">
        <v>206</v>
      </c>
      <c r="P11" s="3" t="s">
        <v>319</v>
      </c>
      <c r="R11" t="s">
        <v>348</v>
      </c>
      <c r="T11" s="3" t="s">
        <v>62</v>
      </c>
      <c r="Z11" s="3" t="s">
        <v>319</v>
      </c>
      <c r="AA11" t="s">
        <v>268</v>
      </c>
      <c r="AB11" s="3" t="s">
        <v>62</v>
      </c>
      <c r="AC11" s="3" t="s">
        <v>341</v>
      </c>
      <c r="AD11" s="3" t="s">
        <v>61</v>
      </c>
      <c r="AF11" s="3"/>
      <c r="AG11" s="3" t="s">
        <v>322</v>
      </c>
      <c r="AH11" s="3" t="s">
        <v>369</v>
      </c>
    </row>
    <row r="12" spans="1:34">
      <c r="A12">
        <v>6</v>
      </c>
      <c r="B12" s="3" t="s">
        <v>314</v>
      </c>
      <c r="C12" s="3" t="s">
        <v>315</v>
      </c>
      <c r="D12" s="3" t="s">
        <v>316</v>
      </c>
      <c r="E12" s="3"/>
      <c r="F12" s="3" t="s">
        <v>317</v>
      </c>
      <c r="G12" s="4">
        <f t="shared" ca="1" si="0"/>
        <v>43845.695864583337</v>
      </c>
      <c r="H12" s="10" t="s">
        <v>318</v>
      </c>
      <c r="I12" s="3" t="s">
        <v>191</v>
      </c>
      <c r="J12" t="s">
        <v>324</v>
      </c>
      <c r="K12" t="s">
        <v>351</v>
      </c>
      <c r="N12" s="3" t="s">
        <v>332</v>
      </c>
      <c r="O12" s="3" t="s">
        <v>346</v>
      </c>
      <c r="P12" s="3" t="s">
        <v>319</v>
      </c>
      <c r="R12" t="s">
        <v>348</v>
      </c>
      <c r="T12" s="3" t="s">
        <v>62</v>
      </c>
      <c r="Z12" s="3" t="s">
        <v>319</v>
      </c>
      <c r="AA12" t="s">
        <v>268</v>
      </c>
      <c r="AB12" s="3" t="s">
        <v>62</v>
      </c>
      <c r="AC12" s="3" t="s">
        <v>349</v>
      </c>
      <c r="AD12" s="3" t="s">
        <v>61</v>
      </c>
      <c r="AF12" s="3"/>
      <c r="AG12" s="3" t="s">
        <v>322</v>
      </c>
      <c r="AH12" s="3" t="s">
        <v>369</v>
      </c>
    </row>
    <row r="13" spans="1:34">
      <c r="A13">
        <v>7</v>
      </c>
      <c r="B13" s="3" t="s">
        <v>314</v>
      </c>
      <c r="C13" s="3" t="s">
        <v>315</v>
      </c>
      <c r="D13" s="3" t="s">
        <v>316</v>
      </c>
      <c r="E13" s="3"/>
      <c r="F13" s="3" t="s">
        <v>317</v>
      </c>
      <c r="G13" s="4">
        <f t="shared" ca="1" si="0"/>
        <v>43845.695864583337</v>
      </c>
      <c r="H13" s="10" t="s">
        <v>318</v>
      </c>
      <c r="I13" s="3" t="s">
        <v>191</v>
      </c>
      <c r="J13" t="s">
        <v>324</v>
      </c>
      <c r="K13" t="s">
        <v>342</v>
      </c>
      <c r="N13" s="3" t="s">
        <v>332</v>
      </c>
      <c r="O13" s="3" t="s">
        <v>210</v>
      </c>
      <c r="P13" s="3" t="s">
        <v>319</v>
      </c>
      <c r="R13" t="s">
        <v>348</v>
      </c>
      <c r="T13" s="3" t="s">
        <v>62</v>
      </c>
      <c r="Z13" s="3" t="s">
        <v>319</v>
      </c>
      <c r="AA13" t="s">
        <v>268</v>
      </c>
      <c r="AB13" s="3" t="s">
        <v>62</v>
      </c>
      <c r="AC13" s="3" t="s">
        <v>356</v>
      </c>
      <c r="AD13" s="3" t="s">
        <v>61</v>
      </c>
      <c r="AF13" s="3"/>
      <c r="AG13" s="3" t="s">
        <v>322</v>
      </c>
      <c r="AH13" s="3" t="s">
        <v>369</v>
      </c>
    </row>
    <row r="14" spans="1:34">
      <c r="A14">
        <v>8</v>
      </c>
      <c r="B14" s="3" t="s">
        <v>314</v>
      </c>
      <c r="C14" s="3" t="s">
        <v>315</v>
      </c>
      <c r="D14" s="3" t="s">
        <v>316</v>
      </c>
      <c r="E14" s="3"/>
      <c r="F14" s="3" t="s">
        <v>317</v>
      </c>
      <c r="G14" s="4">
        <f t="shared" ca="1" si="0"/>
        <v>43845.695864583337</v>
      </c>
      <c r="H14" s="10" t="s">
        <v>344</v>
      </c>
      <c r="I14" s="3" t="s">
        <v>191</v>
      </c>
      <c r="J14" t="s">
        <v>324</v>
      </c>
      <c r="K14" t="s">
        <v>365</v>
      </c>
      <c r="M14" t="s">
        <v>208</v>
      </c>
      <c r="N14" s="3" t="s">
        <v>146</v>
      </c>
      <c r="O14" s="3" t="s">
        <v>204</v>
      </c>
      <c r="P14" s="3" t="s">
        <v>89</v>
      </c>
      <c r="Q14" s="3"/>
      <c r="T14" s="3" t="s">
        <v>333</v>
      </c>
      <c r="Z14" s="3" t="s">
        <v>319</v>
      </c>
      <c r="AA14" t="s">
        <v>268</v>
      </c>
      <c r="AB14" s="3" t="s">
        <v>146</v>
      </c>
      <c r="AC14" s="3" t="s">
        <v>320</v>
      </c>
      <c r="AD14" s="3" t="s">
        <v>321</v>
      </c>
      <c r="AF14" s="3" t="s">
        <v>334</v>
      </c>
      <c r="AG14" s="3" t="s">
        <v>322</v>
      </c>
      <c r="AH14" s="3" t="s">
        <v>377</v>
      </c>
    </row>
    <row r="15" spans="1:34">
      <c r="A15">
        <v>8</v>
      </c>
      <c r="B15" s="3" t="s">
        <v>314</v>
      </c>
      <c r="C15" s="3" t="s">
        <v>315</v>
      </c>
      <c r="D15" s="3" t="s">
        <v>316</v>
      </c>
      <c r="E15" s="3"/>
      <c r="F15" s="3" t="s">
        <v>317</v>
      </c>
      <c r="G15" s="4">
        <f t="shared" ca="1" si="0"/>
        <v>43845.695864583337</v>
      </c>
      <c r="H15" s="10" t="s">
        <v>344</v>
      </c>
      <c r="I15" s="3" t="s">
        <v>191</v>
      </c>
      <c r="J15" t="s">
        <v>324</v>
      </c>
      <c r="K15" t="s">
        <v>366</v>
      </c>
      <c r="M15" t="s">
        <v>208</v>
      </c>
      <c r="N15" s="3" t="s">
        <v>146</v>
      </c>
      <c r="O15" s="3" t="s">
        <v>368</v>
      </c>
      <c r="P15" s="3" t="s">
        <v>89</v>
      </c>
      <c r="Q15" s="3"/>
      <c r="S15" s="3"/>
      <c r="T15" s="3" t="s">
        <v>333</v>
      </c>
      <c r="Z15" s="3" t="s">
        <v>319</v>
      </c>
      <c r="AA15" t="s">
        <v>268</v>
      </c>
      <c r="AB15" s="3" t="s">
        <v>146</v>
      </c>
      <c r="AC15" s="3" t="s">
        <v>320</v>
      </c>
      <c r="AD15" s="3" t="s">
        <v>321</v>
      </c>
      <c r="AF15" s="3" t="s">
        <v>362</v>
      </c>
      <c r="AG15" s="3" t="s">
        <v>322</v>
      </c>
      <c r="AH15" s="3" t="s">
        <v>377</v>
      </c>
    </row>
    <row r="16" spans="1:34">
      <c r="A16">
        <v>9</v>
      </c>
      <c r="B16" s="3" t="s">
        <v>314</v>
      </c>
      <c r="C16" s="3" t="s">
        <v>315</v>
      </c>
      <c r="D16" s="3" t="s">
        <v>316</v>
      </c>
      <c r="E16" s="3"/>
      <c r="F16" s="3" t="s">
        <v>317</v>
      </c>
      <c r="G16" s="4">
        <f t="shared" ca="1" si="0"/>
        <v>43845.695864583337</v>
      </c>
      <c r="H16" s="10" t="s">
        <v>364</v>
      </c>
      <c r="I16" s="3" t="s">
        <v>191</v>
      </c>
      <c r="J16" t="s">
        <v>324</v>
      </c>
      <c r="K16" t="s">
        <v>367</v>
      </c>
      <c r="N16" s="3" t="s">
        <v>381</v>
      </c>
      <c r="O16" s="3" t="s">
        <v>363</v>
      </c>
      <c r="P16" s="3" t="s">
        <v>89</v>
      </c>
      <c r="Q16" s="3" t="s">
        <v>368</v>
      </c>
      <c r="R16" t="s">
        <v>348</v>
      </c>
      <c r="S16" s="3" t="s">
        <v>380</v>
      </c>
      <c r="T16" s="3" t="s">
        <v>354</v>
      </c>
      <c r="Z16" s="3" t="s">
        <v>319</v>
      </c>
      <c r="AA16" t="s">
        <v>268</v>
      </c>
      <c r="AB16" s="3" t="s">
        <v>61</v>
      </c>
      <c r="AC16" s="3"/>
      <c r="AD16" s="3" t="s">
        <v>321</v>
      </c>
      <c r="AF16" s="3"/>
      <c r="AG16" s="3" t="s">
        <v>322</v>
      </c>
      <c r="AH16" s="3" t="s">
        <v>384</v>
      </c>
    </row>
    <row r="17" spans="1:34">
      <c r="A17">
        <v>10</v>
      </c>
      <c r="B17" s="3" t="s">
        <v>122</v>
      </c>
      <c r="C17" s="3" t="s">
        <v>123</v>
      </c>
      <c r="D17" s="3" t="s">
        <v>316</v>
      </c>
      <c r="E17" s="3"/>
      <c r="F17" s="3" t="s">
        <v>125</v>
      </c>
      <c r="G17" s="4">
        <f t="shared" ca="1" si="0"/>
        <v>43845.695864583337</v>
      </c>
      <c r="H17" s="10" t="s">
        <v>364</v>
      </c>
      <c r="I17" s="3" t="s">
        <v>191</v>
      </c>
      <c r="J17" t="s">
        <v>278</v>
      </c>
      <c r="K17" t="s">
        <v>372</v>
      </c>
      <c r="N17" s="3" t="s">
        <v>375</v>
      </c>
      <c r="O17" s="3" t="s">
        <v>373</v>
      </c>
      <c r="P17" s="3" t="s">
        <v>89</v>
      </c>
      <c r="Q17" s="3" t="s">
        <v>374</v>
      </c>
      <c r="R17" t="s">
        <v>267</v>
      </c>
      <c r="S17" s="3" t="s">
        <v>381</v>
      </c>
      <c r="T17" s="3" t="s">
        <v>271</v>
      </c>
      <c r="Z17" s="3" t="s">
        <v>146</v>
      </c>
      <c r="AA17" t="s">
        <v>268</v>
      </c>
      <c r="AB17" s="3" t="s">
        <v>61</v>
      </c>
      <c r="AC17" s="3"/>
      <c r="AD17" s="3" t="s">
        <v>129</v>
      </c>
      <c r="AF17" s="3"/>
      <c r="AG17" s="3" t="s">
        <v>131</v>
      </c>
      <c r="AH17" s="3" t="s">
        <v>384</v>
      </c>
    </row>
    <row r="18" spans="1:34">
      <c r="A18">
        <v>11</v>
      </c>
      <c r="B18" s="3" t="s">
        <v>122</v>
      </c>
      <c r="C18" s="3" t="s">
        <v>123</v>
      </c>
      <c r="D18" s="3" t="s">
        <v>316</v>
      </c>
      <c r="E18" s="3"/>
      <c r="F18" s="3" t="s">
        <v>125</v>
      </c>
      <c r="G18" s="4">
        <f t="shared" ca="1" si="0"/>
        <v>43845.695864583337</v>
      </c>
      <c r="H18" s="10" t="s">
        <v>344</v>
      </c>
      <c r="I18" s="3" t="s">
        <v>191</v>
      </c>
      <c r="J18" t="s">
        <v>278</v>
      </c>
      <c r="K18" t="s">
        <v>365</v>
      </c>
      <c r="M18" t="s">
        <v>208</v>
      </c>
      <c r="N18" s="3" t="s">
        <v>387</v>
      </c>
      <c r="O18" s="3" t="s">
        <v>388</v>
      </c>
      <c r="P18" s="3" t="s">
        <v>89</v>
      </c>
      <c r="Q18" s="3"/>
      <c r="T18" s="3" t="s">
        <v>212</v>
      </c>
      <c r="Z18" s="3" t="s">
        <v>146</v>
      </c>
      <c r="AA18" t="s">
        <v>268</v>
      </c>
      <c r="AB18" s="3" t="s">
        <v>391</v>
      </c>
      <c r="AC18" s="3" t="s">
        <v>146</v>
      </c>
      <c r="AD18" s="3" t="s">
        <v>129</v>
      </c>
      <c r="AF18" s="3" t="s">
        <v>267</v>
      </c>
      <c r="AG18" s="3" t="s">
        <v>131</v>
      </c>
      <c r="AH18" s="3" t="s">
        <v>377</v>
      </c>
    </row>
    <row r="19" spans="1:34">
      <c r="A19">
        <v>11</v>
      </c>
      <c r="B19" s="3" t="s">
        <v>122</v>
      </c>
      <c r="C19" s="3" t="s">
        <v>123</v>
      </c>
      <c r="D19" s="3" t="s">
        <v>316</v>
      </c>
      <c r="E19" s="3"/>
      <c r="F19" s="3" t="s">
        <v>125</v>
      </c>
      <c r="G19" s="4">
        <f t="shared" ca="1" si="0"/>
        <v>43845.695864583337</v>
      </c>
      <c r="H19" s="10" t="s">
        <v>344</v>
      </c>
      <c r="I19" s="3" t="s">
        <v>191</v>
      </c>
      <c r="J19" t="s">
        <v>278</v>
      </c>
      <c r="K19" t="s">
        <v>366</v>
      </c>
      <c r="M19" t="s">
        <v>208</v>
      </c>
      <c r="N19" s="3" t="s">
        <v>271</v>
      </c>
      <c r="O19" s="3" t="s">
        <v>389</v>
      </c>
      <c r="P19" s="3" t="s">
        <v>89</v>
      </c>
      <c r="Q19" s="3"/>
      <c r="S19" s="3"/>
      <c r="T19" s="3" t="s">
        <v>212</v>
      </c>
      <c r="Z19" s="3" t="s">
        <v>146</v>
      </c>
      <c r="AA19" t="s">
        <v>268</v>
      </c>
      <c r="AB19" s="3" t="s">
        <v>271</v>
      </c>
      <c r="AC19" s="3" t="s">
        <v>146</v>
      </c>
      <c r="AD19" s="3" t="s">
        <v>129</v>
      </c>
      <c r="AF19" s="3" t="s">
        <v>362</v>
      </c>
      <c r="AG19" s="3" t="s">
        <v>131</v>
      </c>
      <c r="AH19" s="3" t="s">
        <v>377</v>
      </c>
    </row>
    <row r="20" spans="1:34">
      <c r="A20">
        <v>12</v>
      </c>
      <c r="B20" s="3" t="s">
        <v>122</v>
      </c>
      <c r="C20" s="3" t="s">
        <v>123</v>
      </c>
      <c r="D20" s="3" t="s">
        <v>316</v>
      </c>
      <c r="E20" s="3"/>
      <c r="F20" s="3" t="s">
        <v>125</v>
      </c>
      <c r="G20" s="4">
        <f t="shared" ca="1" si="0"/>
        <v>43845.695864583337</v>
      </c>
      <c r="H20" s="10" t="s">
        <v>318</v>
      </c>
      <c r="I20" s="3" t="s">
        <v>191</v>
      </c>
      <c r="J20" t="s">
        <v>399</v>
      </c>
      <c r="K20" t="s">
        <v>342</v>
      </c>
      <c r="N20" s="3" t="s">
        <v>400</v>
      </c>
      <c r="O20" s="3" t="s">
        <v>401</v>
      </c>
      <c r="P20" s="3" t="s">
        <v>146</v>
      </c>
      <c r="R20" t="s">
        <v>267</v>
      </c>
      <c r="T20" s="3" t="s">
        <v>62</v>
      </c>
      <c r="Z20" s="3" t="s">
        <v>146</v>
      </c>
      <c r="AA20" t="s">
        <v>268</v>
      </c>
      <c r="AB20" s="3" t="s">
        <v>62</v>
      </c>
      <c r="AC20" s="3" t="s">
        <v>146</v>
      </c>
      <c r="AD20" s="3" t="s">
        <v>61</v>
      </c>
      <c r="AF20" s="3"/>
      <c r="AG20" s="3" t="s">
        <v>131</v>
      </c>
      <c r="AH20" s="3" t="s">
        <v>369</v>
      </c>
    </row>
    <row r="21" spans="1:34">
      <c r="A21">
        <v>13</v>
      </c>
      <c r="B21" s="3" t="s">
        <v>122</v>
      </c>
      <c r="C21" s="3" t="s">
        <v>123</v>
      </c>
      <c r="D21" s="3" t="s">
        <v>316</v>
      </c>
      <c r="E21" s="3"/>
      <c r="F21" s="3" t="s">
        <v>125</v>
      </c>
      <c r="G21" s="4">
        <f t="shared" ca="1" si="0"/>
        <v>43845.695864583337</v>
      </c>
      <c r="H21" s="10" t="s">
        <v>344</v>
      </c>
      <c r="I21" s="3" t="s">
        <v>191</v>
      </c>
      <c r="J21" t="s">
        <v>275</v>
      </c>
      <c r="K21" t="s">
        <v>365</v>
      </c>
      <c r="M21" t="s">
        <v>218</v>
      </c>
      <c r="N21" s="3" t="s">
        <v>400</v>
      </c>
      <c r="O21" s="3" t="s">
        <v>405</v>
      </c>
      <c r="P21" s="3" t="s">
        <v>89</v>
      </c>
      <c r="Q21" s="3"/>
      <c r="T21" s="3" t="s">
        <v>212</v>
      </c>
      <c r="Z21" s="3" t="s">
        <v>146</v>
      </c>
      <c r="AA21" t="s">
        <v>268</v>
      </c>
      <c r="AB21" s="3" t="s">
        <v>391</v>
      </c>
      <c r="AC21" s="3" t="s">
        <v>146</v>
      </c>
      <c r="AD21" s="3" t="s">
        <v>129</v>
      </c>
      <c r="AF21" s="3" t="s">
        <v>267</v>
      </c>
      <c r="AG21" s="3" t="s">
        <v>131</v>
      </c>
      <c r="AH21" s="3" t="s">
        <v>377</v>
      </c>
    </row>
    <row r="22" spans="1:34">
      <c r="A22">
        <v>13</v>
      </c>
      <c r="B22" s="3" t="s">
        <v>122</v>
      </c>
      <c r="C22" s="3" t="s">
        <v>123</v>
      </c>
      <c r="D22" s="3" t="s">
        <v>316</v>
      </c>
      <c r="E22" s="3"/>
      <c r="F22" s="3" t="s">
        <v>125</v>
      </c>
      <c r="G22" s="4">
        <f t="shared" ca="1" si="0"/>
        <v>43845.695864583337</v>
      </c>
      <c r="H22" s="10" t="s">
        <v>344</v>
      </c>
      <c r="I22" s="3" t="s">
        <v>191</v>
      </c>
      <c r="J22" t="s">
        <v>404</v>
      </c>
      <c r="K22" t="s">
        <v>366</v>
      </c>
      <c r="M22" t="s">
        <v>218</v>
      </c>
      <c r="N22" s="3" t="s">
        <v>146</v>
      </c>
      <c r="O22" s="3" t="s">
        <v>403</v>
      </c>
      <c r="P22" s="3" t="s">
        <v>89</v>
      </c>
      <c r="Q22" s="3"/>
      <c r="S22" s="3"/>
      <c r="T22" s="3" t="s">
        <v>212</v>
      </c>
      <c r="Z22" s="3" t="s">
        <v>146</v>
      </c>
      <c r="AA22" t="s">
        <v>268</v>
      </c>
      <c r="AB22" s="3" t="s">
        <v>271</v>
      </c>
      <c r="AC22" s="3" t="s">
        <v>146</v>
      </c>
      <c r="AD22" s="3" t="s">
        <v>129</v>
      </c>
      <c r="AF22" s="3" t="s">
        <v>362</v>
      </c>
      <c r="AG22" s="3" t="s">
        <v>131</v>
      </c>
      <c r="AH22" s="3" t="s">
        <v>377</v>
      </c>
    </row>
    <row r="23" spans="1:34">
      <c r="A23">
        <v>14</v>
      </c>
      <c r="B23" s="3" t="s">
        <v>122</v>
      </c>
      <c r="C23" s="3" t="s">
        <v>123</v>
      </c>
      <c r="D23" s="3" t="s">
        <v>316</v>
      </c>
      <c r="E23" s="3"/>
      <c r="F23" s="3" t="s">
        <v>125</v>
      </c>
      <c r="G23" s="4">
        <f t="shared" ca="1" si="0"/>
        <v>43845.695864583337</v>
      </c>
      <c r="H23" s="10" t="s">
        <v>343</v>
      </c>
      <c r="I23" s="3" t="s">
        <v>191</v>
      </c>
      <c r="J23" t="s">
        <v>275</v>
      </c>
      <c r="K23" t="s">
        <v>408</v>
      </c>
      <c r="M23" t="s">
        <v>218</v>
      </c>
      <c r="N23" s="3" t="s">
        <v>412</v>
      </c>
      <c r="O23" s="3" t="s">
        <v>116</v>
      </c>
      <c r="P23" s="3" t="s">
        <v>411</v>
      </c>
      <c r="T23" s="3" t="s">
        <v>327</v>
      </c>
      <c r="Z23" s="3" t="s">
        <v>146</v>
      </c>
      <c r="AA23" t="s">
        <v>268</v>
      </c>
      <c r="AB23" s="3" t="s">
        <v>183</v>
      </c>
      <c r="AC23" s="3" t="s">
        <v>146</v>
      </c>
      <c r="AD23" s="3" t="s">
        <v>129</v>
      </c>
      <c r="AF23" s="3" t="s">
        <v>326</v>
      </c>
      <c r="AG23" s="3" t="s">
        <v>131</v>
      </c>
      <c r="AH23" s="3" t="s">
        <v>377</v>
      </c>
    </row>
    <row r="24" spans="1:34">
      <c r="A24">
        <v>14</v>
      </c>
      <c r="B24" s="3" t="s">
        <v>122</v>
      </c>
      <c r="C24" s="3" t="s">
        <v>123</v>
      </c>
      <c r="D24" s="3" t="s">
        <v>316</v>
      </c>
      <c r="E24" s="3"/>
      <c r="F24" s="3" t="s">
        <v>125</v>
      </c>
      <c r="G24" s="4">
        <f t="shared" ca="1" si="0"/>
        <v>43845.695864583337</v>
      </c>
      <c r="H24" s="10" t="s">
        <v>343</v>
      </c>
      <c r="I24" s="3" t="s">
        <v>191</v>
      </c>
      <c r="J24" t="s">
        <v>275</v>
      </c>
      <c r="K24" t="s">
        <v>409</v>
      </c>
      <c r="M24" t="s">
        <v>218</v>
      </c>
      <c r="N24" s="3" t="s">
        <v>413</v>
      </c>
      <c r="O24" s="3" t="s">
        <v>410</v>
      </c>
      <c r="P24" s="3" t="s">
        <v>146</v>
      </c>
      <c r="T24" s="3" t="s">
        <v>212</v>
      </c>
      <c r="Z24" s="3" t="s">
        <v>146</v>
      </c>
      <c r="AA24" t="s">
        <v>268</v>
      </c>
      <c r="AB24" s="3" t="s">
        <v>183</v>
      </c>
      <c r="AC24" s="3" t="s">
        <v>146</v>
      </c>
      <c r="AD24" s="3" t="s">
        <v>129</v>
      </c>
      <c r="AF24" s="3" t="s">
        <v>267</v>
      </c>
      <c r="AG24" s="3" t="s">
        <v>131</v>
      </c>
      <c r="AH24" s="3" t="s">
        <v>377</v>
      </c>
    </row>
    <row r="25" spans="1:34">
      <c r="A25">
        <v>15</v>
      </c>
      <c r="B25" s="3" t="s">
        <v>122</v>
      </c>
      <c r="C25" s="3" t="s">
        <v>123</v>
      </c>
      <c r="D25" s="3" t="s">
        <v>316</v>
      </c>
      <c r="E25" s="3"/>
      <c r="F25" s="3" t="s">
        <v>125</v>
      </c>
      <c r="G25" s="4">
        <f t="shared" ca="1" si="0"/>
        <v>43845.695864583337</v>
      </c>
      <c r="H25" s="10" t="s">
        <v>344</v>
      </c>
      <c r="I25" s="3" t="s">
        <v>191</v>
      </c>
      <c r="J25" t="s">
        <v>275</v>
      </c>
      <c r="K25" t="s">
        <v>365</v>
      </c>
      <c r="M25" t="s">
        <v>218</v>
      </c>
      <c r="N25" s="3" t="s">
        <v>271</v>
      </c>
      <c r="O25" s="3" t="s">
        <v>406</v>
      </c>
      <c r="P25" s="3" t="s">
        <v>89</v>
      </c>
      <c r="Q25" s="3"/>
      <c r="T25" s="3" t="s">
        <v>212</v>
      </c>
      <c r="Z25" s="3" t="s">
        <v>146</v>
      </c>
      <c r="AA25" t="s">
        <v>268</v>
      </c>
      <c r="AB25" s="3" t="s">
        <v>391</v>
      </c>
      <c r="AC25" s="3" t="s">
        <v>146</v>
      </c>
      <c r="AD25" s="3" t="s">
        <v>129</v>
      </c>
      <c r="AF25" s="3" t="s">
        <v>267</v>
      </c>
      <c r="AG25" s="3" t="s">
        <v>131</v>
      </c>
      <c r="AH25" s="3" t="s">
        <v>377</v>
      </c>
    </row>
    <row r="26" spans="1:34">
      <c r="A26">
        <v>15</v>
      </c>
      <c r="B26" s="3" t="s">
        <v>122</v>
      </c>
      <c r="C26" s="3" t="s">
        <v>123</v>
      </c>
      <c r="D26" s="3" t="s">
        <v>316</v>
      </c>
      <c r="E26" s="3"/>
      <c r="F26" s="3" t="s">
        <v>125</v>
      </c>
      <c r="G26" s="4">
        <f t="shared" ca="1" si="0"/>
        <v>43845.695864583337</v>
      </c>
      <c r="H26" s="10" t="s">
        <v>344</v>
      </c>
      <c r="I26" s="3" t="s">
        <v>191</v>
      </c>
      <c r="J26" t="s">
        <v>404</v>
      </c>
      <c r="K26" t="s">
        <v>366</v>
      </c>
      <c r="M26" t="s">
        <v>218</v>
      </c>
      <c r="N26" s="3" t="s">
        <v>375</v>
      </c>
      <c r="O26" s="3" t="s">
        <v>406</v>
      </c>
      <c r="P26" s="3" t="s">
        <v>89</v>
      </c>
      <c r="Q26" s="3"/>
      <c r="S26" s="3"/>
      <c r="T26" s="3" t="s">
        <v>212</v>
      </c>
      <c r="Z26" s="3" t="s">
        <v>146</v>
      </c>
      <c r="AA26" t="s">
        <v>268</v>
      </c>
      <c r="AB26" s="3" t="s">
        <v>271</v>
      </c>
      <c r="AC26" s="3" t="s">
        <v>146</v>
      </c>
      <c r="AD26" s="3" t="s">
        <v>129</v>
      </c>
      <c r="AF26" s="3" t="s">
        <v>362</v>
      </c>
      <c r="AG26" s="3" t="s">
        <v>131</v>
      </c>
      <c r="AH26" s="3" t="s">
        <v>377</v>
      </c>
    </row>
    <row r="27" spans="1:34">
      <c r="A27">
        <v>16</v>
      </c>
      <c r="B27" s="3" t="s">
        <v>122</v>
      </c>
      <c r="C27" s="3" t="s">
        <v>123</v>
      </c>
      <c r="D27" s="3" t="s">
        <v>316</v>
      </c>
      <c r="E27" s="3"/>
      <c r="F27" s="3" t="s">
        <v>125</v>
      </c>
      <c r="G27" s="4">
        <f t="shared" ca="1" si="0"/>
        <v>43845.695864583337</v>
      </c>
      <c r="H27" s="10" t="s">
        <v>364</v>
      </c>
      <c r="I27" s="3" t="s">
        <v>191</v>
      </c>
      <c r="J27" t="s">
        <v>275</v>
      </c>
      <c r="K27" t="s">
        <v>367</v>
      </c>
      <c r="N27" s="3" t="s">
        <v>381</v>
      </c>
      <c r="O27" s="3" t="s">
        <v>357</v>
      </c>
      <c r="P27" s="3" t="s">
        <v>89</v>
      </c>
      <c r="Q27" s="3" t="s">
        <v>212</v>
      </c>
      <c r="R27" t="s">
        <v>267</v>
      </c>
      <c r="S27" s="3"/>
      <c r="T27" s="3" t="s">
        <v>271</v>
      </c>
      <c r="Z27" s="3" t="s">
        <v>146</v>
      </c>
      <c r="AA27" t="s">
        <v>268</v>
      </c>
      <c r="AB27" s="3" t="s">
        <v>61</v>
      </c>
      <c r="AC27" s="3"/>
      <c r="AD27" s="3" t="s">
        <v>129</v>
      </c>
      <c r="AF27" s="3"/>
      <c r="AG27" s="3" t="s">
        <v>131</v>
      </c>
      <c r="AH27" s="3" t="s">
        <v>419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1"/>
  <sheetViews>
    <sheetView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P12" sqref="P12"/>
    </sheetView>
  </sheetViews>
  <sheetFormatPr defaultRowHeight="14"/>
  <cols>
    <col min="1" max="1" width="13.4140625" customWidth="1"/>
    <col min="7" max="7" width="17.4140625" customWidth="1"/>
    <col min="8" max="8" width="13.4140625" customWidth="1"/>
    <col min="9" max="9" width="12.25" bestFit="1" customWidth="1"/>
    <col min="35" max="35" width="10.58203125" customWidth="1"/>
  </cols>
  <sheetData>
    <row r="1" spans="1:47">
      <c r="A1" t="s">
        <v>197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101</v>
      </c>
      <c r="J1" t="s">
        <v>102</v>
      </c>
      <c r="K1" t="s">
        <v>31</v>
      </c>
      <c r="L1" t="s">
        <v>54</v>
      </c>
      <c r="M1" t="s">
        <v>33</v>
      </c>
      <c r="N1" t="s">
        <v>133</v>
      </c>
      <c r="O1" t="s">
        <v>134</v>
      </c>
      <c r="P1" t="s">
        <v>135</v>
      </c>
      <c r="Q1" t="s">
        <v>53</v>
      </c>
      <c r="R1" t="s">
        <v>224</v>
      </c>
      <c r="S1" t="s">
        <v>223</v>
      </c>
      <c r="T1" t="s">
        <v>91</v>
      </c>
      <c r="U1" t="s">
        <v>39</v>
      </c>
      <c r="V1" t="s">
        <v>136</v>
      </c>
      <c r="W1" t="s">
        <v>34</v>
      </c>
      <c r="X1" t="s">
        <v>38</v>
      </c>
      <c r="Y1" t="s">
        <v>36</v>
      </c>
      <c r="Z1" t="s">
        <v>32</v>
      </c>
      <c r="AA1" t="s">
        <v>137</v>
      </c>
      <c r="AB1" t="s">
        <v>41</v>
      </c>
      <c r="AC1" t="s">
        <v>47</v>
      </c>
      <c r="AD1" t="s">
        <v>138</v>
      </c>
      <c r="AE1" t="s">
        <v>37</v>
      </c>
      <c r="AF1" t="s">
        <v>43</v>
      </c>
      <c r="AG1" t="s">
        <v>42</v>
      </c>
      <c r="AH1" t="s">
        <v>139</v>
      </c>
      <c r="AI1" t="s">
        <v>140</v>
      </c>
      <c r="AJ1" t="s">
        <v>44</v>
      </c>
      <c r="AK1" t="s">
        <v>99</v>
      </c>
      <c r="AL1" t="s">
        <v>141</v>
      </c>
      <c r="AM1" t="s">
        <v>48</v>
      </c>
      <c r="AN1" t="s">
        <v>55</v>
      </c>
      <c r="AO1" t="s">
        <v>52</v>
      </c>
      <c r="AP1" t="s">
        <v>15</v>
      </c>
      <c r="AQ1" t="s">
        <v>16</v>
      </c>
      <c r="AR1" t="s">
        <v>57</v>
      </c>
      <c r="AS1" s="1" t="s">
        <v>17</v>
      </c>
      <c r="AT1" s="1" t="s">
        <v>216</v>
      </c>
      <c r="AU1" t="s">
        <v>106</v>
      </c>
    </row>
    <row r="2" spans="1:47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10</v>
      </c>
      <c r="L2" t="s">
        <v>38</v>
      </c>
      <c r="M2" t="s">
        <v>13</v>
      </c>
      <c r="N2" t="s">
        <v>40</v>
      </c>
      <c r="O2" t="s">
        <v>134</v>
      </c>
      <c r="P2" t="s">
        <v>10</v>
      </c>
      <c r="Q2" t="s">
        <v>35</v>
      </c>
      <c r="R2" t="s">
        <v>221</v>
      </c>
      <c r="S2" t="s">
        <v>222</v>
      </c>
      <c r="T2" t="s">
        <v>10</v>
      </c>
      <c r="U2" t="s">
        <v>40</v>
      </c>
      <c r="V2" t="s">
        <v>35</v>
      </c>
      <c r="W2" t="s">
        <v>35</v>
      </c>
      <c r="X2" t="s">
        <v>38</v>
      </c>
      <c r="Y2" t="s">
        <v>35</v>
      </c>
      <c r="Z2" t="s">
        <v>10</v>
      </c>
      <c r="AA2" t="s">
        <v>10</v>
      </c>
      <c r="AB2" t="s">
        <v>35</v>
      </c>
      <c r="AC2" t="s">
        <v>46</v>
      </c>
      <c r="AD2" t="s">
        <v>100</v>
      </c>
      <c r="AE2" t="s">
        <v>35</v>
      </c>
      <c r="AF2" t="s">
        <v>38</v>
      </c>
      <c r="AG2" t="s">
        <v>40</v>
      </c>
      <c r="AH2" t="s">
        <v>35</v>
      </c>
      <c r="AI2" t="s">
        <v>40</v>
      </c>
      <c r="AJ2" t="s">
        <v>45</v>
      </c>
      <c r="AK2" t="s">
        <v>100</v>
      </c>
      <c r="AL2" t="s">
        <v>35</v>
      </c>
      <c r="AM2" t="s">
        <v>49</v>
      </c>
      <c r="AN2" t="s">
        <v>56</v>
      </c>
      <c r="AO2" t="s">
        <v>14</v>
      </c>
      <c r="AP2" t="s">
        <v>13</v>
      </c>
      <c r="AQ2" t="s">
        <v>13</v>
      </c>
      <c r="AR2" t="s">
        <v>56</v>
      </c>
      <c r="AS2" t="s">
        <v>10</v>
      </c>
      <c r="AT2" t="s">
        <v>217</v>
      </c>
      <c r="AU2" t="s">
        <v>107</v>
      </c>
    </row>
    <row r="3" spans="1:47">
      <c r="B3" s="2" t="s">
        <v>18</v>
      </c>
      <c r="C3" s="2" t="s">
        <v>19</v>
      </c>
      <c r="D3" s="2" t="s">
        <v>20</v>
      </c>
      <c r="E3" s="2" t="s">
        <v>23</v>
      </c>
      <c r="F3" s="2" t="s">
        <v>21</v>
      </c>
      <c r="G3" s="2" t="s">
        <v>24</v>
      </c>
      <c r="H3" s="2" t="s">
        <v>22</v>
      </c>
      <c r="I3" s="2" t="s">
        <v>113</v>
      </c>
      <c r="J3" s="2" t="s">
        <v>114</v>
      </c>
      <c r="K3" s="3" t="s">
        <v>29</v>
      </c>
      <c r="L3" s="3" t="s">
        <v>67</v>
      </c>
      <c r="M3" s="3" t="s">
        <v>68</v>
      </c>
      <c r="N3" s="3" t="s">
        <v>147</v>
      </c>
      <c r="O3" s="3" t="s">
        <v>148</v>
      </c>
      <c r="P3" s="3" t="s">
        <v>149</v>
      </c>
      <c r="Q3" s="3" t="s">
        <v>69</v>
      </c>
      <c r="R3" s="3" t="s">
        <v>219</v>
      </c>
      <c r="S3" s="3" t="s">
        <v>220</v>
      </c>
      <c r="T3" s="3" t="s">
        <v>93</v>
      </c>
      <c r="U3" s="3" t="s">
        <v>70</v>
      </c>
      <c r="V3" s="3" t="s">
        <v>150</v>
      </c>
      <c r="W3" s="3" t="s">
        <v>71</v>
      </c>
      <c r="X3" s="3" t="s">
        <v>72</v>
      </c>
      <c r="Y3" s="3" t="s">
        <v>73</v>
      </c>
      <c r="Z3" s="3" t="s">
        <v>74</v>
      </c>
      <c r="AA3" s="3" t="s">
        <v>151</v>
      </c>
      <c r="AB3" s="3" t="s">
        <v>75</v>
      </c>
      <c r="AC3" s="3" t="s">
        <v>76</v>
      </c>
      <c r="AD3" s="3" t="s">
        <v>152</v>
      </c>
      <c r="AE3" s="3" t="s">
        <v>77</v>
      </c>
      <c r="AF3" s="3" t="s">
        <v>153</v>
      </c>
      <c r="AG3" s="3" t="s">
        <v>79</v>
      </c>
      <c r="AH3" s="3" t="s">
        <v>154</v>
      </c>
      <c r="AI3" s="3" t="s">
        <v>155</v>
      </c>
      <c r="AJ3" s="3" t="s">
        <v>80</v>
      </c>
      <c r="AK3" s="3" t="s">
        <v>156</v>
      </c>
      <c r="AL3" s="3" t="s">
        <v>157</v>
      </c>
      <c r="AM3" s="3" t="s">
        <v>158</v>
      </c>
      <c r="AN3" s="3" t="s">
        <v>82</v>
      </c>
      <c r="AO3" s="3" t="s">
        <v>83</v>
      </c>
      <c r="AP3" s="3" t="s">
        <v>94</v>
      </c>
      <c r="AQ3" s="3" t="s">
        <v>95</v>
      </c>
      <c r="AR3" s="3" t="s">
        <v>84</v>
      </c>
      <c r="AS3" s="2" t="s">
        <v>25</v>
      </c>
      <c r="AT3" s="2" t="s">
        <v>215</v>
      </c>
      <c r="AU3" s="7" t="s">
        <v>106</v>
      </c>
    </row>
    <row r="4" spans="1:47">
      <c r="A4" t="s">
        <v>198</v>
      </c>
      <c r="B4" s="3" t="s">
        <v>26</v>
      </c>
      <c r="C4" s="3" t="s">
        <v>27</v>
      </c>
      <c r="D4" s="3" t="s">
        <v>18</v>
      </c>
      <c r="E4" s="3" t="s">
        <v>29</v>
      </c>
      <c r="F4" s="3" t="s">
        <v>28</v>
      </c>
      <c r="G4" s="4">
        <f t="shared" ref="G4" ca="1" si="0">NOW()</f>
        <v>43845.695864583337</v>
      </c>
      <c r="H4" s="3" t="s">
        <v>191</v>
      </c>
      <c r="I4" s="3"/>
      <c r="J4" s="3" t="s">
        <v>159</v>
      </c>
      <c r="K4" s="3" t="s">
        <v>191</v>
      </c>
      <c r="L4" s="3" t="s">
        <v>90</v>
      </c>
      <c r="M4" s="3" t="s">
        <v>204</v>
      </c>
      <c r="N4" s="3" t="s">
        <v>90</v>
      </c>
      <c r="P4" s="3" t="s">
        <v>90</v>
      </c>
      <c r="Q4" s="3" t="s">
        <v>90</v>
      </c>
      <c r="R4" s="3"/>
      <c r="S4" s="3"/>
      <c r="T4" s="3" t="s">
        <v>90</v>
      </c>
      <c r="U4" s="3" t="s">
        <v>29</v>
      </c>
      <c r="V4" t="s">
        <v>124</v>
      </c>
      <c r="W4" s="3" t="s">
        <v>62</v>
      </c>
      <c r="X4" s="3" t="s">
        <v>205</v>
      </c>
      <c r="Y4" s="3" t="s">
        <v>29</v>
      </c>
      <c r="Z4" t="s">
        <v>203</v>
      </c>
      <c r="AB4" s="3" t="s">
        <v>90</v>
      </c>
      <c r="AE4" t="s">
        <v>59</v>
      </c>
      <c r="AH4" t="s">
        <v>124</v>
      </c>
      <c r="AI4" s="3" t="s">
        <v>29</v>
      </c>
      <c r="AJ4" t="s">
        <v>60</v>
      </c>
      <c r="AL4" s="3" t="s">
        <v>29</v>
      </c>
      <c r="AN4" s="3" t="s">
        <v>29</v>
      </c>
      <c r="AP4" s="3" t="s">
        <v>129</v>
      </c>
      <c r="AS4" s="3" t="s">
        <v>30</v>
      </c>
      <c r="AT4" s="3"/>
      <c r="AU4" s="3" t="s">
        <v>161</v>
      </c>
    </row>
    <row r="5" spans="1:47"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P5" s="3"/>
      <c r="Q5" s="3"/>
      <c r="R5" s="3"/>
      <c r="S5" s="3"/>
      <c r="T5" s="3"/>
      <c r="U5" s="3"/>
      <c r="V5" s="3"/>
      <c r="W5" s="3"/>
      <c r="X5" s="3"/>
      <c r="Y5" s="3"/>
      <c r="AB5" s="3"/>
      <c r="AH5" s="3"/>
      <c r="AI5" s="3"/>
      <c r="AL5" s="3"/>
      <c r="AN5" s="3"/>
      <c r="AP5" s="3"/>
      <c r="AS5" s="3"/>
      <c r="AT5" s="3"/>
      <c r="AU5" s="3"/>
    </row>
    <row r="6" spans="1:47"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P6" s="3"/>
      <c r="Q6" s="3"/>
      <c r="R6" s="3"/>
      <c r="S6" s="3"/>
      <c r="T6" s="3"/>
      <c r="U6" s="3"/>
      <c r="V6" s="3"/>
      <c r="W6" s="3"/>
      <c r="X6" s="3"/>
      <c r="Y6" s="3"/>
      <c r="AB6" s="3"/>
      <c r="AH6" s="3"/>
      <c r="AI6" s="3"/>
      <c r="AL6" s="3"/>
      <c r="AN6" s="3"/>
      <c r="AP6" s="3"/>
      <c r="AS6" s="3"/>
      <c r="AT6" s="3"/>
      <c r="AU6" s="3"/>
    </row>
    <row r="7" spans="1:47">
      <c r="B7" s="3"/>
      <c r="C7" s="3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P7" s="3"/>
      <c r="Q7" s="3"/>
      <c r="R7" s="3"/>
      <c r="S7" s="3"/>
      <c r="T7" s="3"/>
      <c r="U7" s="3"/>
      <c r="V7" s="3"/>
      <c r="W7" s="3"/>
      <c r="X7" s="3"/>
      <c r="Y7" s="3"/>
      <c r="AB7" s="3"/>
      <c r="AH7" s="3"/>
      <c r="AI7" s="3"/>
      <c r="AL7" s="3"/>
      <c r="AN7" s="3"/>
      <c r="AP7" s="3"/>
      <c r="AS7" s="3"/>
      <c r="AT7" s="3"/>
      <c r="AU7" s="3"/>
    </row>
    <row r="8" spans="1:47">
      <c r="B8" s="3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P8" s="3"/>
      <c r="Q8" s="3"/>
      <c r="R8" s="3"/>
      <c r="S8" s="3"/>
      <c r="T8" s="3"/>
      <c r="U8" s="3"/>
      <c r="V8" s="3"/>
      <c r="W8" s="3"/>
      <c r="X8" s="3"/>
      <c r="Y8" s="3"/>
      <c r="AB8" s="3"/>
      <c r="AH8" s="3"/>
      <c r="AI8" s="3"/>
      <c r="AL8" s="3"/>
      <c r="AN8" s="3"/>
      <c r="AP8" s="3"/>
      <c r="AS8" s="3"/>
      <c r="AT8" s="3"/>
      <c r="AU8" s="3"/>
    </row>
    <row r="9" spans="1:47">
      <c r="B9" s="3"/>
      <c r="C9" s="3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P9" s="3"/>
      <c r="Q9" s="3"/>
      <c r="R9" s="3"/>
      <c r="S9" s="3"/>
      <c r="T9" s="3"/>
      <c r="U9" s="3"/>
      <c r="V9" s="3"/>
      <c r="W9" s="3"/>
      <c r="X9" s="3"/>
      <c r="Y9" s="3"/>
      <c r="AB9" s="3"/>
      <c r="AH9" s="3"/>
      <c r="AI9" s="3"/>
      <c r="AL9" s="3"/>
      <c r="AN9" s="3"/>
      <c r="AP9" s="3"/>
      <c r="AS9" s="3"/>
      <c r="AT9" s="3"/>
      <c r="AU9" s="3"/>
    </row>
    <row r="10" spans="1:47"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P10" s="3"/>
      <c r="Q10" s="3"/>
      <c r="R10" s="3"/>
      <c r="S10" s="3"/>
      <c r="T10" s="3"/>
      <c r="U10" s="3"/>
      <c r="V10" s="3"/>
      <c r="W10" s="3"/>
      <c r="X10" s="3"/>
      <c r="Y10" s="3"/>
      <c r="AB10" s="3"/>
      <c r="AH10" s="3"/>
      <c r="AI10" s="3"/>
      <c r="AL10" s="3"/>
      <c r="AN10" s="3"/>
      <c r="AP10" s="3"/>
      <c r="AS10" s="3"/>
      <c r="AT10" s="3"/>
      <c r="AU10" s="3"/>
    </row>
    <row r="11" spans="1:47"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P11" s="3"/>
      <c r="Q11" s="3"/>
      <c r="R11" s="3"/>
      <c r="S11" s="3"/>
      <c r="T11" s="3"/>
      <c r="U11" s="3"/>
      <c r="W11" s="3"/>
      <c r="X11" s="3"/>
      <c r="Y11" s="3"/>
      <c r="AB11" s="3"/>
      <c r="AI11" s="3"/>
      <c r="AL11" s="3"/>
      <c r="AN11" s="3"/>
      <c r="AP11" s="3"/>
      <c r="AS11" s="3"/>
      <c r="AT11" s="3"/>
      <c r="AU11" s="3"/>
    </row>
    <row r="12" spans="1:47"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P12" s="3"/>
      <c r="Q12" s="3"/>
      <c r="R12" s="3"/>
      <c r="S12" s="3"/>
      <c r="T12" s="3"/>
      <c r="U12" s="3"/>
      <c r="V12" s="3"/>
      <c r="W12" s="3"/>
      <c r="X12" s="3"/>
      <c r="Y12" s="3"/>
      <c r="AB12" s="3"/>
      <c r="AH12" s="3"/>
      <c r="AI12" s="3"/>
      <c r="AL12" s="3"/>
      <c r="AN12" s="3"/>
      <c r="AP12" s="3"/>
      <c r="AS12" s="3"/>
      <c r="AT12" s="3"/>
      <c r="AU12" s="3"/>
    </row>
    <row r="13" spans="1:47"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P13" s="3"/>
      <c r="Q13" s="3"/>
      <c r="R13" s="3"/>
      <c r="S13" s="3"/>
      <c r="T13" s="3"/>
      <c r="U13" s="3"/>
      <c r="V13" s="3"/>
      <c r="W13" s="3"/>
      <c r="X13" s="3"/>
      <c r="Y13" s="3"/>
      <c r="AB13" s="3"/>
      <c r="AH13" s="3"/>
      <c r="AI13" s="3"/>
      <c r="AL13" s="3"/>
      <c r="AN13" s="3"/>
      <c r="AP13" s="3"/>
      <c r="AS13" s="3"/>
      <c r="AT13" s="3"/>
      <c r="AU13" s="3"/>
    </row>
    <row r="14" spans="1:47"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P14" s="3"/>
      <c r="Q14" s="3"/>
      <c r="R14" s="3"/>
      <c r="S14" s="3"/>
      <c r="T14" s="3"/>
      <c r="U14" s="3"/>
      <c r="V14" s="3"/>
      <c r="W14" s="3"/>
      <c r="X14" s="3"/>
      <c r="Y14" s="3"/>
      <c r="AB14" s="3"/>
      <c r="AH14" s="3"/>
      <c r="AI14" s="3"/>
      <c r="AL14" s="3"/>
      <c r="AN14" s="3"/>
      <c r="AP14" s="3"/>
      <c r="AS14" s="3"/>
      <c r="AT14" s="3"/>
      <c r="AU14" s="3"/>
    </row>
    <row r="15" spans="1:47"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3"/>
      <c r="AH15" s="3"/>
      <c r="AI15" s="3"/>
      <c r="AL15" s="3"/>
      <c r="AN15" s="3"/>
      <c r="AP15" s="3"/>
      <c r="AS15" s="3"/>
      <c r="AT15" s="3"/>
      <c r="AU15" s="3"/>
    </row>
    <row r="16" spans="1:47"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P16" s="3"/>
      <c r="Q16" s="3"/>
      <c r="R16" s="3"/>
      <c r="S16" s="3"/>
      <c r="T16" s="3"/>
      <c r="U16" s="3"/>
      <c r="V16" s="3"/>
      <c r="W16" s="3"/>
      <c r="X16" s="3"/>
      <c r="Y16" s="3"/>
      <c r="AB16" s="3"/>
      <c r="AH16" s="3"/>
      <c r="AI16" s="3"/>
      <c r="AL16" s="3"/>
      <c r="AN16" s="3"/>
      <c r="AP16" s="3"/>
      <c r="AS16" s="3"/>
      <c r="AT16" s="3"/>
      <c r="AU16" s="3"/>
    </row>
    <row r="17" spans="2:47"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  <c r="W17" s="3"/>
      <c r="X17" s="3"/>
      <c r="Y17" s="3"/>
      <c r="AB17" s="3"/>
      <c r="AH17" s="3"/>
      <c r="AI17" s="3"/>
      <c r="AL17" s="3"/>
      <c r="AN17" s="3"/>
      <c r="AP17" s="3"/>
      <c r="AS17" s="3"/>
      <c r="AT17" s="3"/>
      <c r="AU17" s="3"/>
    </row>
    <row r="18" spans="2:47"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P18" s="3"/>
      <c r="Q18" s="3"/>
      <c r="R18" s="3"/>
      <c r="S18" s="3"/>
      <c r="T18" s="3"/>
      <c r="U18" s="3"/>
      <c r="W18" s="3"/>
      <c r="X18" s="3"/>
      <c r="Y18" s="3"/>
      <c r="AB18" s="3"/>
      <c r="AI18" s="3"/>
      <c r="AL18" s="3"/>
      <c r="AN18" s="3"/>
      <c r="AP18" s="3"/>
      <c r="AS18" s="3"/>
      <c r="AT18" s="3"/>
      <c r="AU18" s="3"/>
    </row>
    <row r="19" spans="2:47"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P19" s="3"/>
      <c r="Q19" s="3"/>
      <c r="R19" s="3"/>
      <c r="S19" s="3"/>
      <c r="T19" s="3"/>
      <c r="U19" s="3"/>
      <c r="V19" s="3"/>
      <c r="W19" s="3"/>
      <c r="X19" s="3"/>
      <c r="Y19" s="3"/>
      <c r="AB19" s="3"/>
      <c r="AH19" s="3"/>
      <c r="AI19" s="3"/>
      <c r="AL19" s="3"/>
      <c r="AN19" s="3"/>
      <c r="AP19" s="3"/>
      <c r="AS19" s="3"/>
      <c r="AT19" s="3"/>
      <c r="AU19" s="3"/>
    </row>
    <row r="20" spans="2:47"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P20" s="3"/>
      <c r="Q20" s="3"/>
      <c r="R20" s="3"/>
      <c r="S20" s="3"/>
      <c r="T20" s="3"/>
      <c r="U20" s="3"/>
      <c r="V20" s="3"/>
      <c r="W20" s="3"/>
      <c r="X20" s="3"/>
      <c r="Y20" s="3"/>
      <c r="AB20" s="3"/>
      <c r="AH20" s="3"/>
      <c r="AI20" s="3"/>
      <c r="AL20" s="3"/>
      <c r="AN20" s="3"/>
      <c r="AP20" s="3"/>
      <c r="AS20" s="3"/>
      <c r="AT20" s="3"/>
      <c r="AU20" s="3"/>
    </row>
    <row r="21" spans="2:47"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P21" s="3"/>
      <c r="Q21" s="3"/>
      <c r="R21" s="3"/>
      <c r="S21" s="3"/>
      <c r="T21" s="3"/>
      <c r="U21" s="3"/>
      <c r="V21" s="3"/>
      <c r="W21" s="3"/>
      <c r="X21" s="3"/>
      <c r="Y21" s="3"/>
      <c r="AB21" s="3"/>
      <c r="AH21" s="3"/>
      <c r="AI21" s="3"/>
      <c r="AL21" s="3"/>
      <c r="AN21" s="3"/>
      <c r="AP21" s="3"/>
      <c r="AS21" s="3"/>
      <c r="AT21" s="3"/>
      <c r="AU21" s="3"/>
    </row>
    <row r="22" spans="2:47"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P22" s="3"/>
      <c r="Q22" s="3"/>
      <c r="R22" s="3"/>
      <c r="S22" s="3"/>
      <c r="T22" s="3"/>
      <c r="U22" s="3"/>
      <c r="V22" s="3"/>
      <c r="W22" s="3"/>
      <c r="X22" s="3"/>
      <c r="Y22" s="3"/>
      <c r="AB22" s="3"/>
      <c r="AH22" s="3"/>
      <c r="AI22" s="3"/>
      <c r="AL22" s="3"/>
      <c r="AN22" s="3"/>
      <c r="AP22" s="3"/>
      <c r="AS22" s="3"/>
      <c r="AT22" s="3"/>
      <c r="AU22" s="3"/>
    </row>
    <row r="23" spans="2:47"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P23" s="3"/>
      <c r="Q23" s="3"/>
      <c r="R23" s="3"/>
      <c r="S23" s="3"/>
      <c r="T23" s="3"/>
      <c r="U23" s="3"/>
      <c r="V23" s="3"/>
      <c r="W23" s="3"/>
      <c r="X23" s="3"/>
      <c r="Y23" s="3"/>
      <c r="AB23" s="3"/>
      <c r="AH23" s="3"/>
      <c r="AI23" s="3"/>
      <c r="AL23" s="3"/>
      <c r="AN23" s="3"/>
      <c r="AP23" s="3"/>
      <c r="AS23" s="3"/>
      <c r="AT23" s="3"/>
      <c r="AU23" s="3"/>
    </row>
    <row r="24" spans="2:47"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P24" s="3"/>
      <c r="Q24" s="3"/>
      <c r="R24" s="3"/>
      <c r="S24" s="3"/>
      <c r="T24" s="3"/>
      <c r="U24" s="3"/>
      <c r="V24" s="3"/>
      <c r="W24" s="3"/>
      <c r="X24" s="3"/>
      <c r="Y24" s="3"/>
      <c r="AB24" s="3"/>
      <c r="AH24" s="3"/>
      <c r="AI24" s="3"/>
      <c r="AL24" s="3"/>
      <c r="AN24" s="3"/>
      <c r="AP24" s="3"/>
      <c r="AS24" s="3"/>
      <c r="AT24" s="3"/>
      <c r="AU24" s="3"/>
    </row>
    <row r="25" spans="2:47"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P25" s="3"/>
      <c r="Q25" s="3"/>
      <c r="R25" s="3"/>
      <c r="S25" s="3"/>
      <c r="T25" s="3"/>
      <c r="U25" s="3"/>
      <c r="V25" s="3"/>
      <c r="W25" s="3"/>
      <c r="X25" s="3"/>
      <c r="Y25" s="3"/>
      <c r="AB25" s="3"/>
      <c r="AH25" s="3"/>
      <c r="AI25" s="3"/>
      <c r="AL25" s="3"/>
      <c r="AN25" s="3"/>
      <c r="AP25" s="3"/>
      <c r="AS25" s="3"/>
      <c r="AT25" s="3"/>
      <c r="AU25" s="3"/>
    </row>
    <row r="26" spans="2:47"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P26" s="3"/>
      <c r="Q26" s="3"/>
      <c r="R26" s="3"/>
      <c r="S26" s="3"/>
      <c r="T26" s="3"/>
      <c r="U26" s="3"/>
      <c r="V26" s="3"/>
      <c r="W26" s="3"/>
      <c r="X26" s="3"/>
      <c r="Y26" s="3"/>
      <c r="AB26" s="3"/>
      <c r="AH26" s="3"/>
      <c r="AI26" s="3"/>
      <c r="AL26" s="3"/>
      <c r="AN26" s="3"/>
      <c r="AP26" s="3"/>
      <c r="AS26" s="3"/>
      <c r="AT26" s="3"/>
      <c r="AU26" s="3"/>
    </row>
    <row r="27" spans="2:47"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P27" s="3"/>
      <c r="Q27" s="3"/>
      <c r="R27" s="3"/>
      <c r="S27" s="3"/>
      <c r="T27" s="3"/>
      <c r="U27" s="3"/>
      <c r="V27" s="3"/>
      <c r="W27" s="3"/>
      <c r="X27" s="3"/>
      <c r="Y27" s="3"/>
      <c r="AB27" s="3"/>
      <c r="AH27" s="3"/>
      <c r="AI27" s="3"/>
      <c r="AL27" s="3"/>
      <c r="AN27" s="3"/>
      <c r="AP27" s="3"/>
      <c r="AS27" s="3"/>
      <c r="AT27" s="3"/>
      <c r="AU27" s="3"/>
    </row>
    <row r="28" spans="2:47"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P28" s="3"/>
      <c r="Q28" s="3"/>
      <c r="R28" s="3"/>
      <c r="S28" s="3"/>
      <c r="T28" s="3"/>
      <c r="U28" s="3"/>
      <c r="W28" s="3"/>
      <c r="X28" s="3"/>
      <c r="Y28" s="3"/>
      <c r="AB28" s="3"/>
      <c r="AI28" s="3"/>
      <c r="AL28" s="3"/>
      <c r="AN28" s="3"/>
      <c r="AP28" s="3"/>
      <c r="AS28" s="3"/>
      <c r="AT28" s="3"/>
      <c r="AU28" s="3"/>
    </row>
    <row r="29" spans="2:47"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P29" s="3"/>
      <c r="Q29" s="3"/>
      <c r="R29" s="3"/>
      <c r="S29" s="3"/>
      <c r="T29" s="3"/>
      <c r="U29" s="3"/>
      <c r="V29" s="3"/>
      <c r="W29" s="3"/>
      <c r="X29" s="3"/>
      <c r="Y29" s="3"/>
      <c r="AB29" s="3"/>
      <c r="AH29" s="3"/>
      <c r="AI29" s="3"/>
      <c r="AL29" s="3"/>
      <c r="AN29" s="3"/>
      <c r="AP29" s="3"/>
      <c r="AS29" s="3"/>
      <c r="AT29" s="3"/>
      <c r="AU29" s="3"/>
    </row>
    <row r="30" spans="2:47"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P30" s="3"/>
      <c r="Q30" s="3"/>
      <c r="R30" s="3"/>
      <c r="S30" s="3"/>
      <c r="T30" s="3"/>
      <c r="U30" s="3"/>
      <c r="V30" s="3"/>
      <c r="W30" s="3"/>
      <c r="X30" s="3"/>
      <c r="Y30" s="3"/>
      <c r="AB30" s="3"/>
      <c r="AH30" s="3"/>
      <c r="AI30" s="3"/>
      <c r="AL30" s="3"/>
      <c r="AN30" s="3"/>
      <c r="AP30" s="3"/>
      <c r="AS30" s="3"/>
      <c r="AT30" s="3"/>
      <c r="AU30" s="3"/>
    </row>
    <row r="31" spans="2:47"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P31" s="3"/>
      <c r="Q31" s="3"/>
      <c r="R31" s="3"/>
      <c r="S31" s="3"/>
      <c r="T31" s="3"/>
      <c r="U31" s="3"/>
      <c r="V31" s="3"/>
      <c r="W31" s="3"/>
      <c r="X31" s="3"/>
      <c r="Y31" s="3"/>
      <c r="AB31" s="3"/>
      <c r="AH31" s="3"/>
      <c r="AI31" s="3"/>
      <c r="AL31" s="3"/>
      <c r="AN31" s="3"/>
      <c r="AP31" s="3"/>
      <c r="AS31" s="3"/>
      <c r="AT31" s="3"/>
      <c r="AU31" s="3"/>
    </row>
    <row r="32" spans="2:47"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P32" s="3"/>
      <c r="Q32" s="3"/>
      <c r="R32" s="3"/>
      <c r="S32" s="3"/>
      <c r="T32" s="3"/>
      <c r="U32" s="3"/>
      <c r="V32" s="3"/>
      <c r="W32" s="3"/>
      <c r="X32" s="3"/>
      <c r="Y32" s="3"/>
      <c r="AB32" s="3"/>
      <c r="AH32" s="3"/>
      <c r="AI32" s="3"/>
      <c r="AL32" s="3"/>
      <c r="AN32" s="3"/>
      <c r="AP32" s="3"/>
      <c r="AS32" s="3"/>
      <c r="AT32" s="3"/>
      <c r="AU32" s="3"/>
    </row>
    <row r="33" spans="2:47"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P33" s="3"/>
      <c r="Q33" s="3"/>
      <c r="R33" s="3"/>
      <c r="S33" s="3"/>
      <c r="T33" s="3"/>
      <c r="U33" s="3"/>
      <c r="V33" s="3"/>
      <c r="W33" s="3"/>
      <c r="X33" s="3"/>
      <c r="Y33" s="3"/>
      <c r="AB33" s="3"/>
      <c r="AH33" s="3"/>
      <c r="AI33" s="3"/>
      <c r="AL33" s="3"/>
      <c r="AN33" s="3"/>
      <c r="AP33" s="3"/>
      <c r="AS33" s="3"/>
      <c r="AT33" s="3"/>
      <c r="AU33" s="3"/>
    </row>
    <row r="34" spans="2:47"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P34" s="3"/>
      <c r="Q34" s="3"/>
      <c r="R34" s="3"/>
      <c r="S34" s="3"/>
      <c r="T34" s="3"/>
      <c r="U34" s="3"/>
      <c r="V34" s="3"/>
      <c r="W34" s="3"/>
      <c r="X34" s="3"/>
      <c r="Y34" s="3"/>
      <c r="AB34" s="3"/>
      <c r="AH34" s="3"/>
      <c r="AI34" s="3"/>
      <c r="AL34" s="3"/>
      <c r="AN34" s="3"/>
      <c r="AP34" s="3"/>
      <c r="AS34" s="3"/>
      <c r="AT34" s="3"/>
      <c r="AU34" s="3"/>
    </row>
    <row r="35" spans="2:47"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P35" s="3"/>
      <c r="Q35" s="3"/>
      <c r="R35" s="3"/>
      <c r="S35" s="3"/>
      <c r="T35" s="3"/>
      <c r="U35" s="3"/>
      <c r="W35" s="3"/>
      <c r="X35" s="3"/>
      <c r="Y35" s="3"/>
      <c r="AB35" s="3"/>
      <c r="AI35" s="3"/>
      <c r="AL35" s="3"/>
      <c r="AN35" s="3"/>
      <c r="AP35" s="3"/>
      <c r="AS35" s="3"/>
      <c r="AT35" s="3"/>
      <c r="AU35" s="3"/>
    </row>
    <row r="36" spans="2:47"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P36" s="3"/>
      <c r="Q36" s="3"/>
      <c r="R36" s="3"/>
      <c r="S36" s="3"/>
      <c r="T36" s="3"/>
      <c r="U36" s="3"/>
      <c r="V36" s="3"/>
      <c r="W36" s="3"/>
      <c r="X36" s="3"/>
      <c r="Y36" s="3"/>
      <c r="AB36" s="3"/>
      <c r="AH36" s="3"/>
      <c r="AI36" s="3"/>
      <c r="AL36" s="3"/>
      <c r="AN36" s="3"/>
      <c r="AP36" s="3"/>
      <c r="AS36" s="3"/>
      <c r="AT36" s="3"/>
      <c r="AU36" s="3"/>
    </row>
    <row r="37" spans="2:47"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P37" s="3"/>
      <c r="Q37" s="3"/>
      <c r="R37" s="3"/>
      <c r="S37" s="3"/>
      <c r="T37" s="3"/>
      <c r="U37" s="3"/>
      <c r="V37" s="3"/>
      <c r="W37" s="3"/>
      <c r="X37" s="3"/>
      <c r="Y37" s="3"/>
      <c r="AB37" s="3"/>
      <c r="AH37" s="3"/>
      <c r="AI37" s="3"/>
      <c r="AL37" s="3"/>
      <c r="AN37" s="3"/>
      <c r="AP37" s="3"/>
      <c r="AS37" s="3"/>
      <c r="AT37" s="3"/>
      <c r="AU37" s="3"/>
    </row>
    <row r="38" spans="2:47"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P38" s="3"/>
      <c r="Q38" s="3"/>
      <c r="R38" s="3"/>
      <c r="S38" s="3"/>
      <c r="T38" s="3"/>
      <c r="U38" s="3"/>
      <c r="V38" s="3"/>
      <c r="W38" s="3"/>
      <c r="X38" s="3"/>
      <c r="Y38" s="3"/>
      <c r="AB38" s="3"/>
      <c r="AH38" s="3"/>
      <c r="AI38" s="3"/>
      <c r="AL38" s="3"/>
      <c r="AN38" s="3"/>
      <c r="AP38" s="3"/>
      <c r="AS38" s="3"/>
      <c r="AT38" s="3"/>
      <c r="AU38" s="3"/>
    </row>
    <row r="39" spans="2:47"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P39" s="3"/>
      <c r="Q39" s="3"/>
      <c r="R39" s="3"/>
      <c r="S39" s="3"/>
      <c r="T39" s="3"/>
      <c r="U39" s="3"/>
      <c r="V39" s="3"/>
      <c r="W39" s="3"/>
      <c r="X39" s="3"/>
      <c r="Y39" s="3"/>
      <c r="AB39" s="3"/>
      <c r="AH39" s="3"/>
      <c r="AI39" s="3"/>
      <c r="AL39" s="3"/>
      <c r="AN39" s="3"/>
      <c r="AP39" s="3"/>
      <c r="AS39" s="3"/>
      <c r="AT39" s="3"/>
      <c r="AU39" s="3"/>
    </row>
    <row r="40" spans="2:47"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P40" s="3"/>
      <c r="Q40" s="3"/>
      <c r="R40" s="3"/>
      <c r="S40" s="3"/>
      <c r="T40" s="3"/>
      <c r="U40" s="3"/>
      <c r="V40" s="3"/>
      <c r="W40" s="3"/>
      <c r="X40" s="3"/>
      <c r="Y40" s="3"/>
      <c r="AB40" s="3"/>
      <c r="AH40" s="3"/>
      <c r="AI40" s="3"/>
      <c r="AL40" s="3"/>
      <c r="AN40" s="3"/>
      <c r="AP40" s="3"/>
      <c r="AS40" s="3"/>
      <c r="AT40" s="3"/>
      <c r="AU40" s="3"/>
    </row>
    <row r="41" spans="2:47"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3"/>
      <c r="P41" s="3"/>
      <c r="Q41" s="3"/>
      <c r="R41" s="3"/>
      <c r="S41" s="3"/>
      <c r="T41" s="3"/>
      <c r="U41" s="3"/>
      <c r="V41" s="3"/>
      <c r="W41" s="3"/>
      <c r="X41" s="3"/>
      <c r="Y41" s="3"/>
      <c r="AB41" s="3"/>
      <c r="AH41" s="3"/>
      <c r="AI41" s="3"/>
      <c r="AL41" s="3"/>
      <c r="AN41" s="3"/>
      <c r="AP41" s="3"/>
      <c r="AS41" s="3"/>
      <c r="AT41" s="3"/>
      <c r="AU41" s="3"/>
    </row>
    <row r="42" spans="2:47"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  <c r="T42" s="3"/>
      <c r="U42" s="3"/>
      <c r="W42" s="3"/>
      <c r="X42" s="3"/>
      <c r="Y42" s="3"/>
      <c r="AB42" s="3"/>
      <c r="AI42" s="3"/>
      <c r="AL42" s="3"/>
      <c r="AN42" s="3"/>
      <c r="AP42" s="3"/>
      <c r="AS42" s="3"/>
      <c r="AT42" s="3"/>
      <c r="AU42" s="3"/>
    </row>
    <row r="43" spans="2:47"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3"/>
      <c r="P43" s="3"/>
      <c r="Q43" s="3"/>
      <c r="R43" s="3"/>
      <c r="S43" s="3"/>
      <c r="T43" s="3"/>
      <c r="U43" s="3"/>
      <c r="V43" s="3"/>
      <c r="W43" s="3"/>
      <c r="X43" s="3"/>
      <c r="Y43" s="3"/>
      <c r="AB43" s="3"/>
      <c r="AH43" s="3"/>
      <c r="AI43" s="3"/>
      <c r="AL43" s="3"/>
      <c r="AN43" s="3"/>
      <c r="AP43" s="3"/>
      <c r="AS43" s="3"/>
      <c r="AT43" s="3"/>
      <c r="AU43" s="3"/>
    </row>
    <row r="44" spans="2:47"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3"/>
      <c r="P44" s="3"/>
      <c r="Q44" s="3"/>
      <c r="R44" s="3"/>
      <c r="S44" s="3"/>
      <c r="T44" s="3"/>
      <c r="U44" s="3"/>
      <c r="V44" s="3"/>
      <c r="W44" s="3"/>
      <c r="X44" s="3"/>
      <c r="Y44" s="3"/>
      <c r="AB44" s="3"/>
      <c r="AH44" s="3"/>
      <c r="AI44" s="3"/>
      <c r="AL44" s="3"/>
      <c r="AN44" s="3"/>
      <c r="AP44" s="3"/>
      <c r="AS44" s="3"/>
      <c r="AT44" s="3"/>
      <c r="AU44" s="3"/>
    </row>
    <row r="45" spans="2:47"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3"/>
      <c r="P45" s="3"/>
      <c r="Q45" s="3"/>
      <c r="R45" s="3"/>
      <c r="S45" s="3"/>
      <c r="T45" s="3"/>
      <c r="U45" s="3"/>
      <c r="V45" s="3"/>
      <c r="W45" s="3"/>
      <c r="X45" s="3"/>
      <c r="Y45" s="3"/>
      <c r="AB45" s="3"/>
      <c r="AH45" s="3"/>
      <c r="AI45" s="3"/>
      <c r="AL45" s="3"/>
      <c r="AN45" s="3"/>
      <c r="AP45" s="3"/>
      <c r="AS45" s="3"/>
      <c r="AT45" s="3"/>
      <c r="AU45" s="3"/>
    </row>
    <row r="46" spans="2:47"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3"/>
      <c r="P46" s="3"/>
      <c r="Q46" s="3"/>
      <c r="R46" s="3"/>
      <c r="S46" s="3"/>
      <c r="T46" s="3"/>
      <c r="U46" s="3"/>
      <c r="V46" s="3"/>
      <c r="W46" s="3"/>
      <c r="X46" s="3"/>
      <c r="Y46" s="3"/>
      <c r="AB46" s="3"/>
      <c r="AH46" s="3"/>
      <c r="AI46" s="3"/>
      <c r="AL46" s="3"/>
      <c r="AN46" s="3"/>
      <c r="AP46" s="3"/>
      <c r="AS46" s="3"/>
      <c r="AT46" s="3"/>
      <c r="AU46" s="3"/>
    </row>
    <row r="47" spans="2:47"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3"/>
      <c r="P47" s="3"/>
      <c r="Q47" s="3"/>
      <c r="R47" s="3"/>
      <c r="S47" s="3"/>
      <c r="T47" s="3"/>
      <c r="U47" s="3"/>
      <c r="V47" s="3"/>
      <c r="W47" s="3"/>
      <c r="X47" s="3"/>
      <c r="Y47" s="3"/>
      <c r="AB47" s="3"/>
      <c r="AH47" s="3"/>
      <c r="AI47" s="3"/>
      <c r="AL47" s="3"/>
      <c r="AN47" s="3"/>
      <c r="AP47" s="3"/>
      <c r="AS47" s="3"/>
      <c r="AT47" s="3"/>
      <c r="AU47" s="3"/>
    </row>
    <row r="48" spans="2:47"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3"/>
      <c r="P48" s="3"/>
      <c r="Q48" s="3"/>
      <c r="R48" s="3"/>
      <c r="S48" s="3"/>
      <c r="T48" s="3"/>
      <c r="U48" s="3"/>
      <c r="W48" s="3"/>
      <c r="X48" s="3"/>
      <c r="Y48" s="3"/>
      <c r="AB48" s="3"/>
      <c r="AI48" s="3"/>
      <c r="AL48" s="3"/>
      <c r="AN48" s="3"/>
      <c r="AP48" s="3"/>
      <c r="AS48" s="3"/>
      <c r="AT48" s="3"/>
      <c r="AU48" s="3"/>
    </row>
    <row r="49" spans="2:47"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3"/>
      <c r="P49" s="3"/>
      <c r="Q49" s="3"/>
      <c r="R49" s="3"/>
      <c r="S49" s="3"/>
      <c r="T49" s="3"/>
      <c r="U49" s="3"/>
      <c r="V49" s="3"/>
      <c r="W49" s="3"/>
      <c r="X49" s="3"/>
      <c r="Y49" s="3"/>
      <c r="AB49" s="3"/>
      <c r="AH49" s="3"/>
      <c r="AI49" s="3"/>
      <c r="AL49" s="3"/>
      <c r="AN49" s="3"/>
      <c r="AP49" s="3"/>
      <c r="AS49" s="3"/>
      <c r="AT49" s="3"/>
      <c r="AU49" s="3"/>
    </row>
    <row r="50" spans="2:47"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3"/>
      <c r="P50" s="3"/>
      <c r="Q50" s="3"/>
      <c r="R50" s="3"/>
      <c r="S50" s="3"/>
      <c r="T50" s="3"/>
      <c r="U50" s="3"/>
      <c r="V50" s="3"/>
      <c r="W50" s="3"/>
      <c r="X50" s="3"/>
      <c r="Y50" s="3"/>
      <c r="AB50" s="3"/>
      <c r="AH50" s="3"/>
      <c r="AI50" s="3"/>
      <c r="AL50" s="3"/>
      <c r="AN50" s="3"/>
      <c r="AP50" s="3"/>
      <c r="AS50" s="3"/>
      <c r="AT50" s="3"/>
      <c r="AU50" s="3"/>
    </row>
    <row r="51" spans="2:47"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3"/>
      <c r="P51" s="3"/>
      <c r="Q51" s="3"/>
      <c r="R51" s="3"/>
      <c r="S51" s="3"/>
      <c r="T51" s="3"/>
      <c r="U51" s="3"/>
      <c r="V51" s="3"/>
      <c r="W51" s="3"/>
      <c r="X51" s="3"/>
      <c r="Y51" s="3"/>
      <c r="AB51" s="3"/>
      <c r="AH51" s="3"/>
      <c r="AI51" s="3"/>
      <c r="AL51" s="3"/>
      <c r="AN51" s="3"/>
      <c r="AP51" s="3"/>
      <c r="AS51" s="3"/>
      <c r="AT51" s="3"/>
      <c r="AU51" s="3"/>
    </row>
    <row r="52" spans="2:47"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3"/>
      <c r="P52" s="3"/>
      <c r="Q52" s="3"/>
      <c r="R52" s="3"/>
      <c r="S52" s="3"/>
      <c r="T52" s="3"/>
      <c r="U52" s="3"/>
      <c r="V52" s="3"/>
      <c r="W52" s="3"/>
      <c r="X52" s="3"/>
      <c r="Y52" s="3"/>
      <c r="AB52" s="3"/>
      <c r="AH52" s="3"/>
      <c r="AI52" s="3"/>
      <c r="AL52" s="3"/>
      <c r="AN52" s="3"/>
      <c r="AP52" s="3"/>
      <c r="AS52" s="3"/>
      <c r="AT52" s="3"/>
      <c r="AU52" s="3"/>
    </row>
    <row r="53" spans="2:47"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3"/>
      <c r="P53" s="3"/>
      <c r="Q53" s="3"/>
      <c r="R53" s="3"/>
      <c r="S53" s="3"/>
      <c r="T53" s="3"/>
      <c r="U53" s="3"/>
      <c r="V53" s="3"/>
      <c r="W53" s="3"/>
      <c r="X53" s="3"/>
      <c r="Y53" s="3"/>
      <c r="AB53" s="3"/>
      <c r="AH53" s="3"/>
      <c r="AI53" s="3"/>
      <c r="AL53" s="3"/>
      <c r="AN53" s="3"/>
      <c r="AP53" s="3"/>
      <c r="AS53" s="3"/>
      <c r="AT53" s="3"/>
      <c r="AU53" s="3"/>
    </row>
    <row r="54" spans="2:47"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3"/>
      <c r="P54" s="3"/>
      <c r="Q54" s="3"/>
      <c r="R54" s="3"/>
      <c r="S54" s="3"/>
      <c r="T54" s="3"/>
      <c r="U54" s="3"/>
      <c r="V54" s="3"/>
      <c r="W54" s="3"/>
      <c r="X54" s="3"/>
      <c r="Y54" s="3"/>
      <c r="AB54" s="3"/>
      <c r="AH54" s="3"/>
      <c r="AI54" s="3"/>
      <c r="AL54" s="3"/>
      <c r="AN54" s="3"/>
      <c r="AP54" s="3"/>
      <c r="AS54" s="3"/>
      <c r="AT54" s="3"/>
      <c r="AU54" s="3"/>
    </row>
    <row r="55" spans="2:47"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3"/>
      <c r="P55" s="3"/>
      <c r="Q55" s="3"/>
      <c r="R55" s="3"/>
      <c r="S55" s="3"/>
      <c r="T55" s="3"/>
      <c r="U55" s="3"/>
      <c r="V55" s="3"/>
      <c r="W55" s="3"/>
      <c r="X55" s="3"/>
      <c r="Y55" s="3"/>
      <c r="AB55" s="3"/>
      <c r="AH55" s="3"/>
      <c r="AI55" s="3"/>
      <c r="AL55" s="3"/>
      <c r="AN55" s="3"/>
      <c r="AP55" s="3"/>
      <c r="AS55" s="3"/>
      <c r="AT55" s="3"/>
      <c r="AU55" s="3"/>
    </row>
    <row r="56" spans="2:47"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3"/>
      <c r="P56" s="3"/>
      <c r="Q56" s="3"/>
      <c r="R56" s="3"/>
      <c r="S56" s="3"/>
      <c r="T56" s="3"/>
      <c r="U56" s="3"/>
      <c r="V56" s="3"/>
      <c r="W56" s="3"/>
      <c r="X56" s="3"/>
      <c r="Y56" s="3"/>
      <c r="AB56" s="3"/>
      <c r="AH56" s="3"/>
      <c r="AI56" s="3"/>
      <c r="AL56" s="3"/>
      <c r="AN56" s="3"/>
      <c r="AP56" s="3"/>
      <c r="AS56" s="3"/>
      <c r="AT56" s="3"/>
      <c r="AU56" s="3"/>
    </row>
    <row r="57" spans="2:47"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3"/>
      <c r="P57" s="3"/>
      <c r="Q57" s="3"/>
      <c r="R57" s="3"/>
      <c r="S57" s="3"/>
      <c r="T57" s="3"/>
      <c r="U57" s="3"/>
      <c r="V57" s="3"/>
      <c r="W57" s="3"/>
      <c r="X57" s="3"/>
      <c r="Y57" s="3"/>
      <c r="AB57" s="3"/>
      <c r="AH57" s="3"/>
      <c r="AI57" s="3"/>
      <c r="AL57" s="3"/>
      <c r="AN57" s="3"/>
      <c r="AP57" s="3"/>
      <c r="AS57" s="3"/>
      <c r="AT57" s="3"/>
      <c r="AU57" s="3"/>
    </row>
    <row r="58" spans="2:47"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3"/>
      <c r="P58" s="3"/>
      <c r="Q58" s="3"/>
      <c r="R58" s="3"/>
      <c r="S58" s="3"/>
      <c r="T58" s="3"/>
      <c r="U58" s="3"/>
      <c r="V58" s="3"/>
      <c r="W58" s="3"/>
      <c r="X58" s="3"/>
      <c r="Y58" s="3"/>
      <c r="AB58" s="3"/>
      <c r="AH58" s="3"/>
      <c r="AI58" s="3"/>
      <c r="AL58" s="3"/>
      <c r="AN58" s="3"/>
      <c r="AP58" s="3"/>
      <c r="AS58" s="3"/>
      <c r="AT58" s="3"/>
      <c r="AU58" s="3"/>
    </row>
    <row r="59" spans="2:47"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3"/>
      <c r="P59" s="3"/>
      <c r="Q59" s="3"/>
      <c r="R59" s="3"/>
      <c r="S59" s="3"/>
      <c r="T59" s="3"/>
      <c r="U59" s="3"/>
      <c r="V59" s="3"/>
      <c r="W59" s="3"/>
      <c r="X59" s="3"/>
      <c r="Y59" s="3"/>
      <c r="AB59" s="3"/>
      <c r="AH59" s="3"/>
      <c r="AI59" s="3"/>
      <c r="AL59" s="3"/>
      <c r="AN59" s="3"/>
      <c r="AP59" s="3"/>
      <c r="AS59" s="3"/>
      <c r="AT59" s="3"/>
      <c r="AU59" s="3"/>
    </row>
    <row r="60" spans="2:47"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W60" s="3"/>
      <c r="X60" s="3"/>
      <c r="Y60" s="3"/>
      <c r="AB60" s="3"/>
      <c r="AI60" s="3"/>
      <c r="AL60" s="3"/>
      <c r="AN60" s="3"/>
      <c r="AP60" s="3"/>
      <c r="AS60" s="3"/>
      <c r="AT60" s="3"/>
      <c r="AU60" s="3"/>
    </row>
    <row r="61" spans="2:47"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3"/>
      <c r="P61" s="3"/>
      <c r="Q61" s="3"/>
      <c r="R61" s="3"/>
      <c r="S61" s="3"/>
      <c r="T61" s="3"/>
      <c r="U61" s="3"/>
      <c r="V61" s="3"/>
      <c r="W61" s="3"/>
      <c r="X61" s="3"/>
      <c r="Y61" s="3"/>
      <c r="AB61" s="3"/>
      <c r="AH61" s="3"/>
      <c r="AI61" s="3"/>
      <c r="AL61" s="3"/>
      <c r="AN61" s="3"/>
      <c r="AP61" s="3"/>
      <c r="AS61" s="3"/>
      <c r="AT61" s="3"/>
      <c r="AU61" s="3"/>
    </row>
    <row r="62" spans="2:47"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3"/>
      <c r="P62" s="3"/>
      <c r="Q62" s="3"/>
      <c r="R62" s="3"/>
      <c r="S62" s="3"/>
      <c r="T62" s="3"/>
      <c r="U62" s="3"/>
      <c r="W62" s="3"/>
      <c r="X62" s="3"/>
      <c r="Y62" s="3"/>
      <c r="AB62" s="3"/>
      <c r="AI62" s="3"/>
      <c r="AL62" s="3"/>
      <c r="AN62" s="3"/>
      <c r="AP62" s="3"/>
      <c r="AS62" s="3"/>
      <c r="AT62" s="3"/>
      <c r="AU62" s="3"/>
    </row>
    <row r="63" spans="2:47"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3"/>
      <c r="P63" s="3"/>
      <c r="Q63" s="3"/>
      <c r="R63" s="3"/>
      <c r="S63" s="3"/>
      <c r="T63" s="3"/>
      <c r="U63" s="3"/>
      <c r="V63" s="3"/>
      <c r="W63" s="3"/>
      <c r="X63" s="3"/>
      <c r="Y63" s="3"/>
      <c r="AB63" s="3"/>
      <c r="AH63" s="3"/>
      <c r="AI63" s="3"/>
      <c r="AL63" s="3"/>
      <c r="AN63" s="3"/>
      <c r="AP63" s="3"/>
      <c r="AS63" s="3"/>
      <c r="AT63" s="3"/>
      <c r="AU63" s="3"/>
    </row>
    <row r="64" spans="2:47"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3"/>
      <c r="P64" s="3"/>
      <c r="Q64" s="3"/>
      <c r="R64" s="3"/>
      <c r="S64" s="3"/>
      <c r="T64" s="3"/>
      <c r="U64" s="3"/>
      <c r="V64" s="3"/>
      <c r="W64" s="3"/>
      <c r="X64" s="3"/>
      <c r="Y64" s="3"/>
      <c r="AB64" s="3"/>
      <c r="AH64" s="3"/>
      <c r="AI64" s="3"/>
      <c r="AL64" s="3"/>
      <c r="AN64" s="3"/>
      <c r="AP64" s="3"/>
      <c r="AS64" s="3"/>
      <c r="AT64" s="3"/>
      <c r="AU64" s="3"/>
    </row>
    <row r="65" spans="2:47"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3"/>
      <c r="P65" s="3"/>
      <c r="Q65" s="3"/>
      <c r="R65" s="3"/>
      <c r="S65" s="3"/>
      <c r="T65" s="3"/>
      <c r="U65" s="3"/>
      <c r="V65" s="3"/>
      <c r="W65" s="3"/>
      <c r="X65" s="3"/>
      <c r="Y65" s="3"/>
      <c r="AB65" s="3"/>
      <c r="AH65" s="3"/>
      <c r="AI65" s="3"/>
      <c r="AL65" s="3"/>
      <c r="AN65" s="3"/>
      <c r="AP65" s="3"/>
      <c r="AS65" s="3"/>
      <c r="AT65" s="3"/>
      <c r="AU65" s="3"/>
    </row>
    <row r="66" spans="2:47"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3"/>
      <c r="P66" s="3"/>
      <c r="Q66" s="3"/>
      <c r="R66" s="3"/>
      <c r="S66" s="3"/>
      <c r="T66" s="3"/>
      <c r="U66" s="3"/>
      <c r="V66" s="3"/>
      <c r="W66" s="3"/>
      <c r="X66" s="3"/>
      <c r="Y66" s="3"/>
      <c r="AB66" s="3"/>
      <c r="AH66" s="3"/>
      <c r="AI66" s="3"/>
      <c r="AL66" s="3"/>
      <c r="AN66" s="3"/>
      <c r="AP66" s="3"/>
      <c r="AS66" s="3"/>
      <c r="AT66" s="3"/>
      <c r="AU66" s="3"/>
    </row>
    <row r="67" spans="2:47"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3"/>
      <c r="P67" s="3"/>
      <c r="Q67" s="3"/>
      <c r="R67" s="3"/>
      <c r="S67" s="3"/>
      <c r="T67" s="3"/>
      <c r="U67" s="3"/>
      <c r="V67" s="3"/>
      <c r="W67" s="3"/>
      <c r="X67" s="3"/>
      <c r="Y67" s="3"/>
      <c r="AB67" s="3"/>
      <c r="AH67" s="3"/>
      <c r="AI67" s="3"/>
      <c r="AL67" s="3"/>
      <c r="AN67" s="3"/>
      <c r="AP67" s="3"/>
      <c r="AS67" s="3"/>
      <c r="AT67" s="3"/>
      <c r="AU67" s="3"/>
    </row>
    <row r="68" spans="2:47"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3"/>
      <c r="P68" s="3"/>
      <c r="Q68" s="3"/>
      <c r="R68" s="3"/>
      <c r="S68" s="3"/>
      <c r="T68" s="3"/>
      <c r="U68" s="3"/>
      <c r="V68" s="3"/>
      <c r="W68" s="3"/>
      <c r="X68" s="3"/>
      <c r="Y68" s="3"/>
      <c r="AB68" s="3"/>
      <c r="AH68" s="3"/>
      <c r="AI68" s="3"/>
      <c r="AL68" s="3"/>
      <c r="AN68" s="3"/>
      <c r="AP68" s="3"/>
      <c r="AS68" s="3"/>
      <c r="AT68" s="3"/>
      <c r="AU68" s="3"/>
    </row>
    <row r="69" spans="2:47"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P69" s="3"/>
      <c r="Q69" s="3"/>
      <c r="R69" s="3"/>
      <c r="S69" s="3"/>
      <c r="T69" s="3"/>
      <c r="U69" s="3"/>
      <c r="V69" s="3"/>
      <c r="W69" s="3"/>
      <c r="X69" s="3"/>
      <c r="Y69" s="3"/>
      <c r="AB69" s="3"/>
      <c r="AH69" s="3"/>
      <c r="AI69" s="3"/>
      <c r="AL69" s="3"/>
      <c r="AN69" s="3"/>
      <c r="AP69" s="3"/>
      <c r="AS69" s="3"/>
      <c r="AU69" s="3"/>
    </row>
    <row r="70" spans="2:47"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P70" s="3"/>
      <c r="Q70" s="3"/>
      <c r="R70" s="3"/>
      <c r="S70" s="3"/>
      <c r="T70" s="3"/>
      <c r="U70" s="3"/>
      <c r="V70" s="3"/>
      <c r="W70" s="3"/>
      <c r="X70" s="3"/>
      <c r="Y70" s="3"/>
      <c r="AB70" s="3"/>
      <c r="AH70" s="3"/>
      <c r="AI70" s="3"/>
      <c r="AL70" s="3"/>
      <c r="AN70" s="3"/>
      <c r="AP70" s="3"/>
      <c r="AS70" s="3"/>
      <c r="AT70" s="3"/>
      <c r="AU70" s="3"/>
    </row>
    <row r="71" spans="2:47"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P71" s="3"/>
      <c r="Q71" s="3"/>
      <c r="R71" s="3"/>
      <c r="S71" s="3"/>
      <c r="T71" s="3"/>
      <c r="U71" s="3"/>
      <c r="V71" s="3"/>
      <c r="W71" s="3"/>
      <c r="X71" s="3"/>
      <c r="Y71" s="3"/>
      <c r="AB71" s="3"/>
      <c r="AH71" s="3"/>
      <c r="AI71" s="3"/>
      <c r="AL71" s="3"/>
      <c r="AN71" s="3"/>
      <c r="AP71" s="3"/>
      <c r="AS71" s="3"/>
      <c r="AT71" s="3"/>
      <c r="AU71" s="3"/>
    </row>
    <row r="72" spans="2:47"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P72" s="3"/>
      <c r="Q72" s="3"/>
      <c r="R72" s="3"/>
      <c r="S72" s="3"/>
      <c r="T72" s="3"/>
      <c r="U72" s="3"/>
      <c r="V72" s="3"/>
      <c r="W72" s="3"/>
      <c r="X72" s="3"/>
      <c r="Y72" s="3"/>
      <c r="AB72" s="3"/>
      <c r="AH72" s="3"/>
      <c r="AI72" s="3"/>
      <c r="AL72" s="3"/>
      <c r="AN72" s="3"/>
      <c r="AP72" s="3"/>
      <c r="AS72" s="3"/>
      <c r="AT72" s="3"/>
      <c r="AU72" s="3"/>
    </row>
    <row r="73" spans="2:47"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P73" s="3"/>
      <c r="Q73" s="3"/>
      <c r="R73" s="3"/>
      <c r="S73" s="3"/>
      <c r="T73" s="3"/>
      <c r="U73" s="3"/>
      <c r="V73" s="3"/>
      <c r="W73" s="3"/>
      <c r="X73" s="3"/>
      <c r="Y73" s="3"/>
      <c r="AB73" s="3"/>
      <c r="AH73" s="3"/>
      <c r="AI73" s="3"/>
      <c r="AL73" s="3"/>
      <c r="AN73" s="3"/>
      <c r="AP73" s="3"/>
      <c r="AS73" s="3"/>
      <c r="AT73" s="3"/>
      <c r="AU73" s="3"/>
    </row>
    <row r="74" spans="2:47"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P74" s="3"/>
      <c r="Q74" s="3"/>
      <c r="R74" s="3"/>
      <c r="S74" s="3"/>
      <c r="T74" s="3"/>
      <c r="U74" s="3"/>
      <c r="V74" s="3"/>
      <c r="W74" s="3"/>
      <c r="X74" s="3"/>
      <c r="Y74" s="3"/>
      <c r="AB74" s="3"/>
      <c r="AH74" s="3"/>
      <c r="AI74" s="3"/>
      <c r="AL74" s="3"/>
      <c r="AN74" s="3"/>
      <c r="AP74" s="3"/>
      <c r="AS74" s="3"/>
      <c r="AT74" s="3"/>
      <c r="AU74" s="3"/>
    </row>
    <row r="75" spans="2:47"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P75" s="3"/>
      <c r="Q75" s="3"/>
      <c r="R75" s="3"/>
      <c r="S75" s="3"/>
      <c r="T75" s="3"/>
      <c r="U75" s="3"/>
      <c r="V75" s="3"/>
      <c r="W75" s="3"/>
      <c r="X75" s="3"/>
      <c r="Y75" s="3"/>
      <c r="AB75" s="3"/>
      <c r="AH75" s="3"/>
      <c r="AI75" s="3"/>
      <c r="AL75" s="3"/>
      <c r="AN75" s="3"/>
      <c r="AP75" s="3"/>
      <c r="AS75" s="3"/>
      <c r="AT75" s="3"/>
      <c r="AU75" s="3"/>
    </row>
    <row r="76" spans="2:47"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P76" s="3"/>
      <c r="Q76" s="3"/>
      <c r="R76" s="3"/>
      <c r="S76" s="3"/>
      <c r="T76" s="3"/>
      <c r="U76" s="3"/>
      <c r="V76" s="3"/>
      <c r="W76" s="3"/>
      <c r="X76" s="3"/>
      <c r="Y76" s="3"/>
      <c r="AB76" s="3"/>
      <c r="AH76" s="3"/>
      <c r="AI76" s="3"/>
      <c r="AL76" s="3"/>
      <c r="AN76" s="3"/>
      <c r="AP76" s="3"/>
      <c r="AS76" s="3"/>
      <c r="AT76" s="3"/>
      <c r="AU76" s="3"/>
    </row>
    <row r="77" spans="2:47"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P77" s="3"/>
      <c r="Q77" s="3"/>
      <c r="R77" s="3"/>
      <c r="S77" s="3"/>
      <c r="T77" s="3"/>
      <c r="U77" s="3"/>
      <c r="V77" s="3"/>
      <c r="W77" s="3"/>
      <c r="X77" s="3"/>
      <c r="Y77" s="3"/>
      <c r="AB77" s="3"/>
      <c r="AH77" s="3"/>
      <c r="AI77" s="3"/>
      <c r="AL77" s="3"/>
      <c r="AN77" s="3"/>
      <c r="AP77" s="3"/>
      <c r="AS77" s="3"/>
      <c r="AT77" s="3"/>
      <c r="AU77" s="3"/>
    </row>
    <row r="78" spans="2:47"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P78" s="3"/>
      <c r="Q78" s="3"/>
      <c r="R78" s="3"/>
      <c r="S78" s="3"/>
      <c r="T78" s="3"/>
      <c r="U78" s="3"/>
      <c r="V78" s="3"/>
      <c r="W78" s="3"/>
      <c r="X78" s="3"/>
      <c r="Y78" s="3"/>
      <c r="AB78" s="3"/>
      <c r="AH78" s="3"/>
      <c r="AI78" s="3"/>
      <c r="AL78" s="3"/>
      <c r="AN78" s="3"/>
      <c r="AP78" s="3"/>
      <c r="AS78" s="3"/>
      <c r="AT78" s="3"/>
      <c r="AU78" s="3"/>
    </row>
    <row r="79" spans="2:47"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P79" s="3"/>
      <c r="Q79" s="3"/>
      <c r="R79" s="3"/>
      <c r="S79" s="3"/>
      <c r="T79" s="3"/>
      <c r="U79" s="3"/>
      <c r="V79" s="3"/>
      <c r="W79" s="3"/>
      <c r="X79" s="3"/>
      <c r="Y79" s="3"/>
      <c r="AB79" s="3"/>
      <c r="AH79" s="3"/>
      <c r="AI79" s="3"/>
      <c r="AL79" s="3"/>
      <c r="AN79" s="3"/>
      <c r="AP79" s="3"/>
      <c r="AS79" s="3"/>
      <c r="AT79" s="3"/>
      <c r="AU79" s="3"/>
    </row>
    <row r="80" spans="2:47"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P80" s="3"/>
      <c r="Q80" s="3"/>
      <c r="R80" s="3"/>
      <c r="S80" s="3"/>
      <c r="T80" s="3"/>
      <c r="U80" s="3"/>
      <c r="V80" s="3"/>
      <c r="W80" s="3"/>
      <c r="X80" s="3"/>
      <c r="Y80" s="3"/>
      <c r="AB80" s="3"/>
      <c r="AH80" s="3"/>
      <c r="AI80" s="3"/>
      <c r="AL80" s="3"/>
      <c r="AN80" s="3"/>
      <c r="AP80" s="3"/>
      <c r="AS80" s="3"/>
      <c r="AT80" s="3"/>
      <c r="AU80" s="3"/>
    </row>
    <row r="81" spans="2:47"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P81" s="3"/>
      <c r="Q81" s="3"/>
      <c r="R81" s="3"/>
      <c r="S81" s="3"/>
      <c r="T81" s="3"/>
      <c r="U81" s="3"/>
      <c r="V81" s="3"/>
      <c r="W81" s="3"/>
      <c r="X81" s="3"/>
      <c r="Y81" s="3"/>
      <c r="AB81" s="3"/>
      <c r="AH81" s="3"/>
      <c r="AI81" s="3"/>
      <c r="AL81" s="3"/>
      <c r="AN81" s="3"/>
      <c r="AP81" s="3"/>
      <c r="AS81" s="3"/>
      <c r="AT81" s="3"/>
      <c r="AU81" s="3"/>
    </row>
    <row r="82" spans="2:47"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P82" s="3"/>
      <c r="Q82" s="3"/>
      <c r="R82" s="3"/>
      <c r="S82" s="3"/>
      <c r="T82" s="3"/>
      <c r="U82" s="3"/>
      <c r="V82" s="3"/>
      <c r="W82" s="3"/>
      <c r="X82" s="3"/>
      <c r="Y82" s="3"/>
      <c r="AB82" s="3"/>
      <c r="AH82" s="3"/>
      <c r="AI82" s="3"/>
      <c r="AL82" s="3"/>
      <c r="AN82" s="3"/>
      <c r="AP82" s="3"/>
      <c r="AS82" s="3"/>
      <c r="AT82" s="3"/>
      <c r="AU82" s="3"/>
    </row>
    <row r="83" spans="2:47"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P83" s="3"/>
      <c r="Q83" s="3"/>
      <c r="R83" s="3"/>
      <c r="S83" s="3"/>
      <c r="T83" s="3"/>
      <c r="U83" s="3"/>
      <c r="V83" s="3"/>
      <c r="W83" s="3"/>
      <c r="X83" s="3"/>
      <c r="Y83" s="3"/>
      <c r="AB83" s="3"/>
      <c r="AH83" s="3"/>
      <c r="AI83" s="3"/>
      <c r="AL83" s="3"/>
      <c r="AN83" s="3"/>
      <c r="AP83" s="3"/>
      <c r="AS83" s="3"/>
      <c r="AT83" s="3"/>
      <c r="AU83" s="3"/>
    </row>
    <row r="84" spans="2:47"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P84" s="3"/>
      <c r="Q84" s="3"/>
      <c r="R84" s="3"/>
      <c r="S84" s="3"/>
      <c r="T84" s="3"/>
      <c r="U84" s="3"/>
      <c r="V84" s="3"/>
      <c r="W84" s="3"/>
      <c r="X84" s="3"/>
      <c r="Y84" s="3"/>
      <c r="AB84" s="3"/>
      <c r="AH84" s="3"/>
      <c r="AI84" s="3"/>
      <c r="AL84" s="3"/>
      <c r="AN84" s="3"/>
      <c r="AP84" s="3"/>
      <c r="AS84" s="3"/>
      <c r="AT84" s="3"/>
      <c r="AU84" s="3"/>
    </row>
    <row r="85" spans="2:47"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P85" s="3"/>
      <c r="Q85" s="3"/>
      <c r="R85" s="3"/>
      <c r="S85" s="3"/>
      <c r="T85" s="3"/>
      <c r="U85" s="3"/>
      <c r="V85" s="3"/>
      <c r="W85" s="3"/>
      <c r="X85" s="3"/>
      <c r="Y85" s="3"/>
      <c r="AB85" s="3"/>
      <c r="AH85" s="3"/>
      <c r="AI85" s="3"/>
      <c r="AL85" s="3"/>
      <c r="AN85" s="3"/>
      <c r="AP85" s="3"/>
      <c r="AS85" s="3"/>
      <c r="AT85" s="3"/>
      <c r="AU85" s="3"/>
    </row>
    <row r="86" spans="2:47"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P86" s="3"/>
      <c r="Q86" s="3"/>
      <c r="R86" s="3"/>
      <c r="S86" s="3"/>
      <c r="T86" s="3"/>
      <c r="U86" s="3"/>
      <c r="V86" s="3"/>
      <c r="W86" s="3"/>
      <c r="X86" s="3"/>
      <c r="Y86" s="3"/>
      <c r="AB86" s="3"/>
      <c r="AH86" s="3"/>
      <c r="AI86" s="3"/>
      <c r="AL86" s="3"/>
      <c r="AN86" s="3"/>
      <c r="AP86" s="3"/>
      <c r="AS86" s="3"/>
      <c r="AT86" s="3"/>
      <c r="AU86" s="3"/>
    </row>
    <row r="87" spans="2:47"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P87" s="3"/>
      <c r="Q87" s="3"/>
      <c r="R87" s="3"/>
      <c r="S87" s="3"/>
      <c r="T87" s="3"/>
      <c r="U87" s="3"/>
      <c r="V87" s="3"/>
      <c r="W87" s="3"/>
      <c r="X87" s="3"/>
      <c r="Y87" s="3"/>
      <c r="AB87" s="3"/>
      <c r="AH87" s="3"/>
      <c r="AI87" s="3"/>
      <c r="AL87" s="3"/>
      <c r="AN87" s="3"/>
      <c r="AP87" s="3"/>
      <c r="AS87" s="3"/>
      <c r="AT87" s="3"/>
      <c r="AU87" s="3"/>
    </row>
    <row r="88" spans="2:47"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P88" s="3"/>
      <c r="Q88" s="3"/>
      <c r="R88" s="3"/>
      <c r="S88" s="3"/>
      <c r="T88" s="3"/>
      <c r="U88" s="3"/>
      <c r="V88" s="3"/>
      <c r="W88" s="3"/>
      <c r="X88" s="3"/>
      <c r="Y88" s="3"/>
      <c r="AB88" s="3"/>
      <c r="AH88" s="3"/>
      <c r="AI88" s="3"/>
      <c r="AL88" s="3"/>
      <c r="AN88" s="3"/>
      <c r="AP88" s="3"/>
      <c r="AS88" s="3"/>
      <c r="AT88" s="3"/>
      <c r="AU88" s="3"/>
    </row>
    <row r="89" spans="2:47"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P89" s="3"/>
      <c r="Q89" s="3"/>
      <c r="R89" s="3"/>
      <c r="S89" s="3"/>
      <c r="T89" s="3"/>
      <c r="U89" s="3"/>
      <c r="W89" s="3"/>
      <c r="X89" s="3"/>
      <c r="Y89" s="3"/>
      <c r="AB89" s="3"/>
      <c r="AI89" s="3"/>
      <c r="AL89" s="3"/>
      <c r="AN89" s="3"/>
      <c r="AP89" s="3"/>
      <c r="AS89" s="3"/>
      <c r="AT89" s="3"/>
      <c r="AU89" s="3"/>
    </row>
    <row r="90" spans="2:47"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P90" s="3"/>
      <c r="Q90" s="3"/>
      <c r="R90" s="3"/>
      <c r="S90" s="3"/>
      <c r="T90" s="3"/>
      <c r="U90" s="3"/>
      <c r="V90" s="3"/>
      <c r="W90" s="3"/>
      <c r="X90" s="3"/>
      <c r="Y90" s="3"/>
      <c r="AB90" s="3"/>
      <c r="AH90" s="3"/>
      <c r="AI90" s="3"/>
      <c r="AL90" s="3"/>
      <c r="AN90" s="3"/>
      <c r="AP90" s="3"/>
      <c r="AS90" s="3"/>
      <c r="AT90" s="3"/>
      <c r="AU90" s="3"/>
    </row>
    <row r="91" spans="2:47"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P91" s="3"/>
      <c r="Q91" s="3"/>
      <c r="R91" s="3"/>
      <c r="S91" s="3"/>
      <c r="T91" s="3"/>
      <c r="U91" s="3"/>
      <c r="V91" s="3"/>
      <c r="W91" s="3"/>
      <c r="X91" s="3"/>
      <c r="Y91" s="3"/>
      <c r="AB91" s="3"/>
      <c r="AH91" s="3"/>
      <c r="AI91" s="3"/>
      <c r="AL91" s="3"/>
      <c r="AN91" s="3"/>
      <c r="AP91" s="3"/>
      <c r="AS91" s="3"/>
      <c r="AT91" s="3"/>
      <c r="AU91" s="3"/>
    </row>
    <row r="92" spans="2:47"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P92" s="3"/>
      <c r="Q92" s="3"/>
      <c r="R92" s="3"/>
      <c r="S92" s="3"/>
      <c r="T92" s="3"/>
      <c r="U92" s="3"/>
      <c r="V92" s="3"/>
      <c r="W92" s="3"/>
      <c r="X92" s="3"/>
      <c r="Y92" s="3"/>
      <c r="AB92" s="3"/>
      <c r="AH92" s="3"/>
      <c r="AI92" s="3"/>
      <c r="AL92" s="3"/>
      <c r="AN92" s="3"/>
      <c r="AP92" s="3"/>
      <c r="AS92" s="3"/>
      <c r="AT92" s="3"/>
      <c r="AU92" s="3"/>
    </row>
    <row r="93" spans="2:47"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P93" s="3"/>
      <c r="Q93" s="3"/>
      <c r="R93" s="3"/>
      <c r="S93" s="3"/>
      <c r="T93" s="3"/>
      <c r="U93" s="3"/>
      <c r="V93" s="3"/>
      <c r="W93" s="3"/>
      <c r="X93" s="3"/>
      <c r="Y93" s="3"/>
      <c r="AB93" s="3"/>
      <c r="AH93" s="3"/>
      <c r="AI93" s="3"/>
      <c r="AL93" s="3"/>
      <c r="AN93" s="3"/>
      <c r="AP93" s="3"/>
      <c r="AS93" s="3"/>
      <c r="AT93" s="3"/>
      <c r="AU93" s="3"/>
    </row>
    <row r="94" spans="2:47"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P94" s="3"/>
      <c r="Q94" s="3"/>
      <c r="R94" s="3"/>
      <c r="S94" s="3"/>
      <c r="T94" s="3"/>
      <c r="U94" s="3"/>
      <c r="V94" s="3"/>
      <c r="W94" s="3"/>
      <c r="X94" s="3"/>
      <c r="Y94" s="3"/>
      <c r="AB94" s="3"/>
      <c r="AH94" s="3"/>
      <c r="AI94" s="3"/>
      <c r="AL94" s="3"/>
      <c r="AN94" s="3"/>
      <c r="AP94" s="3"/>
      <c r="AS94" s="3"/>
      <c r="AT94" s="3"/>
      <c r="AU94" s="3"/>
    </row>
    <row r="95" spans="2:47"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P95" s="3"/>
      <c r="Q95" s="3"/>
      <c r="R95" s="3"/>
      <c r="S95" s="3"/>
      <c r="T95" s="3"/>
      <c r="U95" s="3"/>
      <c r="V95" s="3"/>
      <c r="W95" s="3"/>
      <c r="X95" s="3"/>
      <c r="Y95" s="3"/>
      <c r="AB95" s="3"/>
      <c r="AH95" s="3"/>
      <c r="AI95" s="3"/>
      <c r="AL95" s="3"/>
      <c r="AN95" s="3"/>
      <c r="AP95" s="3"/>
      <c r="AS95" s="3"/>
      <c r="AT95" s="3"/>
      <c r="AU95" s="3"/>
    </row>
    <row r="96" spans="2:47"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P96" s="3"/>
      <c r="Q96" s="3"/>
      <c r="R96" s="3"/>
      <c r="S96" s="3"/>
      <c r="T96" s="3"/>
      <c r="U96" s="3"/>
      <c r="W96" s="3"/>
      <c r="X96" s="3"/>
      <c r="Y96" s="3"/>
      <c r="AB96" s="3"/>
      <c r="AI96" s="3"/>
      <c r="AL96" s="3"/>
      <c r="AN96" s="3"/>
      <c r="AP96" s="3"/>
      <c r="AS96" s="3"/>
      <c r="AT96" s="3"/>
      <c r="AU96" s="3"/>
    </row>
    <row r="97" spans="2:47"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P97" s="3"/>
      <c r="Q97" s="3"/>
      <c r="R97" s="3"/>
      <c r="S97" s="3"/>
      <c r="T97" s="3"/>
      <c r="U97" s="3"/>
      <c r="V97" s="3"/>
      <c r="W97" s="3"/>
      <c r="X97" s="3"/>
      <c r="Y97" s="3"/>
      <c r="AB97" s="3"/>
      <c r="AH97" s="3"/>
      <c r="AI97" s="3"/>
      <c r="AL97" s="3"/>
      <c r="AN97" s="3"/>
      <c r="AP97" s="3"/>
      <c r="AS97" s="3"/>
      <c r="AT97" s="3"/>
      <c r="AU97" s="3"/>
    </row>
    <row r="98" spans="2:47"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P98" s="3"/>
      <c r="Q98" s="3"/>
      <c r="R98" s="3"/>
      <c r="S98" s="3"/>
      <c r="T98" s="3"/>
      <c r="U98" s="3"/>
      <c r="V98" s="3"/>
      <c r="W98" s="3"/>
      <c r="X98" s="3"/>
      <c r="Y98" s="3"/>
      <c r="AB98" s="3"/>
      <c r="AH98" s="3"/>
      <c r="AI98" s="3"/>
      <c r="AL98" s="3"/>
      <c r="AN98" s="3"/>
      <c r="AP98" s="3"/>
      <c r="AS98" s="3"/>
      <c r="AT98" s="3"/>
      <c r="AU98" s="3"/>
    </row>
    <row r="99" spans="2:47"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P99" s="3"/>
      <c r="Q99" s="3"/>
      <c r="R99" s="3"/>
      <c r="S99" s="3"/>
      <c r="T99" s="3"/>
      <c r="U99" s="3"/>
      <c r="V99" s="3"/>
      <c r="W99" s="3"/>
      <c r="X99" s="3"/>
      <c r="Y99" s="3"/>
      <c r="AB99" s="3"/>
      <c r="AH99" s="3"/>
      <c r="AI99" s="3"/>
      <c r="AL99" s="3"/>
      <c r="AN99" s="3"/>
      <c r="AP99" s="3"/>
      <c r="AS99" s="3"/>
      <c r="AT99" s="3"/>
      <c r="AU99" s="3"/>
    </row>
    <row r="100" spans="2:47"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B100" s="3"/>
      <c r="AH100" s="3"/>
      <c r="AI100" s="3"/>
      <c r="AL100" s="3"/>
      <c r="AN100" s="3"/>
      <c r="AP100" s="3"/>
      <c r="AS100" s="3"/>
      <c r="AT100" s="3"/>
      <c r="AU100" s="3"/>
    </row>
    <row r="101" spans="2:47"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B101" s="3"/>
      <c r="AH101" s="3"/>
      <c r="AI101" s="3"/>
      <c r="AL101" s="3"/>
      <c r="AN101" s="3"/>
      <c r="AP101" s="3"/>
      <c r="AS101" s="3"/>
      <c r="AT101" s="3"/>
      <c r="AU101" s="3"/>
    </row>
    <row r="102" spans="2:47"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AB102" s="3"/>
      <c r="AH102" s="3"/>
      <c r="AI102" s="3"/>
      <c r="AL102" s="3"/>
      <c r="AN102" s="3"/>
      <c r="AP102" s="3"/>
      <c r="AS102" s="3"/>
      <c r="AT102" s="3"/>
      <c r="AU102" s="3"/>
    </row>
    <row r="103" spans="2:47"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AB103" s="3"/>
      <c r="AH103" s="3"/>
      <c r="AI103" s="3"/>
      <c r="AL103" s="3"/>
      <c r="AN103" s="3"/>
      <c r="AP103" s="3"/>
      <c r="AS103" s="3"/>
      <c r="AU103" s="3"/>
    </row>
    <row r="104" spans="2:47"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AB104" s="3"/>
      <c r="AH104" s="3"/>
      <c r="AI104" s="3"/>
      <c r="AL104" s="3"/>
      <c r="AN104" s="3"/>
      <c r="AP104" s="3"/>
      <c r="AS104" s="3"/>
      <c r="AT104" s="3"/>
      <c r="AU104" s="3"/>
    </row>
    <row r="105" spans="2:47"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AB105" s="3"/>
      <c r="AH105" s="3"/>
      <c r="AI105" s="3"/>
      <c r="AL105" s="3"/>
      <c r="AN105" s="3"/>
      <c r="AP105" s="3"/>
      <c r="AS105" s="3"/>
      <c r="AT105" s="3"/>
      <c r="AU105" s="3"/>
    </row>
    <row r="106" spans="2:47"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AB106" s="3"/>
      <c r="AH106" s="3"/>
      <c r="AI106" s="3"/>
      <c r="AL106" s="3"/>
      <c r="AN106" s="3"/>
      <c r="AP106" s="3"/>
      <c r="AS106" s="3"/>
      <c r="AT106" s="3"/>
      <c r="AU106" s="3"/>
    </row>
    <row r="107" spans="2:47"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AB107" s="3"/>
      <c r="AH107" s="3"/>
      <c r="AI107" s="3"/>
      <c r="AL107" s="3"/>
      <c r="AN107" s="3"/>
      <c r="AP107" s="3"/>
      <c r="AS107" s="3"/>
      <c r="AT107" s="3"/>
      <c r="AU107" s="3"/>
    </row>
    <row r="108" spans="2:47"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AB108" s="3"/>
      <c r="AH108" s="3"/>
      <c r="AI108" s="3"/>
      <c r="AL108" s="3"/>
      <c r="AN108" s="3"/>
      <c r="AP108" s="3"/>
      <c r="AS108" s="3"/>
      <c r="AT108" s="3"/>
      <c r="AU108" s="3"/>
    </row>
    <row r="109" spans="2:47"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AB109" s="3"/>
      <c r="AH109" s="3"/>
      <c r="AI109" s="3"/>
      <c r="AL109" s="3"/>
      <c r="AN109" s="3"/>
      <c r="AP109" s="3"/>
      <c r="AS109" s="3"/>
      <c r="AT109" s="3"/>
      <c r="AU109" s="3"/>
    </row>
    <row r="110" spans="2:47"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AB110" s="3"/>
      <c r="AH110" s="3"/>
      <c r="AI110" s="3"/>
      <c r="AL110" s="3"/>
      <c r="AN110" s="3"/>
      <c r="AP110" s="3"/>
      <c r="AS110" s="3"/>
      <c r="AT110" s="3"/>
      <c r="AU110" s="3"/>
    </row>
    <row r="111" spans="2:47"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P111" s="3"/>
      <c r="Q111" s="3"/>
      <c r="R111" s="3"/>
      <c r="S111" s="3"/>
      <c r="T111" s="3"/>
      <c r="U111" s="3"/>
      <c r="W111" s="3"/>
      <c r="X111" s="3"/>
      <c r="Y111" s="3"/>
      <c r="AB111" s="3"/>
      <c r="AI111" s="3"/>
      <c r="AL111" s="3"/>
      <c r="AN111" s="3"/>
      <c r="AP111" s="3"/>
      <c r="AS111" s="3"/>
      <c r="AT111" s="3"/>
      <c r="AU111" s="3"/>
    </row>
    <row r="112" spans="2:47"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B112" s="3"/>
      <c r="AH112" s="3"/>
      <c r="AI112" s="3"/>
      <c r="AL112" s="3"/>
      <c r="AN112" s="3"/>
      <c r="AP112" s="3"/>
      <c r="AS112" s="3"/>
      <c r="AT112" s="3"/>
      <c r="AU112" s="3"/>
    </row>
    <row r="113" spans="2:47"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AB113" s="3"/>
      <c r="AH113" s="3"/>
      <c r="AI113" s="3"/>
      <c r="AL113" s="3"/>
      <c r="AN113" s="3"/>
      <c r="AP113" s="3"/>
      <c r="AS113" s="3"/>
      <c r="AT113" s="3"/>
      <c r="AU113" s="3"/>
    </row>
    <row r="114" spans="2:47"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AB114" s="3"/>
      <c r="AH114" s="3"/>
      <c r="AI114" s="3"/>
      <c r="AL114" s="3"/>
      <c r="AN114" s="3"/>
      <c r="AP114" s="3"/>
      <c r="AS114" s="3"/>
      <c r="AT114" s="3"/>
      <c r="AU114" s="3"/>
    </row>
    <row r="115" spans="2:47"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AB115" s="3"/>
      <c r="AH115" s="3"/>
      <c r="AI115" s="3"/>
      <c r="AL115" s="3"/>
      <c r="AN115" s="3"/>
      <c r="AP115" s="3"/>
      <c r="AS115" s="3"/>
      <c r="AT115" s="3"/>
      <c r="AU115" s="3"/>
    </row>
    <row r="116" spans="2:47"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AB116" s="3"/>
      <c r="AH116" s="3"/>
      <c r="AI116" s="3"/>
      <c r="AL116" s="3"/>
      <c r="AN116" s="3"/>
      <c r="AP116" s="3"/>
      <c r="AS116" s="3"/>
      <c r="AT116" s="3"/>
      <c r="AU116" s="3"/>
    </row>
    <row r="117" spans="2:47"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AB117" s="3"/>
      <c r="AH117" s="3"/>
      <c r="AI117" s="3"/>
      <c r="AL117" s="3"/>
      <c r="AN117" s="3"/>
      <c r="AP117" s="3"/>
      <c r="AS117" s="3"/>
      <c r="AT117" s="3"/>
      <c r="AU117" s="3"/>
    </row>
    <row r="118" spans="2:47"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AB118" s="3"/>
      <c r="AH118" s="3"/>
      <c r="AI118" s="3"/>
      <c r="AL118" s="3"/>
      <c r="AN118" s="3"/>
      <c r="AP118" s="3"/>
      <c r="AS118" s="3"/>
      <c r="AT118" s="3"/>
      <c r="AU118" s="3"/>
    </row>
    <row r="119" spans="2:47"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AB119" s="3"/>
      <c r="AH119" s="3"/>
      <c r="AI119" s="3"/>
      <c r="AL119" s="3"/>
      <c r="AN119" s="3"/>
      <c r="AP119" s="3"/>
      <c r="AS119" s="3"/>
      <c r="AT119" s="3"/>
      <c r="AU119" s="3"/>
    </row>
    <row r="120" spans="2:47"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AB120" s="3"/>
      <c r="AH120" s="3"/>
      <c r="AI120" s="3"/>
      <c r="AL120" s="3"/>
      <c r="AN120" s="3"/>
      <c r="AP120" s="3"/>
      <c r="AS120" s="3"/>
      <c r="AT120" s="3"/>
      <c r="AU120" s="3"/>
    </row>
    <row r="121" spans="2:47"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AB121" s="3"/>
      <c r="AH121" s="3"/>
      <c r="AI121" s="3"/>
      <c r="AL121" s="3"/>
      <c r="AN121" s="3"/>
      <c r="AP121" s="3"/>
      <c r="AS121" s="3"/>
      <c r="AT121" s="3"/>
      <c r="AU121" s="3"/>
    </row>
    <row r="122" spans="2:47"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AB122" s="3"/>
      <c r="AH122" s="3"/>
      <c r="AI122" s="3"/>
      <c r="AL122" s="3"/>
      <c r="AN122" s="3"/>
      <c r="AP122" s="3"/>
      <c r="AS122" s="3"/>
      <c r="AT122" s="3"/>
      <c r="AU122" s="3"/>
    </row>
    <row r="123" spans="2:47"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AB123" s="3"/>
      <c r="AH123" s="3"/>
      <c r="AI123" s="3"/>
      <c r="AL123" s="3"/>
      <c r="AN123" s="3"/>
      <c r="AP123" s="3"/>
      <c r="AS123" s="3"/>
      <c r="AT123" s="3"/>
      <c r="AU123" s="3"/>
    </row>
    <row r="124" spans="2:47"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AB124" s="3"/>
      <c r="AH124" s="3"/>
      <c r="AI124" s="3"/>
      <c r="AL124" s="3"/>
      <c r="AN124" s="3"/>
      <c r="AP124" s="3"/>
      <c r="AS124" s="3"/>
      <c r="AT124" s="3"/>
      <c r="AU124" s="3"/>
    </row>
    <row r="125" spans="2:47"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AB125" s="3"/>
      <c r="AH125" s="3"/>
      <c r="AI125" s="3"/>
      <c r="AL125" s="3"/>
      <c r="AN125" s="3"/>
      <c r="AP125" s="3"/>
      <c r="AS125" s="3"/>
      <c r="AT125" s="3"/>
      <c r="AU125" s="3"/>
    </row>
    <row r="126" spans="2:47"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AB126" s="3"/>
      <c r="AH126" s="3"/>
      <c r="AI126" s="3"/>
      <c r="AL126" s="3"/>
      <c r="AN126" s="3"/>
      <c r="AP126" s="3"/>
      <c r="AS126" s="3"/>
      <c r="AT126" s="3"/>
      <c r="AU126" s="3"/>
    </row>
    <row r="127" spans="2:47"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AB127" s="3"/>
      <c r="AH127" s="3"/>
      <c r="AI127" s="3"/>
      <c r="AL127" s="3"/>
      <c r="AN127" s="3"/>
      <c r="AP127" s="3"/>
      <c r="AS127" s="3"/>
      <c r="AT127" s="3"/>
      <c r="AU127" s="3"/>
    </row>
    <row r="128" spans="2:47"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W128" s="3"/>
      <c r="X128" s="3"/>
      <c r="Y128" s="3"/>
      <c r="AB128" s="3"/>
      <c r="AI128" s="3"/>
      <c r="AL128" s="3"/>
      <c r="AN128" s="3"/>
      <c r="AP128" s="3"/>
      <c r="AS128" s="3"/>
      <c r="AT128" s="3"/>
      <c r="AU128" s="3"/>
    </row>
    <row r="129" spans="2:47"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AB129" s="3"/>
      <c r="AH129" s="3"/>
      <c r="AI129" s="3"/>
      <c r="AL129" s="3"/>
      <c r="AN129" s="3"/>
      <c r="AP129" s="3"/>
      <c r="AS129" s="3"/>
      <c r="AT129" s="3"/>
      <c r="AU129" s="3"/>
    </row>
    <row r="130" spans="2:47"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AB130" s="3"/>
      <c r="AH130" s="3"/>
      <c r="AI130" s="3"/>
      <c r="AL130" s="3"/>
      <c r="AN130" s="3"/>
      <c r="AP130" s="3"/>
      <c r="AS130" s="3"/>
      <c r="AT130" s="3"/>
      <c r="AU130" s="3"/>
    </row>
    <row r="131" spans="2:47"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AB131" s="3"/>
      <c r="AH131" s="3"/>
      <c r="AI131" s="3"/>
      <c r="AL131" s="3"/>
      <c r="AN131" s="3"/>
      <c r="AP131" s="3"/>
      <c r="AS131" s="3"/>
      <c r="AT131" s="3"/>
      <c r="AU131" s="3"/>
    </row>
    <row r="132" spans="2:47"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AB132" s="3"/>
      <c r="AH132" s="3"/>
      <c r="AI132" s="3"/>
      <c r="AL132" s="3"/>
      <c r="AN132" s="3"/>
      <c r="AP132" s="3"/>
      <c r="AS132" s="3"/>
      <c r="AT132" s="3"/>
      <c r="AU132" s="3"/>
    </row>
    <row r="133" spans="2:47"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AB133" s="3"/>
      <c r="AH133" s="3"/>
      <c r="AI133" s="3"/>
      <c r="AL133" s="3"/>
      <c r="AN133" s="3"/>
      <c r="AP133" s="3"/>
      <c r="AS133" s="3"/>
      <c r="AT133" s="3"/>
      <c r="AU133" s="3"/>
    </row>
    <row r="134" spans="2:47"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AB134" s="3"/>
      <c r="AH134" s="3"/>
      <c r="AI134" s="3"/>
      <c r="AL134" s="3"/>
      <c r="AN134" s="3"/>
      <c r="AP134" s="3"/>
      <c r="AS134" s="3"/>
      <c r="AT134" s="3"/>
      <c r="AU134" s="3"/>
    </row>
    <row r="135" spans="2:47"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AB135" s="3"/>
      <c r="AH135" s="3"/>
      <c r="AI135" s="3"/>
      <c r="AL135" s="3"/>
      <c r="AN135" s="3"/>
      <c r="AP135" s="3"/>
      <c r="AS135" s="3"/>
      <c r="AT135" s="3"/>
      <c r="AU135" s="3"/>
    </row>
    <row r="136" spans="2:47"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AB136" s="3"/>
      <c r="AH136" s="3"/>
      <c r="AI136" s="3"/>
      <c r="AL136" s="3"/>
      <c r="AN136" s="3"/>
      <c r="AP136" s="3"/>
      <c r="AS136" s="3"/>
      <c r="AT136" s="3"/>
      <c r="AU136" s="3"/>
    </row>
    <row r="137" spans="2:47"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AB137" s="3"/>
      <c r="AH137" s="3"/>
      <c r="AI137" s="3"/>
      <c r="AL137" s="3"/>
      <c r="AN137" s="3"/>
      <c r="AP137" s="3"/>
      <c r="AS137" s="3"/>
      <c r="AT137" s="3"/>
      <c r="AU137" s="3"/>
    </row>
    <row r="138" spans="2:47"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AB138" s="3"/>
      <c r="AH138" s="3"/>
      <c r="AI138" s="3"/>
      <c r="AL138" s="3"/>
      <c r="AN138" s="3"/>
      <c r="AP138" s="3"/>
      <c r="AS138" s="3"/>
      <c r="AT138" s="3"/>
      <c r="AU138" s="3"/>
    </row>
    <row r="139" spans="2:47"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AB139" s="3"/>
      <c r="AH139" s="3"/>
      <c r="AI139" s="3"/>
      <c r="AL139" s="3"/>
      <c r="AN139" s="3"/>
      <c r="AP139" s="3"/>
      <c r="AS139" s="3"/>
      <c r="AT139" s="3"/>
      <c r="AU139" s="3"/>
    </row>
    <row r="140" spans="2:47"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P140" s="3"/>
      <c r="Q140" s="3"/>
      <c r="R140" s="3"/>
      <c r="S140" s="3"/>
      <c r="T140" s="3"/>
      <c r="U140" s="3"/>
      <c r="W140" s="3"/>
      <c r="X140" s="3"/>
      <c r="Y140" s="3"/>
      <c r="AB140" s="3"/>
      <c r="AI140" s="3"/>
      <c r="AL140" s="3"/>
      <c r="AN140" s="3"/>
      <c r="AP140" s="3"/>
      <c r="AS140" s="3"/>
      <c r="AT140" s="3"/>
      <c r="AU140" s="3"/>
    </row>
    <row r="141" spans="2:47"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AB141" s="3"/>
      <c r="AH141" s="3"/>
      <c r="AI141" s="3"/>
      <c r="AL141" s="3"/>
      <c r="AN141" s="3"/>
      <c r="AP141" s="3"/>
      <c r="AS141" s="3"/>
      <c r="AT141" s="3"/>
      <c r="AU141" s="3"/>
    </row>
    <row r="142" spans="2:47"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AB142" s="3"/>
      <c r="AH142" s="3"/>
      <c r="AI142" s="3"/>
      <c r="AL142" s="3"/>
      <c r="AN142" s="3"/>
      <c r="AP142" s="3"/>
      <c r="AS142" s="3"/>
      <c r="AT142" s="3"/>
      <c r="AU142" s="3"/>
    </row>
    <row r="143" spans="2:47"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AB143" s="3"/>
      <c r="AH143" s="3"/>
      <c r="AI143" s="3"/>
      <c r="AL143" s="3"/>
      <c r="AN143" s="3"/>
      <c r="AP143" s="3"/>
      <c r="AS143" s="3"/>
      <c r="AT143" s="3"/>
      <c r="AU143" s="3"/>
    </row>
    <row r="144" spans="2:47"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AB144" s="3"/>
      <c r="AH144" s="3"/>
      <c r="AI144" s="3"/>
      <c r="AL144" s="3"/>
      <c r="AN144" s="3"/>
      <c r="AP144" s="3"/>
      <c r="AS144" s="3"/>
      <c r="AT144" s="3"/>
      <c r="AU144" s="3"/>
    </row>
    <row r="145" spans="2:47"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AB145" s="3"/>
      <c r="AH145" s="3"/>
      <c r="AI145" s="3"/>
      <c r="AL145" s="3"/>
      <c r="AN145" s="3"/>
      <c r="AP145" s="3"/>
      <c r="AS145" s="3"/>
      <c r="AT145" s="3"/>
      <c r="AU145" s="3"/>
    </row>
    <row r="146" spans="2:47"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AB146" s="3"/>
      <c r="AH146" s="3"/>
      <c r="AI146" s="3"/>
      <c r="AL146" s="3"/>
      <c r="AN146" s="3"/>
      <c r="AP146" s="3"/>
      <c r="AS146" s="3"/>
      <c r="AT146" s="3"/>
      <c r="AU146" s="3"/>
    </row>
    <row r="147" spans="2:47"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AB147" s="3"/>
      <c r="AH147" s="3"/>
      <c r="AI147" s="3"/>
      <c r="AL147" s="3"/>
      <c r="AN147" s="3"/>
      <c r="AP147" s="3"/>
      <c r="AS147" s="3"/>
      <c r="AT147" s="3"/>
      <c r="AU147" s="3"/>
    </row>
    <row r="148" spans="2:47"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AB148" s="3"/>
      <c r="AH148" s="3"/>
      <c r="AI148" s="3"/>
      <c r="AL148" s="3"/>
      <c r="AN148" s="3"/>
      <c r="AP148" s="3"/>
      <c r="AS148" s="3"/>
      <c r="AT148" s="3"/>
      <c r="AU148" s="3"/>
    </row>
    <row r="149" spans="2:47"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AB149" s="3"/>
      <c r="AH149" s="3"/>
      <c r="AI149" s="3"/>
      <c r="AL149" s="3"/>
      <c r="AN149" s="3"/>
      <c r="AP149" s="3"/>
      <c r="AS149" s="3"/>
      <c r="AT149" s="3"/>
      <c r="AU149" s="3"/>
    </row>
    <row r="150" spans="2:47"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AB150" s="3"/>
      <c r="AH150" s="3"/>
      <c r="AI150" s="3"/>
      <c r="AL150" s="3"/>
      <c r="AN150" s="3"/>
      <c r="AP150" s="3"/>
      <c r="AS150" s="3"/>
      <c r="AT150" s="3"/>
      <c r="AU150" s="3"/>
    </row>
    <row r="151" spans="2:47"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AB151" s="3"/>
      <c r="AH151" s="3"/>
      <c r="AI151" s="3"/>
      <c r="AL151" s="3"/>
      <c r="AN151" s="3"/>
      <c r="AP151" s="3"/>
      <c r="AS151" s="3"/>
      <c r="AT151" s="3"/>
      <c r="AU151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F8" sqref="F8"/>
    </sheetView>
  </sheetViews>
  <sheetFormatPr defaultRowHeight="14"/>
  <cols>
    <col min="6" max="6" width="15.4140625" customWidth="1"/>
  </cols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162</v>
      </c>
      <c r="J1" t="s">
        <v>163</v>
      </c>
      <c r="K1" t="s">
        <v>175</v>
      </c>
      <c r="L1" t="s">
        <v>137</v>
      </c>
      <c r="M1" s="1" t="s">
        <v>17</v>
      </c>
      <c r="N1" t="s">
        <v>142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143</v>
      </c>
    </row>
    <row r="3" spans="1:14">
      <c r="A3" s="2" t="s">
        <v>144</v>
      </c>
      <c r="B3" s="2" t="s">
        <v>145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169</v>
      </c>
      <c r="J3" s="3" t="s">
        <v>170</v>
      </c>
      <c r="K3" s="2" t="s">
        <v>176</v>
      </c>
      <c r="L3" s="3" t="s">
        <v>151</v>
      </c>
      <c r="M3" s="2" t="s">
        <v>120</v>
      </c>
      <c r="N3" s="7" t="s">
        <v>121</v>
      </c>
    </row>
    <row r="4" spans="1:14">
      <c r="A4" s="3" t="s">
        <v>122</v>
      </c>
      <c r="B4" s="3" t="s">
        <v>123</v>
      </c>
      <c r="C4" s="3" t="s">
        <v>177</v>
      </c>
      <c r="D4" s="3" t="s">
        <v>146</v>
      </c>
      <c r="E4" s="3" t="s">
        <v>28</v>
      </c>
      <c r="F4" s="4">
        <f t="shared" ref="F4:F5" ca="1" si="0">NOW()</f>
        <v>43845.695864583337</v>
      </c>
      <c r="G4" s="3" t="s">
        <v>192</v>
      </c>
      <c r="H4" s="3"/>
      <c r="I4" s="3"/>
      <c r="J4" t="s">
        <v>96</v>
      </c>
      <c r="K4" s="3" t="s">
        <v>90</v>
      </c>
      <c r="L4" t="s">
        <v>213</v>
      </c>
      <c r="M4" s="3" t="s">
        <v>131</v>
      </c>
      <c r="N4" s="3" t="s">
        <v>214</v>
      </c>
    </row>
    <row r="5" spans="1:14">
      <c r="A5" s="3" t="s">
        <v>122</v>
      </c>
      <c r="B5" s="3" t="s">
        <v>123</v>
      </c>
      <c r="C5" s="3" t="s">
        <v>177</v>
      </c>
      <c r="D5" s="3" t="s">
        <v>146</v>
      </c>
      <c r="E5" s="3" t="s">
        <v>125</v>
      </c>
      <c r="F5" s="4">
        <f t="shared" ca="1" si="0"/>
        <v>43845.695864583337</v>
      </c>
      <c r="G5" s="3" t="s">
        <v>195</v>
      </c>
      <c r="H5" s="3"/>
      <c r="I5" s="3"/>
      <c r="J5" t="s">
        <v>96</v>
      </c>
      <c r="K5" s="3" t="s">
        <v>212</v>
      </c>
      <c r="L5" t="s">
        <v>213</v>
      </c>
      <c r="M5" s="3" t="s">
        <v>131</v>
      </c>
      <c r="N5" s="3" t="s">
        <v>214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J15" sqref="J15"/>
    </sheetView>
  </sheetViews>
  <sheetFormatPr defaultRowHeight="14"/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101</v>
      </c>
      <c r="I1" t="s">
        <v>162</v>
      </c>
      <c r="J1" t="s">
        <v>163</v>
      </c>
      <c r="K1" t="s">
        <v>164</v>
      </c>
      <c r="L1" t="s">
        <v>137</v>
      </c>
      <c r="M1" s="1" t="s">
        <v>17</v>
      </c>
      <c r="N1" t="s">
        <v>165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166</v>
      </c>
    </row>
    <row r="3" spans="1:14">
      <c r="A3" s="2" t="s">
        <v>167</v>
      </c>
      <c r="B3" s="2" t="s">
        <v>168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169</v>
      </c>
      <c r="J3" s="3" t="s">
        <v>170</v>
      </c>
      <c r="K3" s="2" t="s">
        <v>171</v>
      </c>
      <c r="L3" s="3" t="s">
        <v>151</v>
      </c>
      <c r="M3" s="2" t="s">
        <v>120</v>
      </c>
      <c r="N3" s="7" t="s">
        <v>121</v>
      </c>
    </row>
    <row r="4" spans="1:14">
      <c r="A4" s="3" t="s">
        <v>122</v>
      </c>
      <c r="B4" s="3" t="s">
        <v>123</v>
      </c>
      <c r="C4" s="3" t="s">
        <v>172</v>
      </c>
      <c r="D4" s="3" t="s">
        <v>173</v>
      </c>
      <c r="E4" s="3" t="s">
        <v>125</v>
      </c>
      <c r="F4" s="4">
        <f t="shared" ref="F4" ca="1" si="0">NOW()</f>
        <v>43845.695864583337</v>
      </c>
      <c r="G4" s="3" t="s">
        <v>193</v>
      </c>
      <c r="H4" s="3" t="s">
        <v>173</v>
      </c>
      <c r="I4" s="3" t="s">
        <v>159</v>
      </c>
      <c r="J4" t="s">
        <v>160</v>
      </c>
      <c r="K4" s="3" t="s">
        <v>173</v>
      </c>
      <c r="M4" s="3" t="s">
        <v>131</v>
      </c>
      <c r="N4" s="3" t="s">
        <v>174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req1</vt:lpstr>
      <vt:lpstr>rtn1</vt:lpstr>
      <vt:lpstr>req2</vt:lpstr>
      <vt:lpstr>rtn2</vt:lpstr>
      <vt:lpstr>casedescription</vt:lpstr>
      <vt:lpstr>NewOrderSingle</vt:lpstr>
      <vt:lpstr>OnRspUserLogin</vt:lpstr>
      <vt:lpstr>PositionMaintenanceRequest</vt:lpstr>
      <vt:lpstr>PositionMaintenanceReport</vt:lpstr>
      <vt:lpstr>ExecutionReport</vt:lpstr>
      <vt:lpstr>BusinessMessageReject</vt:lpstr>
      <vt:lpstr>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2020-01-15T08:42:02Z</dcterms:modified>
</cp:coreProperties>
</file>